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02C85E35-D2A0-48B5-8C71-1E68885E13E9}" xr6:coauthVersionLast="47" xr6:coauthVersionMax="47" xr10:uidLastSave="{00000000-0000-0000-0000-000000000000}"/>
  <bookViews>
    <workbookView xWindow="-120" yWindow="-120" windowWidth="16440" windowHeight="28440" firstSheet="6" activeTab="6" xr2:uid="{00000000-000D-0000-FFFF-FFFF00000000}"/>
  </bookViews>
  <sheets>
    <sheet name="Premios" sheetId="3" state="hidden" r:id="rId1"/>
    <sheet name="Planteles" sheetId="6" state="hidden" r:id="rId2"/>
    <sheet name="Tabuladores" sheetId="1" state="hidden" r:id="rId3"/>
    <sheet name="Colaboradores" sheetId="11" state="hidden" r:id="rId4"/>
    <sheet name="Ejemplo Coordinacion" sheetId="7" state="hidden" r:id="rId5"/>
    <sheet name="Ejemplo Promotor" sheetId="8" state="hidden" r:id="rId6"/>
    <sheet name="GERENTE" sheetId="5" r:id="rId7"/>
  </sheets>
  <functionGroups builtInGroupCount="19"/>
  <externalReferences>
    <externalReference r:id="rId8"/>
  </externalReferences>
  <definedNames>
    <definedName name="_xlnm._FilterDatabase" localSheetId="6" hidden="1">GERENTE!$A$7:$L$7</definedName>
    <definedName name="_xleta.VLOOKUP" hidden="1" xlm="1">#NAME?</definedName>
    <definedName name="Alias_Coordinadores">Coordinadores[ALIAS]</definedName>
    <definedName name="Alias_Gerentes">Gerentes[ALIAS]</definedName>
    <definedName name="Alias_Promotores">Promotores[ALIAS]</definedName>
    <definedName name="Cantidad_Con_Letra_Coordinador">'Ejemplo Coordinacion'!$D$20</definedName>
    <definedName name="Cantidad_Con_Letra_Gerente">GERENTE!$D$80</definedName>
    <definedName name="Cantidad_Con_Letra_Promotor">'Ejemplo Promotor'!$D$19</definedName>
    <definedName name="Coordinadores_Activos">GERENTE!$Q$2:$Q$21</definedName>
    <definedName name="Deduccion_Coordinador">'Ejemplo Coordinacion'!$D$16</definedName>
    <definedName name="Deduccion_Gerente">GERENTE!$D$75</definedName>
    <definedName name="Descuento_Coordinador">'Ejemplo Coordinacion'!$D$15</definedName>
    <definedName name="Descuento_Gerente">GERENTE!$D$74</definedName>
    <definedName name="Descuento_Promotor">'Ejemplo Promotor'!$D$15</definedName>
    <definedName name="Fecha_de_expedicion">GERENTE!$B$6</definedName>
    <definedName name="FilteredPromotores">OFFSET([1]Sheet1!$Z$9, 0, 0, COUNTA([1]Sheet1!$Z:$Z), 1)</definedName>
    <definedName name="Gerencia_de_Coordinadores">Coordinadores[GERENCIA]</definedName>
    <definedName name="Nombre_Coordinador">'Ejemplo Coordinacion'!$B$1</definedName>
    <definedName name="Nombre_Gerente">GERENTE!$B$1</definedName>
    <definedName name="Nombre_Promotor">'Ejemplo Promotor'!$B$1</definedName>
    <definedName name="Nombres_Coordinadores">Coordinadores[NOMBRE]</definedName>
    <definedName name="Nombres_Gerentes">Gerentes[NOMBRE]</definedName>
    <definedName name="Nombres_Planteles">Planteles[Nombre]</definedName>
    <definedName name="Nombres_Promotores">Promotores[NOMBRE]</definedName>
    <definedName name="Numero_de_semana">GERENTE!$B$5</definedName>
    <definedName name="Pago_Neto_Coordinador">'Ejemplo Coordinacion'!$D$18</definedName>
    <definedName name="Pago_Neto_Gerente">GERENTE!$D$77</definedName>
    <definedName name="Pago_Neto_Promotor">'Ejemplo Promotor'!$D$17</definedName>
    <definedName name="Pago_Premio_Coordinador">'Ejemplo Coordinacion'!$D$13</definedName>
    <definedName name="Pago_Premio_Gerente">GERENTE!$D$72</definedName>
    <definedName name="Pago_Premio_Promotor">'Ejemplo Promotor'!$D$13</definedName>
    <definedName name="Pago_Subtotal_Coordinador">'Ejemplo Coordinacion'!$D$14</definedName>
    <definedName name="Pago_Subtotal_Gerente">GERENTE!$D$73</definedName>
    <definedName name="Pago_Subtotal_Promotor">'Ejemplo Promotor'!$D$14</definedName>
    <definedName name="Pago_Sueldo_Base_Coordinador">'Ejemplo Coordinacion'!$D$12</definedName>
    <definedName name="Pago_Sueldo_Base_Gerente">GERENTE!$D$71</definedName>
    <definedName name="Pago_Sueldo_Base_Promotor">'Ejemplo Promotor'!$D$12</definedName>
    <definedName name="Periodo_de_pago_final">GERENTE!$D$3</definedName>
    <definedName name="Periodo_de_pago_inicial">GERENTE!$B$3</definedName>
    <definedName name="Premio_Coordinador">'Ejemplo Coordinacion'!$B$13</definedName>
    <definedName name="Premio_Gerente">GERENTE!$B$72</definedName>
    <definedName name="Premio_Promotor">'Ejemplo Promotor'!$B$13</definedName>
    <definedName name="Promotores_Activos">GERENTE!$S$2:$S$31</definedName>
    <definedName name="Promotores_de_Coordinacion_Activos">'Ejemplo Coordinacion'!$P$2:$P$21</definedName>
    <definedName name="Promotores_FERNANDO_VILLALVAZO">#REF!</definedName>
    <definedName name="Promotores_ISAAC_GARCIA">Colaboradores!#REF!</definedName>
    <definedName name="Promotores_JOSUE_ALVAREZ">Colaboradores!#REF!</definedName>
    <definedName name="Promotores_MICHELLE_APARICIO">#REF!</definedName>
    <definedName name="Puesto_Coordinador">'Ejemplo Coordinacion'!$G$1</definedName>
    <definedName name="Puesto_Gerente">GERENTE!$G$1</definedName>
    <definedName name="Puesto_Promotor">'Ejemplo Promotor'!$G$1</definedName>
    <definedName name="Puestos">Sueldo_Base_Por_Puesto[PUESTO]</definedName>
    <definedName name="Razon_Social">GERENTE!$B$2</definedName>
    <definedName name="Sueldo_Base_Coordinador">Tabuladores!$M$5</definedName>
    <definedName name="Sueldo_Base_Gerente">Tabuladores!$M$4</definedName>
    <definedName name="Total_De_La_Gerencia">GERENTE!$J$4</definedName>
    <definedName name="Total_Registros_Coordinador">'Ejemplo Coordinacion'!$B$4</definedName>
    <definedName name="Total_Registros_Gerente">GERENTE!$B$4</definedName>
    <definedName name="Total_Registros_Promotor">'Ejemplo Promotor'!$B$4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7" l="1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" i="7" a="1"/>
  <c r="P2" i="7" s="1"/>
  <c r="S3" i="5" a="1"/>
  <c r="S3" i="5" s="1"/>
  <c r="S4" i="5" a="1"/>
  <c r="S4" i="5" s="1"/>
  <c r="S5" i="5" a="1"/>
  <c r="S5" i="5" s="1"/>
  <c r="S6" i="5" a="1"/>
  <c r="S6" i="5" s="1"/>
  <c r="S7" i="5" a="1"/>
  <c r="S7" i="5" s="1"/>
  <c r="S8" i="5" a="1"/>
  <c r="S8" i="5" s="1"/>
  <c r="S9" i="5" a="1"/>
  <c r="S9" i="5" s="1"/>
  <c r="S10" i="5" a="1"/>
  <c r="S10" i="5" s="1"/>
  <c r="S11" i="5" a="1"/>
  <c r="S11" i="5" s="1"/>
  <c r="S12" i="5" a="1"/>
  <c r="S12" i="5" s="1"/>
  <c r="S13" i="5" a="1"/>
  <c r="S13" i="5" s="1"/>
  <c r="S14" i="5" a="1"/>
  <c r="S14" i="5" s="1"/>
  <c r="S15" i="5" a="1"/>
  <c r="S15" i="5" s="1"/>
  <c r="S16" i="5" a="1"/>
  <c r="S16" i="5" s="1"/>
  <c r="S17" i="5" a="1"/>
  <c r="S17" i="5" s="1"/>
  <c r="S18" i="5" a="1"/>
  <c r="S18" i="5" s="1"/>
  <c r="S19" i="5" a="1"/>
  <c r="S19" i="5" s="1"/>
  <c r="S20" i="5" a="1"/>
  <c r="S20" i="5" s="1"/>
  <c r="S21" i="5" a="1"/>
  <c r="S21" i="5" s="1"/>
  <c r="S2" i="5" a="1"/>
  <c r="S2" i="5" s="1"/>
  <c r="Q3" i="5" a="1"/>
  <c r="Q3" i="5" s="1"/>
  <c r="Q4" i="5" a="1"/>
  <c r="Q4" i="5" s="1"/>
  <c r="Q5" i="5" a="1"/>
  <c r="Q5" i="5" s="1"/>
  <c r="Q6" i="5" a="1"/>
  <c r="Q6" i="5" s="1"/>
  <c r="Q7" i="5" a="1"/>
  <c r="Q7" i="5" s="1"/>
  <c r="Q8" i="5" a="1"/>
  <c r="Q8" i="5" s="1"/>
  <c r="Q9" i="5" a="1"/>
  <c r="Q9" i="5" s="1"/>
  <c r="Q10" i="5" a="1"/>
  <c r="Q10" i="5" s="1"/>
  <c r="Q11" i="5" a="1"/>
  <c r="Q11" i="5" s="1"/>
  <c r="Q12" i="5" a="1"/>
  <c r="Q12" i="5" s="1"/>
  <c r="Q13" i="5" a="1"/>
  <c r="Q13" i="5" s="1"/>
  <c r="Q14" i="5" a="1"/>
  <c r="Q14" i="5" s="1"/>
  <c r="Q15" i="5" a="1"/>
  <c r="Q15" i="5" s="1"/>
  <c r="Q16" i="5" a="1"/>
  <c r="Q16" i="5" s="1"/>
  <c r="Q17" i="5" a="1"/>
  <c r="Q17" i="5" s="1"/>
  <c r="Q18" i="5" a="1"/>
  <c r="Q18" i="5" s="1"/>
  <c r="Q19" i="5" a="1"/>
  <c r="Q19" i="5" s="1"/>
  <c r="Q20" i="5" a="1"/>
  <c r="Q20" i="5" s="1"/>
  <c r="Q21" i="5" a="1"/>
  <c r="Q21" i="5" s="1"/>
  <c r="Q2" i="5" a="1"/>
  <c r="Q2" i="5" s="1"/>
  <c r="D49" i="5"/>
  <c r="D51" i="5"/>
  <c r="D54" i="5"/>
  <c r="D55" i="5"/>
  <c r="D56" i="5"/>
  <c r="D64" i="5"/>
  <c r="D65" i="5"/>
  <c r="D29" i="5"/>
  <c r="D31" i="5"/>
  <c r="D32" i="5"/>
  <c r="D33" i="5"/>
  <c r="D34" i="5"/>
  <c r="D37" i="5"/>
  <c r="D39" i="5"/>
  <c r="H9" i="7"/>
  <c r="D9" i="7" s="1"/>
  <c r="D10" i="7" s="1"/>
  <c r="B4" i="5"/>
  <c r="D42" i="5" s="1"/>
  <c r="B3" i="5"/>
  <c r="D3" i="5"/>
  <c r="H9" i="8"/>
  <c r="D74" i="5"/>
  <c r="D71" i="5"/>
  <c r="D15" i="8"/>
  <c r="B13" i="8"/>
  <c r="D13" i="8" s="1"/>
  <c r="D12" i="8"/>
  <c r="D9" i="8"/>
  <c r="D10" i="8" s="1"/>
  <c r="B5" i="8"/>
  <c r="B4" i="8"/>
  <c r="D15" i="7"/>
  <c r="D12" i="7"/>
  <c r="B5" i="7"/>
  <c r="B4" i="7"/>
  <c r="B13" i="7" s="1"/>
  <c r="D13" i="7" s="1"/>
  <c r="S4" i="1"/>
  <c r="B17" i="3"/>
  <c r="B16" i="3"/>
  <c r="B15" i="3"/>
  <c r="B14" i="3"/>
  <c r="B13" i="3"/>
  <c r="J1" i="5" l="1"/>
  <c r="D26" i="5"/>
  <c r="D63" i="5"/>
  <c r="D69" i="5"/>
  <c r="D38" i="5"/>
  <c r="D25" i="5"/>
  <c r="D20" i="5"/>
  <c r="D57" i="5"/>
  <c r="D45" i="5"/>
  <c r="D14" i="5"/>
  <c r="D19" i="5"/>
  <c r="D13" i="5"/>
  <c r="D68" i="5"/>
  <c r="D62" i="5"/>
  <c r="D50" i="5"/>
  <c r="D44" i="5"/>
  <c r="D28" i="5"/>
  <c r="D22" i="5"/>
  <c r="D16" i="5"/>
  <c r="D10" i="5"/>
  <c r="D59" i="5"/>
  <c r="D53" i="5"/>
  <c r="D47" i="5"/>
  <c r="D41" i="5"/>
  <c r="D27" i="5"/>
  <c r="D21" i="5"/>
  <c r="D15" i="5"/>
  <c r="D9" i="5"/>
  <c r="D58" i="5"/>
  <c r="D52" i="5"/>
  <c r="D46" i="5"/>
  <c r="D36" i="5"/>
  <c r="D30" i="5"/>
  <c r="D24" i="5"/>
  <c r="D18" i="5"/>
  <c r="D12" i="5"/>
  <c r="D67" i="5"/>
  <c r="D61" i="5"/>
  <c r="D43" i="5"/>
  <c r="D35" i="5"/>
  <c r="D23" i="5"/>
  <c r="D17" i="5"/>
  <c r="D11" i="5"/>
  <c r="D66" i="5"/>
  <c r="D60" i="5"/>
  <c r="D48" i="5"/>
  <c r="D14" i="8"/>
  <c r="D17" i="8" s="1"/>
  <c r="D14" i="7"/>
  <c r="D40" i="5"/>
  <c r="B72" i="5"/>
  <c r="D72" i="5" s="1"/>
  <c r="J1" i="8"/>
  <c r="J1" i="7"/>
  <c r="D20" i="8" a="1"/>
  <c r="D20" i="8" l="1"/>
  <c r="D70" i="5"/>
  <c r="D73" i="5" s="1"/>
  <c r="D16" i="7"/>
  <c r="D18" i="7" s="1"/>
  <c r="D21" i="7" a="1"/>
  <c r="D21" i="7" l="1"/>
  <c r="D75" i="5"/>
  <c r="D77" i="5" s="1"/>
  <c r="D80" i="5" a="1"/>
  <c r="D8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<sst xmlns="http://schemas.openxmlformats.org/spreadsheetml/2006/main" count="748" uniqueCount="259">
  <si>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</si>
  <si>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</si>
  <si>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</si>
  <si>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</si>
  <si>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</si>
  <si>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</si>
  <si>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</si>
  <si>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</si>
  <si>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</si>
  <si>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</si>
  <si>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</si>
  <si>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</si>
  <si>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</si>
  <si>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</si>
  <si>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</si>
  <si>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</si>
  <si>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</si>
  <si>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</si>
  <si>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</si>
  <si>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</si>
  <si>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</si>
  <si>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</si>
  <si>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</si>
  <si>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AWL TONALA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</si>
  <si>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</si>
  <si>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</si>
  <si>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</si>
  <si>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</si>
  <si>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</si>
  <si>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</si>
  <si>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</si>
  <si>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</si>
  <si>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</si>
  <si>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</si>
  <si>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</si>
  <si>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AWL TLAQUEPAQUE</t>
  </si>
  <si>
    <t>UDN TLAQUEPAQUE</t>
  </si>
  <si>
    <t>UDN TONALA</t>
  </si>
  <si>
    <t>UI PARIAN</t>
  </si>
  <si>
    <t>UI MARIANO OTERO</t>
  </si>
  <si>
    <t>VIRTUAL</t>
  </si>
  <si>
    <t>OBLATOS</t>
  </si>
  <si>
    <t>INDEPENDENCIA</t>
  </si>
  <si>
    <t>ONLINE</t>
  </si>
  <si>
    <t>TRANSITO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</si>
  <si>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</si>
  <si>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</si>
  <si>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</si>
  <si>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</si>
  <si>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</si>
  <si>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</si>
  <si>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</si>
  <si>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</si>
  <si>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</si>
  <si>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</si>
  <si>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</si>
  <si>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</si>
  <si>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Nombre</t>
  </si>
  <si>
    <t>0</t>
  </si>
  <si>
    <t>TOTAL REGISTROS GERENCIA</t>
  </si>
  <si>
    <t>Coordinadores</t>
  </si>
  <si>
    <t>Gerentes</t>
  </si>
  <si>
    <t>Promotores</t>
  </si>
  <si>
    <t>&gt;</t>
  </si>
  <si>
    <t>Planteles</t>
  </si>
  <si>
    <t>Razon Social</t>
  </si>
  <si>
    <t>UI INTERNACIONAL AC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</si>
  <si>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</si>
  <si>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</si>
  <si>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</si>
  <si>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</si>
  <si>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</si>
  <si>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</si>
  <si>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</si>
  <si>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</si>
  <si>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</si>
  <si>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</si>
  <si>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</si>
  <si>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</si>
  <si>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</si>
  <si>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</si>
  <si>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</si>
  <si>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</si>
  <si>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</si>
  <si>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</si>
  <si>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</si>
  <si>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</si>
  <si>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</si>
  <si>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</si>
  <si>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</si>
  <si>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</si>
  <si>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</si>
  <si>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</si>
  <si>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</si>
  <si>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</si>
  <si>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</si>
  <si>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</si>
  <si>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</si>
  <si>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</si>
  <si>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</si>
  <si>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</si>
  <si>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</si>
  <si>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</si>
  <si>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</si>
  <si>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</si>
  <si>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</si>
  <si>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</si>
  <si>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</si>
  <si>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</si>
  <si>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</si>
  <si>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</si>
  <si>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</si>
  <si>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FERNANADA ORNELAS</t>
  </si>
  <si>
    <t>UI 16 DE SEPTIEMBRE</t>
  </si>
  <si>
    <t>NOMBRE DEL ALUMNO</t>
  </si>
  <si>
    <t>COODINADORES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</si>
  <si>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</si>
  <si>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</si>
  <si>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</si>
  <si>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</si>
  <si>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</si>
  <si>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</si>
  <si>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</si>
  <si>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</si>
  <si>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</si>
  <si>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DESCUENTOS</t>
  </si>
  <si>
    <t>Descuentos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</si>
  <si>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</si>
  <si>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</si>
  <si>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</si>
  <si>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</si>
  <si>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</si>
  <si>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</si>
  <si>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</si>
  <si>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</si>
  <si>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</si>
  <si>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</si>
  <si>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</si>
  <si>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</si>
  <si>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</si>
  <si>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</si>
  <si>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</si>
  <si>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</si>
  <si>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</si>
  <si>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</si>
  <si>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</si>
  <si>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</si>
  <si>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</si>
  <si>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</si>
  <si>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</si>
  <si>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</si>
  <si>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</si>
  <si>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LIZBETH RAMOS</t>
  </si>
  <si>
    <t>EUNICE RAMOS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</si>
  <si>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</si>
  <si>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</si>
  <si>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</si>
  <si>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</si>
  <si>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</si>
  <si>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</si>
  <si>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</si>
  <si>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</si>
  <si>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</si>
  <si>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</si>
  <si>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</si>
  <si>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</si>
  <si>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</si>
  <si>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JOSE ANTONIO</t>
  </si>
  <si>
    <t>JORGE ORTEGA</t>
  </si>
  <si>
    <t>DANIELA JAUREGUI</t>
  </si>
  <si>
    <t>ABRIL LOPEZ</t>
  </si>
  <si>
    <t>ANDREA ESQUEDA</t>
  </si>
  <si>
    <t>JANETH CORONA</t>
  </si>
  <si>
    <t>ARNULFO ADAIR MACIAS</t>
  </si>
  <si>
    <t>IRVING ARAUJO</t>
  </si>
  <si>
    <t>GUIDO MURILLO</t>
  </si>
  <si>
    <t>JUAN PABLO SANTIAGO</t>
  </si>
  <si>
    <t>JORGE GARCIA ESTRADA</t>
  </si>
  <si>
    <t>JORGE GARCIA</t>
  </si>
  <si>
    <t>Bryan Gutierrez Alvarez</t>
  </si>
  <si>
    <t>Mariana Alejandra Paz Lopes</t>
  </si>
  <si>
    <t>Liam Pedroza Manzanero</t>
  </si>
  <si>
    <t>Humberto Emanuel Medina Medina</t>
  </si>
  <si>
    <t>Karla Aracely Sanchez Barcenas</t>
  </si>
  <si>
    <t>Martha Estela Barcenas Gonzalez</t>
  </si>
  <si>
    <t>Jose Miguel Rocha Hernandez</t>
  </si>
  <si>
    <t>Cecilia Rodriguez Gutierrez</t>
  </si>
  <si>
    <t>Ximena Gonzalez Sanchez</t>
  </si>
  <si>
    <t>Joel Apolonio Lozano Orozco</t>
  </si>
  <si>
    <t>Luz Fernanda Zuñiga Campusano</t>
  </si>
  <si>
    <t>Javier Uriel Almaguer Hernandez</t>
  </si>
  <si>
    <t>Daniela Isamar Jimenez Jaime</t>
  </si>
  <si>
    <t>Evan Greco Arambula Padilla</t>
  </si>
  <si>
    <t>Karol Denisse Nava Soto</t>
  </si>
  <si>
    <t>Oscar Uriel Gonzalez Gomez</t>
  </si>
  <si>
    <t>Myriam Margarita Infante Zavala</t>
  </si>
  <si>
    <t>Ricardo Daniel Hernandez Ramos</t>
  </si>
  <si>
    <t>Daniel Guadalupe Hernandez Moran</t>
  </si>
  <si>
    <t>Andrea del Rocio Ramirez Gonzalez</t>
  </si>
  <si>
    <t>Jesus Abraham Mares Zamora</t>
  </si>
  <si>
    <t>Alma Celia Gomez Flores</t>
  </si>
  <si>
    <t>Jose Eduardo Alba Rios</t>
  </si>
  <si>
    <t>Jose Eduardo Torres Alvarez</t>
  </si>
  <si>
    <t>Maria Guadalupe Contreras Aranda</t>
  </si>
  <si>
    <t>Fabian Miguel Barajas Ortega</t>
  </si>
  <si>
    <t>Susana García Robledo</t>
  </si>
  <si>
    <t>Abril Danya Martinez Espino</t>
  </si>
  <si>
    <t>Briana Allison Juarez Hernandez</t>
  </si>
  <si>
    <t>Edgar Alejandro Aceves Moreno</t>
  </si>
  <si>
    <t>MARIA DE JESUS GARCIA VAZQUEZ</t>
  </si>
  <si>
    <t>EVELINA GARNICA CAUDILLO</t>
  </si>
  <si>
    <t>MARIA XIMENA ROCHA SOTELO</t>
  </si>
  <si>
    <t>XOCHITL MONSERRAT ROCHA SOTELO</t>
  </si>
  <si>
    <t>GLORIA ESTAFANIA CENDEJAS VARELA</t>
  </si>
  <si>
    <t>MARIA DE JESUS ACOSTA MENA</t>
  </si>
  <si>
    <t>ISAURA JIMENEZ TRUJILLO</t>
  </si>
  <si>
    <t>EDGAR GUILLERMO JAIME MONTELONGO</t>
  </si>
  <si>
    <t>LILIA ALEJANDRA ROJAS CORONADO</t>
  </si>
  <si>
    <t>YOLANDA ELIZABETH HENANDEZ HUERTA</t>
  </si>
  <si>
    <t>JOSE RAUL RAMIREZ PEREZ</t>
  </si>
  <si>
    <t>BRANDON BARRON RODRIGUEZ</t>
  </si>
  <si>
    <t>MARIA DEL CARMEN PEREZ REYNO</t>
  </si>
  <si>
    <t>LEONARDO PIZA ROCHA</t>
  </si>
  <si>
    <t>MARIA DE LOS ANGELES DE LA CRUZ JUÁREZ</t>
  </si>
  <si>
    <t>SALVADOR JASSO CAMPOS</t>
  </si>
  <si>
    <t>LUZ MARIANA BARBA MANRIQAUEZ</t>
  </si>
  <si>
    <t>GAEL ORNELAS MARTINEZ</t>
  </si>
  <si>
    <t>ARLETH SOFIA ORNELAS MARTINEZ</t>
  </si>
  <si>
    <t>MORA ESCOBAR SANDRA</t>
  </si>
  <si>
    <t>ROCHA MUÑOZ ANTONIO</t>
  </si>
  <si>
    <t>ROCHA HERNANDEZ JOSE MIGUEL</t>
  </si>
  <si>
    <t>ESPINOSA ALTAMIRANO EMMA ZOE</t>
  </si>
  <si>
    <t>LEZAMA CONTRERAS SAMUEL DAVID</t>
  </si>
  <si>
    <t>LEIJA CERVERA MARIA ENRIQUETA</t>
  </si>
  <si>
    <t>ROCHA SANDOVAL CARLOS MANUEL</t>
  </si>
  <si>
    <t>ESCOBAR MARTINEZ MIGUEL ANGEL</t>
  </si>
  <si>
    <t>CARVAAL AGUIRRE LETICIA JEANNETTE</t>
  </si>
  <si>
    <t>MORALES SALAS INGRID GUADALUPE</t>
  </si>
  <si>
    <t>PREPA</t>
  </si>
  <si>
    <t>AUX DE ENFERMERÍA</t>
  </si>
  <si>
    <t>INGLES KIDS</t>
  </si>
  <si>
    <t>REP DE CELULARES</t>
  </si>
  <si>
    <t>COMPUTACIÓN</t>
  </si>
  <si>
    <t>PREPA INTENSIVA</t>
  </si>
  <si>
    <t>INGLES INTENSIVO</t>
  </si>
  <si>
    <t>AUX DE ENFERMERIA</t>
  </si>
  <si>
    <t>CONTABILIDAD</t>
  </si>
  <si>
    <t>INGLÉS</t>
  </si>
  <si>
    <t>PREPA INTENSIVO</t>
  </si>
  <si>
    <t>COMPUTACION</t>
  </si>
  <si>
    <t>TEENS</t>
  </si>
  <si>
    <t>AUX. ENFERMERÌA</t>
  </si>
  <si>
    <t>INGLES</t>
  </si>
  <si>
    <t>COLBACH</t>
  </si>
  <si>
    <t>INGLES KINDER</t>
  </si>
  <si>
    <t>CONTABLE</t>
  </si>
  <si>
    <t>COMP</t>
  </si>
  <si>
    <t>AUX ENFER</t>
  </si>
  <si>
    <t>COSTO POR REGISTRO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</si>
</sst>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m/d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7" fillId="0" borderId="4" applyNumberFormat="0" applyFill="0" applyAlignment="0" applyProtection="0"/>
  </cellStyleXfs>
  <cellXfs count="116">
    <xf numFmtId="0" fontId="0" fillId="0" borderId="0" xfId="0"/>
    <xf numFmtId="0" fontId="2" fillId="0" borderId="0" xfId="0" applyFont="1"/>
    <xf numFmtId="165" fontId="2" fillId="0" borderId="0" xfId="1" applyFont="1" applyFill="1" applyBorder="1"/>
    <xf numFmtId="165" fontId="3" fillId="0" borderId="0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5" fontId="2" fillId="0" borderId="0" xfId="1" applyFont="1" applyFill="1" applyBorder="1" applyAlignment="1"/>
    <xf numFmtId="0" fontId="3" fillId="0" borderId="0" xfId="0" applyFont="1"/>
    <xf numFmtId="0" fontId="3" fillId="0" borderId="0" xfId="0" applyFont="1" applyAlignment="1">
      <alignment vertical="center"/>
    </xf>
    <xf numFmtId="165" fontId="3" fillId="0" borderId="0" xfId="1" applyFont="1" applyFill="1" applyBorder="1" applyAlignment="1"/>
    <xf numFmtId="165" fontId="3" fillId="0" borderId="0" xfId="1" applyFont="1" applyFill="1" applyBorder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wrapText="1"/>
    </xf>
    <xf numFmtId="166" fontId="4" fillId="0" borderId="0" xfId="0" applyNumberFormat="1" applyFont="1"/>
    <xf numFmtId="166" fontId="4" fillId="0" borderId="0" xfId="0" applyNumberFormat="1" applyFont="1" applyAlignment="1">
      <alignment vertical="center"/>
    </xf>
    <xf numFmtId="168" fontId="4" fillId="0" borderId="0" xfId="0" applyNumberFormat="1" applyFont="1"/>
    <xf numFmtId="0" fontId="5" fillId="0" borderId="0" xfId="0" applyFont="1" applyAlignment="1">
      <alignment horizontal="right"/>
    </xf>
    <xf numFmtId="166" fontId="5" fillId="0" borderId="0" xfId="0" applyNumberFormat="1" applyFont="1" applyAlignment="1">
      <alignment vertical="center"/>
    </xf>
    <xf numFmtId="0" fontId="5" fillId="0" borderId="0" xfId="0" applyFont="1" applyAlignment="1">
      <alignment horizontal="right" vertical="center"/>
    </xf>
    <xf numFmtId="16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6" fontId="5" fillId="2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right"/>
    </xf>
    <xf numFmtId="166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/>
    </xf>
    <xf numFmtId="44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horizontal="center" vertical="center"/>
    </xf>
    <xf numFmtId="165" fontId="0" fillId="0" borderId="0" xfId="1" applyFont="1"/>
    <xf numFmtId="0" fontId="4" fillId="0" borderId="0" xfId="0" applyFont="1" applyAlignment="1">
      <alignment horizontal="right" vertical="center"/>
    </xf>
    <xf numFmtId="0" fontId="5" fillId="0" borderId="3" xfId="0" applyFont="1" applyBorder="1"/>
    <xf numFmtId="14" fontId="4" fillId="0" borderId="3" xfId="0" applyNumberFormat="1" applyFont="1" applyBorder="1"/>
    <xf numFmtId="0" fontId="5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right"/>
    </xf>
    <xf numFmtId="44" fontId="5" fillId="0" borderId="2" xfId="1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4" fontId="4" fillId="0" borderId="3" xfId="0" applyNumberFormat="1" applyFont="1" applyBorder="1" applyProtection="1">
      <protection locked="0"/>
    </xf>
    <xf numFmtId="14" fontId="4" fillId="0" borderId="3" xfId="0" applyNumberFormat="1" applyFont="1" applyBorder="1" applyAlignment="1" applyProtection="1">
      <alignment vertical="center"/>
      <protection locked="0"/>
    </xf>
    <xf numFmtId="1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9" fillId="0" borderId="0" xfId="0" applyNumberFormat="1" applyFont="1" applyAlignment="1">
      <alignment horizontal="center" vertical="center"/>
    </xf>
    <xf numFmtId="0" fontId="7" fillId="0" borderId="4" xfId="2"/>
    <xf numFmtId="0" fontId="7" fillId="0" borderId="4" xfId="2" applyAlignment="1">
      <alignment horizontal="center"/>
    </xf>
    <xf numFmtId="0" fontId="7" fillId="0" borderId="0" xfId="2" applyBorder="1"/>
    <xf numFmtId="164" fontId="3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7" fillId="0" borderId="4" xfId="2" applyAlignment="1">
      <alignment vertical="center"/>
    </xf>
    <xf numFmtId="49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65" fontId="4" fillId="0" borderId="0" xfId="1" applyFont="1" applyAlignment="1">
      <alignment horizontal="center"/>
    </xf>
    <xf numFmtId="44" fontId="5" fillId="0" borderId="0" xfId="1" applyNumberFormat="1" applyFont="1" applyAlignment="1">
      <alignment vertical="center"/>
    </xf>
    <xf numFmtId="165" fontId="2" fillId="0" borderId="0" xfId="1" applyFont="1"/>
    <xf numFmtId="0" fontId="10" fillId="0" borderId="0" xfId="2" applyFont="1" applyBorder="1"/>
    <xf numFmtId="0" fontId="10" fillId="0" borderId="0" xfId="2" applyFont="1" applyBorder="1" applyAlignment="1">
      <alignment horizontal="center"/>
    </xf>
    <xf numFmtId="49" fontId="8" fillId="0" borderId="0" xfId="0" applyNumberFormat="1" applyFont="1" applyAlignment="1">
      <alignment horizontal="left"/>
    </xf>
    <xf numFmtId="165" fontId="4" fillId="0" borderId="2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/>
    <xf numFmtId="0" fontId="4" fillId="4" borderId="0" xfId="0" applyFont="1" applyFill="1"/>
    <xf numFmtId="0" fontId="4" fillId="6" borderId="0" xfId="0" applyFont="1" applyFill="1"/>
    <xf numFmtId="44" fontId="5" fillId="0" borderId="2" xfId="0" applyNumberFormat="1" applyFont="1" applyBorder="1" applyAlignment="1">
      <alignment horizontal="center" vertical="center"/>
    </xf>
    <xf numFmtId="44" fontId="5" fillId="0" borderId="2" xfId="1" applyNumberFormat="1" applyFont="1" applyBorder="1" applyAlignment="1" applyProtection="1">
      <alignment horizontal="center" vertical="center"/>
    </xf>
    <xf numFmtId="44" fontId="5" fillId="2" borderId="1" xfId="1" applyNumberFormat="1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 applyProtection="1">
      <alignment vertical="center"/>
      <protection locked="0"/>
    </xf>
    <xf numFmtId="165" fontId="4" fillId="0" borderId="2" xfId="1" applyFont="1" applyBorder="1" applyProtection="1"/>
    <xf numFmtId="44" fontId="4" fillId="0" borderId="0" xfId="1" applyNumberFormat="1" applyFont="1" applyFill="1" applyBorder="1" applyAlignment="1" applyProtection="1">
      <alignment horizontal="right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4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44" fontId="4" fillId="0" borderId="0" xfId="1" applyNumberFormat="1" applyFont="1" applyFill="1" applyAlignment="1" applyProtection="1">
      <alignment horizontal="right"/>
      <protection locked="0"/>
    </xf>
    <xf numFmtId="169" fontId="4" fillId="0" borderId="0" xfId="0" applyNumberFormat="1" applyFont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6" fontId="5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</cellXfs>
  <cellStyles count="3">
    <cellStyle name="Currency" xfId="1" builtinId="4"/>
    <cellStyle name="Heading 1" xfId="2" builtinId="16"/>
    <cellStyle name="Normal" xfId="0" builtinId="0"/>
  </cellStyles>
  <dxfs count="1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57150</xdr:rowOff>
        </xdr:from>
        <xdr:to>
          <xdr:col>14</xdr:col>
          <xdr:colOff>742950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Coordinadores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5</xdr:row>
          <xdr:rowOff>47625</xdr:rowOff>
        </xdr:from>
        <xdr:to>
          <xdr:col>14</xdr:col>
          <xdr:colOff>733425</xdr:colOff>
          <xdr:row>8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de Nominas Gerencia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Premios_Promotor" displayName="Premios_Promotor" ref="A4:F10" totalsRowShown="0" headerRowDxfId="169" dataDxfId="168" tableBorderDxfId="167" dataCellStyle="Currency">
  <autoFilter ref="A4:F10" xr:uid="{1DCBEDCC-84CA-4F68-A1BF-882DF7EB9AAD}"/>
  <tableColumns count="6">
    <tableColumn id="1" xr3:uid="{52B2CFAB-87CE-4CB9-8B44-7C63B5BB8779}" name="REGISTROS " dataDxfId="166"/>
    <tableColumn id="2" xr3:uid="{1F936614-3024-45E4-8B47-3E2669DC32FC}" name="0" dataDxfId="165" dataCellStyle="Currency"/>
    <tableColumn id="5" xr3:uid="{004B43FE-1D3B-4EE3-8961-771A3156DE8D}" name="13" dataDxfId="164" dataCellStyle="Currency"/>
    <tableColumn id="6" xr3:uid="{113128A4-9C84-4D65-ACBE-D34F68404358}" name="15" dataDxfId="163" dataCellStyle="Currency"/>
    <tableColumn id="3" xr3:uid="{4E945F5C-29A5-409D-9741-D02FDD95409D}" name="30" dataDxfId="162" dataCellStyle="Currency"/>
    <tableColumn id="4" xr3:uid="{F54F9DBA-BB7E-4D93-B316-DDF4038A6BBE}" name="40" dataDxfId="161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Premios_Coordinador" displayName="Premios_Coordinador" ref="H4:I11" totalsRowShown="0" headerRowDxfId="160" tableBorderDxfId="159">
  <autoFilter ref="H4:I11" xr:uid="{F9D8FF99-7FBD-4770-86D4-916903E3362B}"/>
  <tableColumns count="2">
    <tableColumn id="1" xr3:uid="{0E6771B9-BC03-4485-BDA4-FEEA8045374D}" name="REGISTROS" dataDxfId="158"/>
    <tableColumn id="2" xr3:uid="{4295DB49-D0F8-4407-9A7E-ED849FC12761}" name="PAGO" dataDxfId="157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Premios_Gerente" displayName="Premios_Gerente" ref="K4:L13" totalsRowShown="0" headerRowDxfId="156" tableBorderDxfId="155">
  <autoFilter ref="K4:L13" xr:uid="{782E832C-499C-406E-AFE6-A5C76665B594}"/>
  <tableColumns count="2">
    <tableColumn id="1" xr3:uid="{7A8416CF-E219-4CDB-8FDD-07CF7E1FE521}" name="REGISTROS" dataDxfId="154"/>
    <tableColumn id="2" xr3:uid="{C0009598-D6D0-42B2-9CE0-A1EE69F3EAA6}" name="PAGO" dataDxfId="153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ulador_Premio_Promotor_Total_Gerencia" displayName="Tabulador_Premio_Promotor_Total_Gerencia" ref="A12:B17" totalsRowShown="0" headerRowDxfId="152" tableBorderDxfId="151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05EA9-2BC1-462C-96D4-B4A60135AD3D}" name="Planteles" displayName="Planteles" ref="A3:B16" totalsRowShown="0" tableBorderDxfId="150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ulador_Promotor" displayName="Tabulador_Promotor" ref="A3:B4" totalsRowShown="0" headerRowDxfId="149" dataDxfId="148" tableBorderDxfId="147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46"/>
    <tableColumn id="2" xr3:uid="{70072444-3B0C-4F18-B27B-4FC876B6174F}" name="PAGO" dataDxfId="14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ulador_Coordinador" displayName="Tabulador_Coordinador" ref="D3:F8" totalsRowShown="0" headerRowDxfId="144" dataDxfId="143" tableBorderDxfId="142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41"/>
    <tableColumn id="3" xr3:uid="{32B4B292-4525-4662-AD66-6005E8DBCE66}" name="MAX" dataDxfId="140"/>
    <tableColumn id="2" xr3:uid="{1D0B27CB-CCDF-4BB3-95C0-08040C389ED4}" name="PAGO" dataDxfId="139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ulador_Gerente" displayName="Tabulador_Gerente" ref="H3:J8" totalsRowShown="0" headerRowDxfId="138" dataDxfId="137" tableBorderDxfId="136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35"/>
    <tableColumn id="3" xr3:uid="{DB963CCE-7667-4B57-8C20-10A4A00B0919}" name="MAX" dataDxfId="134"/>
    <tableColumn id="2" xr3:uid="{C1C619F7-F64B-4052-A8CA-7DEBAE64B680}" name="PAGO" dataDxfId="133" dataCellStyle="Currency"/>
  </tableColumns>
  <tableStyleInfo name="TableStyleMedium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Sueldo_Base_Por_Puesto" displayName="Sueldo_Base_Por_Puesto" ref="L3:M6" totalsRowShown="0" headerRowDxfId="132" dataDxfId="131">
  <autoFilter ref="L3:M6" xr:uid="{CF9270D9-B009-4143-8D2B-9E1240DA6F10}"/>
  <tableColumns count="2">
    <tableColumn id="1" xr3:uid="{552B5163-6F1D-4FBD-A357-02C46236A87B}" name="PUESTO" dataDxfId="130"/>
    <tableColumn id="2" xr3:uid="{5711A27E-1EE4-46B1-A04E-5D03F5CEBB74}" name="SUELDO BASE" dataDxfId="129" dataCellStyle="Currency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Sueldos_Base" displayName="Sueldos_Base" ref="L10:P19" totalsRowShown="0" headerRowDxfId="128" dataDxfId="127">
  <autoFilter ref="L10:P19" xr:uid="{1147D880-06D1-4D7B-B657-F07A229C7E08}"/>
  <tableColumns count="5">
    <tableColumn id="1" xr3:uid="{C2BD86FE-CD09-4E33-924A-D229ACE908E5}" name="COLABORADOR" dataDxfId="126"/>
    <tableColumn id="2" xr3:uid="{24553BA7-BE24-4460-AA82-33D1DCC84F4A}" name="SUELDO BASE" dataDxfId="125" dataCellStyle="Currency"/>
    <tableColumn id="5" xr3:uid="{6AE8BC63-6EC0-47FC-9DBB-DCE8AF4B89F8}" name="PUESTO" dataDxfId="124"/>
    <tableColumn id="3" xr3:uid="{EB4A0A70-B1F2-40A4-AC06-15BA77F108EE}" name="COORDINACION" dataDxfId="123"/>
    <tableColumn id="4" xr3:uid="{EDC6B3E8-8800-4CCF-9C64-C3873CF91EF2}" name="GERENCIA" dataDxfId="122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Descuentos" displayName="Descuentos" ref="R3:W4" totalsRowShown="0" headerRowDxfId="121" dataDxfId="120">
  <autoFilter ref="R3:W4" xr:uid="{968159DA-88A6-4E59-B876-F2A425C567A9}"/>
  <tableColumns count="6">
    <tableColumn id="1" xr3:uid="{6A4C6522-2E5C-4103-8B8C-B0A723293670}" name="COLABORADOR" dataDxfId="119"/>
    <tableColumn id="2" xr3:uid="{29E00D9E-BA5E-4284-871D-7C79414179C7}" name="DESCUENTO" dataDxfId="118" dataCellStyle="Currency">
      <calculatedColumnFormula>SUMIF(Sueldos_Base[COORDINACION],Descuentos[[#This Row],[COORDINACION]],Sueldos_Base[SUELDO BASE])*0.3 * -1</calculatedColumnFormula>
    </tableColumn>
    <tableColumn id="6" xr3:uid="{FC42CF7F-86CC-4017-BD0A-792ED3EA4FAB}" name="CONCEPTO" dataDxfId="117" dataCellStyle="Currency"/>
    <tableColumn id="5" xr3:uid="{6D3C6C93-F493-4C8D-857F-155F5350958B}" name="PUESTO" dataDxfId="116"/>
    <tableColumn id="3" xr3:uid="{81E86445-B5A3-4E4E-93E5-A947F43CC839}" name="COORDINACION" dataDxfId="115"/>
    <tableColumn id="4" xr3:uid="{829B3219-00AE-46DB-8F5B-C4EFFEFCD5DB}" name="GERENCIA" dataDxfId="114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Gerentes" displayName="Gerentes" ref="A3:B6" totalsRowShown="0" headerRowDxfId="113" dataDxfId="112" tableBorderDxfId="111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10"/>
    <tableColumn id="2" xr3:uid="{00B08831-9CDB-4BD2-BC0F-DC47A6A4F354}" name="ALIAS" dataDxfId="109"/>
  </tableColumns>
  <tableStyleInfo name="TableStyleMedium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Coordinadores" displayName="Coordinadores" ref="D3:F14" totalsRowShown="0" headerRowDxfId="108" dataDxfId="107" tableBorderDxfId="106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05"/>
    <tableColumn id="3" xr3:uid="{2DD1284D-DA80-4597-803E-F543BE29814B}" name="ALIAS"/>
    <tableColumn id="2" xr3:uid="{4267DC2B-70EF-4B96-85D9-390931974CA4}" name="GERENCIA" dataDxfId="104"/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Promotores" displayName="Promotores" ref="H3:K50" totalsRowShown="0" headerRowDxfId="103" dataDxfId="102" tableBorderDxfId="101">
  <autoFilter ref="H3:K50" xr:uid="{B4EB82E4-CF9A-4936-88EA-6D8471CDAA6B}"/>
  <sortState xmlns:xlrd2="http://schemas.microsoft.com/office/spreadsheetml/2017/richdata2" ref="H4:K50">
    <sortCondition ref="K3:K50"/>
  </sortState>
  <tableColumns count="4">
    <tableColumn id="1" xr3:uid="{AB044EFA-BC51-4471-87D5-475D29D84838}" name="NOMBRE" dataDxfId="100"/>
    <tableColumn id="4" xr3:uid="{A184B911-0E2E-4D86-8830-CA03C708B065}" name="ALIAS" dataDxfId="99"/>
    <tableColumn id="2" xr3:uid="{104E3815-4B2A-4477-9382-D78944AFF843}" name="COORDINACION" dataDxfId="98"/>
    <tableColumn id="3" xr3:uid="{461A0A24-4F60-4FB0-A7D3-2D78DCB499E9}" name="GERENCIA" dataDxfId="97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96" dataDxfId="95" totalsRowDxfId="93" tableBorderDxfId="94">
  <autoFilter ref="A8:K9" xr:uid="{9C0FA07F-0DE0-4099-9974-17C69221CC48}"/>
  <tableColumns count="11">
    <tableColumn id="1" xr3:uid="{19C5DD40-BE0D-4F37-942C-33F42CA8A26B}" name="PROMOTOR" totalsRowLabel="TOTAL COMISION" dataDxfId="92" totalsRowDxfId="91"/>
    <tableColumn id="3" xr3:uid="{5B23042C-BE2F-4E30-A41F-5DC03A9C6C4D}" name="CREDENCIAL" dataDxfId="90" totalsRowDxfId="89"/>
    <tableColumn id="4" xr3:uid="{9B4226F9-249A-4A0A-B259-362B9DB0BAF7}" name="NOMBRE DEL ALUMNO" dataDxfId="88" totalsRowDxfId="87"/>
    <tableColumn id="5" xr3:uid="{4A52831D-FAC8-4B99-B890-88CD1DD952B8}" name="COMISION" totalsRowFunction="sum" dataDxfId="86" totalsRowDxfId="85">
      <calculatedColumnFormula>IF(OR(Tabla_Coordinador[[#This Row],[GRUPO]] = 501, Tabla_Coordinador[[#This Row],[GRUPO]] = 503, Tabla_Coordinador[[#This Row],[GRUPO]] = "", Tabla_Coordinador[[#This Row],[GRUPO]] = 500, Tabla_Coordinador[[#This Row],[PAGO]] &lt; 299),
    0,
    VLOOKUP(Total_Registros_Coordinador, Tabulador_Coordinador[], 3, TRUE)
)</calculatedColumnFormula>
    </tableColumn>
    <tableColumn id="6" xr3:uid="{98E6506C-CDC5-4BF4-B0EC-396314124A1E}" name="PLANTEL" dataDxfId="84" totalsRowDxfId="83"/>
    <tableColumn id="7" xr3:uid="{E2569798-5824-4510-854E-E7A571E0E564}" name="CURSO" dataDxfId="82" totalsRowDxfId="81"/>
    <tableColumn id="8" xr3:uid="{67FDCAF1-8329-4126-BC1C-00F4EAAF6E00}" name="GRUPO" dataDxfId="80" totalsRowDxfId="79"/>
    <tableColumn id="9" xr3:uid="{AC40ABEB-FD9B-4099-9F83-E129B1162F76}" name="PAGO" dataDxfId="78" totalsRowDxfId="77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76" totalsRowDxfId="75"/>
    <tableColumn id="12" xr3:uid="{DD2945A0-712B-4694-BEE8-E37BE99A65ED}" name="TS PLANTEL " dataDxfId="74" totalsRowDxfId="73"/>
    <tableColumn id="13" xr3:uid="{9F84B062-DFF3-455F-907E-2FFD77D79C98}" name="TS CREDENCIAL " dataDxfId="72" totalsRowDxfId="71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70" dataDxfId="69" totalsRowDxfId="67" tableBorderDxfId="68">
  <autoFilter ref="A8:K9" xr:uid="{C71DDCE0-811A-4D44-9CD0-772974577224}"/>
  <tableColumns count="11">
    <tableColumn id="1" xr3:uid="{A6779933-13F4-45D5-B0BE-0E76DC3825EC}" name="PROMOTOR" totalsRowLabel="TOTAL COMISION" dataDxfId="66" totalsRowDxfId="65"/>
    <tableColumn id="3" xr3:uid="{B062B3B6-A816-4FF4-94DB-3941B90A3AFB}" name="CREDENCIAL" dataDxfId="64" totalsRowDxfId="63"/>
    <tableColumn id="4" xr3:uid="{AC623468-4FBB-4F5F-B2C6-7CA181BD4972}" name="NOMBRE DEL ALUMNO " dataDxfId="62" totalsRowDxfId="61"/>
    <tableColumn id="5" xr3:uid="{1F089BDE-6469-4A0B-BAE3-84045AEC151E}" name="COMISION" totalsRowFunction="sum" dataDxfId="60" totalsRowDxfId="59">
      <calculatedColumnFormula>IF(OR(Tabla_Promotor[[#This Row],[GRUPO]] = "", Tabla_Promotor[[#This Row],[GRUPO]] = 500), 0,
   IF(Tabla_Promotor[[#This Row],[GRUPO]] = 503, Tabla_Promotor[[#This Row],[PAGO]],
   IF(Tabla_Promotor[[#This Row],[PAGO]] &gt;= 299, Tabla_Promotor[[#This Row],[PAGO]] - 150, 0)))</calculatedColumnFormula>
    </tableColumn>
    <tableColumn id="6" xr3:uid="{3C3A7400-D457-4E2F-96C3-73C9DB45BA5C}" name="PLANTEL" dataDxfId="58" totalsRowDxfId="57"/>
    <tableColumn id="7" xr3:uid="{0B52D944-9BCE-465A-9E0A-16ACA93A916E}" name="CURSO" dataDxfId="56" totalsRowDxfId="55"/>
    <tableColumn id="8" xr3:uid="{6ED92993-524D-44AC-BCB5-42E120A94D27}" name="GRUPO" dataDxfId="54" totalsRowDxfId="53"/>
    <tableColumn id="9" xr3:uid="{2C6EF25D-446E-444A-B421-53BBA5381135}" name="PAGO" dataDxfId="52" totalsRowDxfId="51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50" totalsRowDxfId="49"/>
    <tableColumn id="12" xr3:uid="{2EB107FE-318E-48B7-A8DC-B15BE97A41DE}" name="TS PLANTEL " dataDxfId="48" totalsRowDxfId="47"/>
    <tableColumn id="13" xr3:uid="{4C94A03A-F424-4744-A7E6-CCB2193F2A8D}" name="TS CREDENCIAL " dataDxfId="46" totalsRowDxfId="45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L70" totalsRowCount="1" headerRowDxfId="44" dataDxfId="43" totalsRowDxfId="41" tableBorderDxfId="42">
  <autoFilter ref="A8:L69" xr:uid="{A305F6E2-D5D6-4EBD-8B3C-0D248B73A287}"/>
  <sortState xmlns:xlrd2="http://schemas.microsoft.com/office/spreadsheetml/2017/richdata2" ref="A9:L69">
    <sortCondition ref="A9:A68"/>
  </sortState>
  <tableColumns count="12">
    <tableColumn id="1" xr3:uid="{7448FB15-C3FC-46D5-9295-B52A380565C0}" name="COORDINADOR" totalsRowLabel="TOTAL COMISION" dataDxfId="40" totalsRowDxfId="39"/>
    <tableColumn id="3" xr3:uid="{F7FE17D9-8003-43E0-96E2-9B972F359B57}" name="CREDENCIAL" dataDxfId="38" totalsRowDxfId="37"/>
    <tableColumn id="4" xr3:uid="{AC7EEA83-9F8E-44E3-B123-B0B53E6B8EC1}" name="NOMBRE DEL ALUMNO" dataDxfId="36" totalsRowDxfId="35"/>
    <tableColumn id="5" xr3:uid="{0692000D-513F-4924-BAA4-74F65B866529}" name="COMISION" totalsRowFunction="sum" dataDxfId="34" totalsRowDxfId="33">
      <calculatedColumnFormula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calculatedColumnFormula>
    </tableColumn>
    <tableColumn id="6" xr3:uid="{CA4978CE-10CF-48A8-948B-4C6B5BEB8BF5}" name="PLANTEL" dataDxfId="32" totalsRowDxfId="31"/>
    <tableColumn id="7" xr3:uid="{579CE2E3-347A-4C5C-82DC-98E153BDF40A}" name="CURSO" dataDxfId="30" totalsRowDxfId="29"/>
    <tableColumn id="8" xr3:uid="{0EBAAD61-5825-4628-90D2-2F35F3DA04C7}" name="GRUPO" dataDxfId="28" totalsRowDxfId="27"/>
    <tableColumn id="9" xr3:uid="{DA401AF7-4D16-49DC-8E7E-9B3EC63EABF5}" name="PAGO" dataDxfId="26" totalsRowDxfId="25" dataCellStyle="Currency"/>
    <tableColumn id="10" xr3:uid="{A2F8A34B-2DE7-44AF-8657-CBB70F6C2E5D}" name="FECHA" dataDxfId="24" totalsRowDxfId="23"/>
    <tableColumn id="11" xr3:uid="{9A6A3285-8D3A-4278-8063-F75D4C5AADAC}" name="PROMOTOR" dataDxfId="22" totalsRowDxfId="21"/>
    <tableColumn id="12" xr3:uid="{B6E9C414-52E7-489F-AE3D-3AE657C11D5F}" name="TS PLANTEL " dataDxfId="20" totalsRowDxfId="19"/>
    <tableColumn id="13" xr3:uid="{94FB8847-55A2-4AB1-892D-CC285D0C120B}" name="TS CREDENCIAL " dataDxfId="18" totalsRowDxfId="17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B4" sqref="B4"/>
    </sheetView>
  </sheetViews>
  <sheetFormatPr defaultColWidth="22.28515625" defaultRowHeight="15" x14ac:dyDescent="0.25"/>
  <cols>
    <col min="1" max="1" width="22.42578125" bestFit="1" customWidth="1"/>
    <col min="2" max="2" width="24.7109375" bestFit="1" customWidth="1"/>
    <col min="3" max="6" width="11.5703125" bestFit="1" customWidth="1"/>
    <col min="7" max="7" width="2.85546875" customWidth="1"/>
    <col min="8" max="8" width="23.140625" bestFit="1" customWidth="1"/>
    <col min="9" max="9" width="11.5703125" bestFit="1" customWidth="1"/>
    <col min="10" max="10" width="2.85546875" customWidth="1"/>
    <col min="11" max="11" width="16.28515625" bestFit="1" customWidth="1"/>
    <col min="12" max="12" width="11.5703125" bestFit="1" customWidth="1"/>
  </cols>
  <sheetData>
    <row r="1" spans="1:13" ht="20.25" thickBot="1" x14ac:dyDescent="0.35">
      <c r="A1" s="68" t="s">
        <v>0</v>
      </c>
      <c r="B1" s="63"/>
      <c r="C1" s="63"/>
      <c r="D1" s="63"/>
      <c r="E1" s="63"/>
      <c r="F1" s="63"/>
      <c r="H1" s="68" t="s">
        <v>9</v>
      </c>
      <c r="I1" s="63"/>
      <c r="J1" s="7"/>
      <c r="K1" s="63" t="s">
        <v>3</v>
      </c>
      <c r="L1" s="63"/>
      <c r="M1" s="6"/>
    </row>
    <row r="2" spans="1:13" ht="15" customHeight="1" thickTop="1" x14ac:dyDescent="0.25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5.75" x14ac:dyDescent="0.25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5.75" x14ac:dyDescent="0.25">
      <c r="A4" s="4" t="s">
        <v>2</v>
      </c>
      <c r="B4" s="4" t="s">
        <v>58</v>
      </c>
      <c r="C4" s="71" t="s">
        <v>56</v>
      </c>
      <c r="D4" s="71" t="s">
        <v>10</v>
      </c>
      <c r="E4" s="71" t="s">
        <v>11</v>
      </c>
      <c r="F4" s="71" t="s">
        <v>12</v>
      </c>
      <c r="H4" s="70" t="s">
        <v>5</v>
      </c>
      <c r="I4" s="70" t="s">
        <v>1</v>
      </c>
      <c r="J4" s="6"/>
      <c r="K4" s="70" t="s">
        <v>5</v>
      </c>
      <c r="L4" s="70" t="s">
        <v>1</v>
      </c>
      <c r="M4" s="6"/>
    </row>
    <row r="5" spans="1:13" ht="15.75" x14ac:dyDescent="0.25">
      <c r="A5" s="67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5.75" x14ac:dyDescent="0.25">
      <c r="A6" s="67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5.75" x14ac:dyDescent="0.25">
      <c r="A7" s="67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5.75" x14ac:dyDescent="0.25">
      <c r="A8" s="67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5.75" x14ac:dyDescent="0.25">
      <c r="A9" s="67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5.75" x14ac:dyDescent="0.25">
      <c r="A10" s="67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5.75" x14ac:dyDescent="0.25">
      <c r="A11" s="67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5.75" x14ac:dyDescent="0.25">
      <c r="A12" s="72" t="s">
        <v>54</v>
      </c>
      <c r="B12" s="72" t="s">
        <v>55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5.75" x14ac:dyDescent="0.25">
      <c r="A13" s="1">
        <v>0</v>
      </c>
      <c r="B13" s="1">
        <f>COLUMN(Premios_Promotor[[#Headers],[0]])</f>
        <v>2</v>
      </c>
      <c r="C13" s="1"/>
      <c r="K13" s="1">
        <v>200</v>
      </c>
      <c r="L13" s="5">
        <v>8000</v>
      </c>
      <c r="M13" s="5"/>
    </row>
    <row r="14" spans="1:13" ht="15.75" x14ac:dyDescent="0.25">
      <c r="A14" s="1">
        <v>13</v>
      </c>
      <c r="B14" s="1">
        <f>COLUMN(Premios_Promotor[[#Headers],[13]])</f>
        <v>3</v>
      </c>
    </row>
    <row r="15" spans="1:13" x14ac:dyDescent="0.25">
      <c r="A15">
        <v>15</v>
      </c>
      <c r="B15">
        <f>COLUMN(Premios_Promotor[[#Headers],[15]])</f>
        <v>4</v>
      </c>
    </row>
    <row r="16" spans="1:13" x14ac:dyDescent="0.25">
      <c r="A16">
        <v>30</v>
      </c>
      <c r="B16">
        <f>COLUMN(Premios_Promotor[[#Headers],[30]])</f>
        <v>5</v>
      </c>
    </row>
    <row r="17" spans="1:12" x14ac:dyDescent="0.25">
      <c r="A17">
        <v>40</v>
      </c>
      <c r="B17">
        <f>COLUMN(Premios_Promotor[[#Headers],[40]])</f>
        <v>6</v>
      </c>
    </row>
    <row r="19" spans="1:12" ht="15.75" x14ac:dyDescent="0.25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</row>
    <row r="21" spans="1:12" ht="15.75" x14ac:dyDescent="0.25">
      <c r="A21" s="13"/>
      <c r="B21" s="13"/>
      <c r="C21" s="13"/>
      <c r="D21" s="13"/>
    </row>
    <row r="22" spans="1:12" ht="15.75" x14ac:dyDescent="0.25">
      <c r="A22" s="13"/>
      <c r="B22" s="13"/>
      <c r="C22" s="13"/>
      <c r="D22" s="13"/>
    </row>
    <row r="23" spans="1:12" ht="15.75" x14ac:dyDescent="0.25">
      <c r="A23" s="13"/>
      <c r="B23" s="13"/>
      <c r="C23" s="13"/>
      <c r="D23" s="13"/>
    </row>
    <row r="24" spans="1:12" ht="15.7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7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7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7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7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B29" s="41"/>
    </row>
  </sheetData>
  <sheetProtection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D9C9-2602-4C4E-80C4-95B700292557}">
  <sheetPr codeName="Sheet5">
    <tabColor rgb="FFCC99FF"/>
  </sheetPr>
  <dimension ref="A1:L26"/>
  <sheetViews>
    <sheetView workbookViewId="0">
      <selection activeCell="B4" sqref="B4"/>
    </sheetView>
  </sheetViews>
  <sheetFormatPr defaultRowHeight="15" x14ac:dyDescent="0.25"/>
  <cols>
    <col min="1" max="1" width="19.42578125" bestFit="1" customWidth="1"/>
    <col min="2" max="2" width="21" bestFit="1" customWidth="1"/>
  </cols>
  <sheetData>
    <row r="1" spans="1:2" ht="20.25" thickBot="1" x14ac:dyDescent="0.35">
      <c r="A1" s="63" t="s">
        <v>64</v>
      </c>
      <c r="B1" s="63"/>
    </row>
    <row r="2" spans="1:2" ht="20.25" thickTop="1" x14ac:dyDescent="0.3">
      <c r="A2" s="65"/>
    </row>
    <row r="3" spans="1:2" x14ac:dyDescent="0.25">
      <c r="A3" t="s">
        <v>57</v>
      </c>
      <c r="B3" t="s">
        <v>65</v>
      </c>
    </row>
    <row r="4" spans="1:2" x14ac:dyDescent="0.25">
      <c r="A4" t="s">
        <v>47</v>
      </c>
    </row>
    <row r="5" spans="1:2" x14ac:dyDescent="0.25">
      <c r="A5" t="s">
        <v>35</v>
      </c>
    </row>
    <row r="6" spans="1:2" x14ac:dyDescent="0.25">
      <c r="A6" t="s">
        <v>23</v>
      </c>
    </row>
    <row r="7" spans="1:2" x14ac:dyDescent="0.25">
      <c r="A7" t="s">
        <v>41</v>
      </c>
    </row>
    <row r="8" spans="1:2" x14ac:dyDescent="0.25">
      <c r="A8" t="s">
        <v>44</v>
      </c>
    </row>
    <row r="9" spans="1:2" x14ac:dyDescent="0.25">
      <c r="A9" t="s">
        <v>36</v>
      </c>
    </row>
    <row r="10" spans="1:2" x14ac:dyDescent="0.25">
      <c r="A10" t="s">
        <v>37</v>
      </c>
    </row>
    <row r="11" spans="1:2" x14ac:dyDescent="0.25">
      <c r="A11" t="s">
        <v>113</v>
      </c>
    </row>
    <row r="12" spans="1:2" x14ac:dyDescent="0.25">
      <c r="A12" t="s">
        <v>42</v>
      </c>
      <c r="B12" t="s">
        <v>66</v>
      </c>
    </row>
    <row r="13" spans="1:2" x14ac:dyDescent="0.25">
      <c r="A13" t="s">
        <v>39</v>
      </c>
      <c r="B13" t="s">
        <v>66</v>
      </c>
    </row>
    <row r="14" spans="1:2" x14ac:dyDescent="0.25">
      <c r="A14" t="s">
        <v>43</v>
      </c>
    </row>
    <row r="15" spans="1:2" x14ac:dyDescent="0.25">
      <c r="A15" t="s">
        <v>38</v>
      </c>
      <c r="B15" t="s">
        <v>66</v>
      </c>
    </row>
    <row r="16" spans="1:2" x14ac:dyDescent="0.25">
      <c r="A16" t="s">
        <v>40</v>
      </c>
    </row>
    <row r="17" spans="1:12" ht="15.75" x14ac:dyDescent="0.25">
      <c r="A17" s="13"/>
      <c r="B17" s="13"/>
      <c r="C17" s="29"/>
      <c r="D17" s="28"/>
      <c r="E17" s="26"/>
      <c r="F17" s="26"/>
      <c r="G17" s="13"/>
      <c r="H17" s="13"/>
      <c r="I17" s="13"/>
      <c r="J17" s="13"/>
      <c r="K17" s="13"/>
      <c r="L17" s="13"/>
    </row>
    <row r="18" spans="1:12" ht="15.7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7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7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7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75" x14ac:dyDescent="0.25">
      <c r="J23" s="13"/>
      <c r="K23" s="13"/>
      <c r="L23" s="13"/>
    </row>
    <row r="24" spans="1:12" ht="15.75" x14ac:dyDescent="0.25">
      <c r="J24" s="13"/>
      <c r="K24" s="13"/>
      <c r="L24" s="13"/>
    </row>
    <row r="25" spans="1:12" ht="15.75" x14ac:dyDescent="0.25">
      <c r="J25" s="13"/>
      <c r="K25" s="13"/>
      <c r="L25" s="13"/>
    </row>
    <row r="26" spans="1:12" ht="15.75" x14ac:dyDescent="0.25">
      <c r="J26" s="13"/>
      <c r="K26" s="13"/>
      <c r="L26" s="13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fitToPage="1"/>
  </sheetPr>
  <dimension ref="A1:W51"/>
  <sheetViews>
    <sheetView workbookViewId="0">
      <selection activeCell="B4" sqref="B4"/>
    </sheetView>
  </sheetViews>
  <sheetFormatPr defaultColWidth="11.42578125" defaultRowHeight="15.75" x14ac:dyDescent="0.25"/>
  <cols>
    <col min="1" max="1" width="15" style="1" bestFit="1" customWidth="1"/>
    <col min="2" max="2" width="8.140625" style="2" bestFit="1" customWidth="1"/>
    <col min="3" max="3" width="2.85546875" style="2" customWidth="1"/>
    <col min="4" max="4" width="16.5703125" style="1" bestFit="1" customWidth="1"/>
    <col min="5" max="5" width="5.7109375" style="1" bestFit="1" customWidth="1"/>
    <col min="6" max="6" width="9.85546875" style="1" bestFit="1" customWidth="1"/>
    <col min="7" max="7" width="2.85546875" style="1" customWidth="1"/>
    <col min="8" max="8" width="11" style="1" bestFit="1" customWidth="1"/>
    <col min="9" max="9" width="5.7109375" style="1" bestFit="1" customWidth="1"/>
    <col min="10" max="10" width="9.85546875" style="1" bestFit="1" customWidth="1"/>
    <col min="11" max="11" width="2.85546875" style="1" customWidth="1"/>
    <col min="12" max="12" width="41.7109375" style="1" bestFit="1" customWidth="1"/>
    <col min="13" max="13" width="16.7109375" style="1" bestFit="1" customWidth="1"/>
    <col min="14" max="14" width="12.42578125" bestFit="1" customWidth="1"/>
    <col min="15" max="15" width="20.28515625" style="1" bestFit="1" customWidth="1"/>
    <col min="16" max="16" width="24" style="1" bestFit="1" customWidth="1"/>
    <col min="17" max="17" width="2.85546875" style="1" customWidth="1"/>
    <col min="18" max="18" width="41.7109375" style="1" bestFit="1" customWidth="1"/>
    <col min="19" max="19" width="16.7109375" style="1" bestFit="1" customWidth="1"/>
    <col min="20" max="20" width="39.140625" style="1" bestFit="1" customWidth="1"/>
    <col min="21" max="21" width="15.85546875" style="1" bestFit="1" customWidth="1"/>
    <col min="22" max="22" width="20.28515625" style="1" bestFit="1" customWidth="1"/>
    <col min="23" max="23" width="24" style="1" bestFit="1" customWidth="1"/>
    <col min="24" max="16384" width="11.42578125" style="1"/>
  </cols>
  <sheetData>
    <row r="1" spans="1:23" ht="20.25" thickBot="1" x14ac:dyDescent="0.35">
      <c r="A1" s="63" t="s">
        <v>8</v>
      </c>
      <c r="B1" s="63"/>
      <c r="D1" s="64" t="s">
        <v>14</v>
      </c>
      <c r="E1" s="63"/>
      <c r="F1" s="63"/>
      <c r="H1" s="64" t="s">
        <v>15</v>
      </c>
      <c r="I1" s="63"/>
      <c r="J1" s="63"/>
      <c r="L1" s="64" t="s">
        <v>123</v>
      </c>
      <c r="M1" s="63"/>
      <c r="N1" s="63"/>
      <c r="O1" s="63"/>
      <c r="P1" s="63"/>
      <c r="R1" s="64" t="s">
        <v>126</v>
      </c>
      <c r="S1" s="63"/>
      <c r="T1" s="63"/>
      <c r="U1" s="63"/>
      <c r="V1" s="63"/>
      <c r="W1" s="63"/>
    </row>
    <row r="2" spans="1:23" ht="16.5" thickTop="1" x14ac:dyDescent="0.25">
      <c r="A2" s="76"/>
      <c r="B2" s="5"/>
      <c r="D2" s="77"/>
      <c r="E2" s="4"/>
      <c r="H2" s="77"/>
      <c r="I2" s="4"/>
      <c r="N2" s="1"/>
    </row>
    <row r="3" spans="1:23" x14ac:dyDescent="0.25">
      <c r="A3" s="3" t="s">
        <v>51</v>
      </c>
      <c r="B3" s="8" t="s">
        <v>1</v>
      </c>
      <c r="D3" s="4" t="s">
        <v>52</v>
      </c>
      <c r="E3" s="4" t="s">
        <v>53</v>
      </c>
      <c r="F3" s="8" t="s">
        <v>1</v>
      </c>
      <c r="G3" s="8"/>
      <c r="H3" s="4" t="s">
        <v>52</v>
      </c>
      <c r="I3" s="4" t="s">
        <v>53</v>
      </c>
      <c r="J3" s="9" t="s">
        <v>1</v>
      </c>
      <c r="L3" s="1" t="s">
        <v>121</v>
      </c>
      <c r="M3" s="1" t="s">
        <v>13</v>
      </c>
      <c r="N3" s="1"/>
      <c r="R3" s="1" t="s">
        <v>124</v>
      </c>
      <c r="S3" s="1" t="s">
        <v>127</v>
      </c>
      <c r="T3" s="1" t="s">
        <v>129</v>
      </c>
      <c r="U3" s="1" t="s">
        <v>121</v>
      </c>
      <c r="V3" s="1" t="s">
        <v>104</v>
      </c>
      <c r="W3" s="1" t="s">
        <v>103</v>
      </c>
    </row>
    <row r="4" spans="1:23" x14ac:dyDescent="0.25">
      <c r="A4" s="66">
        <v>500</v>
      </c>
      <c r="B4" s="66">
        <v>350</v>
      </c>
      <c r="C4" s="7"/>
      <c r="D4" s="67">
        <v>0</v>
      </c>
      <c r="E4" s="67">
        <v>4</v>
      </c>
      <c r="F4" s="5">
        <v>0</v>
      </c>
      <c r="G4" s="5"/>
      <c r="H4" s="67">
        <v>0</v>
      </c>
      <c r="I4" s="67">
        <v>9</v>
      </c>
      <c r="J4" s="5">
        <v>0</v>
      </c>
      <c r="L4" s="12" t="s">
        <v>122</v>
      </c>
      <c r="M4" s="75">
        <v>1000</v>
      </c>
      <c r="N4" s="1"/>
      <c r="R4" s="1" t="s">
        <v>84</v>
      </c>
      <c r="S4" s="75">
        <f>SUMIF(Sueldos_Base[COORDINACION],Descuentos[[#This Row],[COORDINACION]],Sueldos_Base[SUELDO BASE])*0.3 * -1</f>
        <v>-630</v>
      </c>
      <c r="T4" s="75" t="s">
        <v>130</v>
      </c>
      <c r="U4" s="1" t="s">
        <v>6</v>
      </c>
      <c r="V4" s="1" t="s">
        <v>79</v>
      </c>
      <c r="W4" s="1" t="s">
        <v>72</v>
      </c>
    </row>
    <row r="5" spans="1:23" x14ac:dyDescent="0.25">
      <c r="A5" s="7"/>
      <c r="B5" s="7"/>
      <c r="C5" s="7"/>
      <c r="D5" s="67">
        <v>5</v>
      </c>
      <c r="E5" s="67">
        <v>9</v>
      </c>
      <c r="F5" s="5">
        <v>70</v>
      </c>
      <c r="G5" s="5"/>
      <c r="H5" s="67">
        <v>10</v>
      </c>
      <c r="I5" s="67">
        <v>19</v>
      </c>
      <c r="J5" s="5">
        <v>50</v>
      </c>
      <c r="L5" s="1" t="s">
        <v>6</v>
      </c>
      <c r="M5" s="75">
        <v>500</v>
      </c>
      <c r="N5" s="1"/>
      <c r="S5" s="75"/>
      <c r="T5" s="75"/>
    </row>
    <row r="6" spans="1:23" x14ac:dyDescent="0.25">
      <c r="A6" s="13"/>
      <c r="B6" s="13"/>
      <c r="C6" s="29"/>
      <c r="D6" s="67">
        <v>10</v>
      </c>
      <c r="E6" s="67">
        <v>14</v>
      </c>
      <c r="F6" s="5">
        <v>100</v>
      </c>
      <c r="G6" s="13"/>
      <c r="H6" s="67">
        <v>20</v>
      </c>
      <c r="I6" s="67">
        <v>29</v>
      </c>
      <c r="J6" s="5">
        <v>70</v>
      </c>
      <c r="K6" s="13"/>
      <c r="L6" s="13" t="s">
        <v>7</v>
      </c>
      <c r="M6" s="75">
        <v>0</v>
      </c>
      <c r="N6" s="1"/>
      <c r="S6" s="75"/>
      <c r="T6" s="75"/>
    </row>
    <row r="7" spans="1:23" x14ac:dyDescent="0.25">
      <c r="A7" s="13"/>
      <c r="B7" s="13"/>
      <c r="C7" s="27"/>
      <c r="D7" s="67">
        <v>15</v>
      </c>
      <c r="E7" s="67">
        <v>19</v>
      </c>
      <c r="F7" s="5">
        <v>120</v>
      </c>
      <c r="G7" s="13"/>
      <c r="H7" s="67">
        <v>30</v>
      </c>
      <c r="I7" s="67">
        <v>49</v>
      </c>
      <c r="J7" s="5">
        <v>100</v>
      </c>
      <c r="K7" s="13"/>
      <c r="L7" s="13"/>
      <c r="N7" s="1"/>
      <c r="S7" s="75"/>
      <c r="T7" s="75"/>
    </row>
    <row r="8" spans="1:23" x14ac:dyDescent="0.25">
      <c r="A8" s="13"/>
      <c r="B8" s="13"/>
      <c r="C8" s="29"/>
      <c r="D8" s="67">
        <v>20</v>
      </c>
      <c r="E8" s="67" t="s">
        <v>63</v>
      </c>
      <c r="F8" s="5">
        <v>140</v>
      </c>
      <c r="G8" s="13"/>
      <c r="H8" s="67">
        <v>50</v>
      </c>
      <c r="I8" s="67" t="s">
        <v>63</v>
      </c>
      <c r="J8" s="5">
        <v>120</v>
      </c>
      <c r="K8" s="13"/>
      <c r="L8" s="13"/>
      <c r="N8" s="1"/>
      <c r="S8" s="75"/>
      <c r="T8" s="75"/>
    </row>
    <row r="9" spans="1:23" x14ac:dyDescent="0.25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75"/>
      <c r="T9" s="75"/>
    </row>
    <row r="10" spans="1:23" x14ac:dyDescent="0.25">
      <c r="A10" s="13"/>
      <c r="B10" s="13"/>
      <c r="C10" s="13"/>
      <c r="D10" s="13"/>
      <c r="L10" s="1" t="s">
        <v>124</v>
      </c>
      <c r="M10" s="1" t="s">
        <v>13</v>
      </c>
      <c r="N10" s="1" t="s">
        <v>121</v>
      </c>
      <c r="O10" s="1" t="s">
        <v>104</v>
      </c>
      <c r="P10" s="1" t="s">
        <v>103</v>
      </c>
      <c r="S10" s="75"/>
      <c r="T10" s="75"/>
    </row>
    <row r="11" spans="1:23" x14ac:dyDescent="0.25">
      <c r="A11" s="13"/>
      <c r="B11" s="13"/>
      <c r="C11" s="13"/>
      <c r="D11" s="13"/>
      <c r="L11" s="1" t="s">
        <v>87</v>
      </c>
      <c r="M11" s="75">
        <v>700</v>
      </c>
      <c r="N11" s="1" t="s">
        <v>7</v>
      </c>
      <c r="O11" s="1" t="s">
        <v>79</v>
      </c>
      <c r="P11" s="1" t="s">
        <v>72</v>
      </c>
      <c r="S11" s="75"/>
      <c r="T11" s="75"/>
    </row>
    <row r="12" spans="1:23" x14ac:dyDescent="0.25">
      <c r="A12" s="13"/>
      <c r="B12" s="13"/>
      <c r="C12" s="13"/>
      <c r="D12" s="13"/>
      <c r="G12" s="13"/>
      <c r="L12" s="1" t="s">
        <v>88</v>
      </c>
      <c r="M12" s="75">
        <v>700</v>
      </c>
      <c r="N12" s="1" t="s">
        <v>7</v>
      </c>
      <c r="O12" s="1" t="s">
        <v>79</v>
      </c>
      <c r="P12" s="1" t="s">
        <v>72</v>
      </c>
    </row>
    <row r="13" spans="1:23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89</v>
      </c>
      <c r="M13" s="75">
        <v>700</v>
      </c>
      <c r="N13" s="1" t="s">
        <v>7</v>
      </c>
      <c r="O13" s="1" t="s">
        <v>79</v>
      </c>
      <c r="P13" s="1" t="s">
        <v>72</v>
      </c>
    </row>
    <row r="14" spans="1:23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98</v>
      </c>
      <c r="M14" s="75">
        <v>700</v>
      </c>
      <c r="N14" s="1" t="s">
        <v>7</v>
      </c>
      <c r="O14" s="1" t="s">
        <v>80</v>
      </c>
      <c r="P14" s="1" t="s">
        <v>72</v>
      </c>
    </row>
    <row r="15" spans="1:23" x14ac:dyDescent="0.25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97</v>
      </c>
      <c r="M15" s="75">
        <v>700</v>
      </c>
      <c r="N15" s="1" t="s">
        <v>7</v>
      </c>
      <c r="O15" s="1" t="s">
        <v>80</v>
      </c>
      <c r="P15" s="1" t="s">
        <v>72</v>
      </c>
    </row>
    <row r="16" spans="1:23" x14ac:dyDescent="0.25">
      <c r="B16" s="1"/>
      <c r="C16" s="1"/>
      <c r="L16" s="1" t="s">
        <v>99</v>
      </c>
      <c r="M16" s="75">
        <v>1000</v>
      </c>
      <c r="N16" s="1" t="s">
        <v>7</v>
      </c>
      <c r="O16" s="1" t="s">
        <v>80</v>
      </c>
      <c r="P16" s="1" t="s">
        <v>72</v>
      </c>
    </row>
    <row r="17" spans="2:16" x14ac:dyDescent="0.25">
      <c r="B17" s="1"/>
      <c r="C17" s="1"/>
      <c r="L17" s="1" t="s">
        <v>100</v>
      </c>
      <c r="M17" s="75">
        <v>1000</v>
      </c>
      <c r="N17" s="1" t="s">
        <v>7</v>
      </c>
      <c r="O17" s="1" t="s">
        <v>80</v>
      </c>
      <c r="P17" s="1" t="s">
        <v>72</v>
      </c>
    </row>
    <row r="18" spans="2:16" x14ac:dyDescent="0.25">
      <c r="B18" s="1"/>
      <c r="C18" s="1"/>
      <c r="L18" s="1" t="s">
        <v>96</v>
      </c>
      <c r="M18" s="75">
        <v>1000</v>
      </c>
      <c r="N18" s="1" t="s">
        <v>7</v>
      </c>
      <c r="O18" s="1" t="s">
        <v>74</v>
      </c>
      <c r="P18" s="1" t="s">
        <v>72</v>
      </c>
    </row>
    <row r="19" spans="2:16" x14ac:dyDescent="0.25">
      <c r="B19" s="1"/>
      <c r="C19" s="1"/>
      <c r="L19" s="1" t="s">
        <v>94</v>
      </c>
      <c r="M19" s="75">
        <v>500</v>
      </c>
      <c r="N19" s="1" t="s">
        <v>7</v>
      </c>
      <c r="O19" s="1" t="s">
        <v>74</v>
      </c>
      <c r="P19" s="1" t="s">
        <v>72</v>
      </c>
    </row>
    <row r="20" spans="2:16" x14ac:dyDescent="0.25">
      <c r="B20" s="1"/>
      <c r="C20" s="1"/>
    </row>
    <row r="21" spans="2:16" x14ac:dyDescent="0.25">
      <c r="B21" s="1"/>
      <c r="C21" s="1"/>
    </row>
    <row r="27" spans="2:16" x14ac:dyDescent="0.25">
      <c r="B27" s="1"/>
      <c r="C27" s="9"/>
    </row>
    <row r="28" spans="2:16" x14ac:dyDescent="0.25">
      <c r="B28" s="1"/>
      <c r="C28" s="9"/>
    </row>
    <row r="29" spans="2:16" x14ac:dyDescent="0.25">
      <c r="B29" s="1"/>
      <c r="C29" s="5"/>
    </row>
    <row r="30" spans="2:16" x14ac:dyDescent="0.25">
      <c r="B30" s="1"/>
      <c r="C30" s="5"/>
    </row>
    <row r="31" spans="2:16" x14ac:dyDescent="0.25">
      <c r="B31" s="1"/>
      <c r="C31" s="5"/>
    </row>
    <row r="32" spans="2:16" x14ac:dyDescent="0.25">
      <c r="B32" s="1"/>
      <c r="C32" s="5"/>
    </row>
    <row r="38" spans="2:5" x14ac:dyDescent="0.25">
      <c r="B38" s="10"/>
      <c r="C38" s="10"/>
    </row>
    <row r="39" spans="2:5" x14ac:dyDescent="0.25">
      <c r="B39" s="10"/>
      <c r="C39" s="10"/>
      <c r="D39" s="10"/>
      <c r="E39" s="10"/>
    </row>
    <row r="40" spans="2:5" x14ac:dyDescent="0.25">
      <c r="B40" s="10"/>
      <c r="C40" s="10"/>
      <c r="D40" s="10"/>
      <c r="E40" s="10"/>
    </row>
    <row r="41" spans="2:5" x14ac:dyDescent="0.25">
      <c r="B41" s="10"/>
      <c r="C41" s="10"/>
      <c r="D41" s="10"/>
      <c r="E41" s="10"/>
    </row>
    <row r="42" spans="2:5" x14ac:dyDescent="0.25">
      <c r="B42" s="1"/>
      <c r="C42" s="1"/>
      <c r="D42" s="10"/>
      <c r="E42" s="10"/>
    </row>
    <row r="43" spans="2:5" x14ac:dyDescent="0.25">
      <c r="B43" s="11"/>
      <c r="C43" s="11"/>
    </row>
    <row r="44" spans="2:5" x14ac:dyDescent="0.25">
      <c r="B44" s="11"/>
      <c r="C44" s="11"/>
      <c r="D44" s="11"/>
      <c r="E44" s="11"/>
    </row>
    <row r="45" spans="2:5" x14ac:dyDescent="0.25">
      <c r="B45" s="11"/>
      <c r="C45" s="11"/>
      <c r="D45" s="11"/>
      <c r="E45" s="11"/>
    </row>
    <row r="46" spans="2:5" x14ac:dyDescent="0.25">
      <c r="B46" s="11"/>
      <c r="C46" s="11"/>
      <c r="D46" s="11"/>
      <c r="E46" s="11"/>
    </row>
    <row r="47" spans="2:5" x14ac:dyDescent="0.25">
      <c r="B47" s="1"/>
      <c r="C47" s="1"/>
      <c r="D47" s="11"/>
      <c r="E47" s="11"/>
    </row>
    <row r="48" spans="2:5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</sheetData>
  <sheetProtection sheet="1" formatCells="0" formatColumns="0" formatRows="0" insertColumns="0" insertRows="0" insertHyperlinks="0" deleteColumns="0" deleteRows="0" sort="0" autoFilter="0" pivotTables="0"/>
  <dataValidations count="4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19 U4" xr:uid="{342D9635-3C48-4326-82D8-7F8C3C5FF452}">
      <formula1>Puestos</formula1>
    </dataValidation>
    <dataValidation type="list" allowBlank="1" showInputMessage="1" showErrorMessage="1" sqref="O11:O19 V4" xr:uid="{2CEA4F90-913C-4F7E-A844-C80F62AB1BC2}">
      <formula1>Alias_Coordinadores</formula1>
    </dataValidation>
    <dataValidation type="list" allowBlank="1" showInputMessage="1" showErrorMessage="1" sqref="P11:P19 W4" xr:uid="{D57AA25B-EFC2-4916-B551-2CC8B6E8A91F}">
      <formula1>Alias_Gerentes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N50"/>
  <sheetViews>
    <sheetView topLeftCell="D1" workbookViewId="0">
      <selection activeCell="B4" sqref="B4"/>
    </sheetView>
  </sheetViews>
  <sheetFormatPr defaultRowHeight="15" x14ac:dyDescent="0.25"/>
  <cols>
    <col min="1" max="1" width="32.42578125" bestFit="1" customWidth="1"/>
    <col min="2" max="2" width="22.5703125" bestFit="1" customWidth="1"/>
    <col min="3" max="3" width="2.85546875" customWidth="1"/>
    <col min="4" max="4" width="33.42578125" bestFit="1" customWidth="1"/>
    <col min="5" max="6" width="22.5703125" bestFit="1" customWidth="1"/>
    <col min="7" max="7" width="2.85546875" customWidth="1"/>
    <col min="8" max="8" width="38.42578125" bestFit="1" customWidth="1"/>
    <col min="9" max="9" width="25.7109375" bestFit="1" customWidth="1"/>
    <col min="10" max="11" width="22.5703125" bestFit="1" customWidth="1"/>
  </cols>
  <sheetData>
    <row r="1" spans="1:14" ht="20.25" thickBot="1" x14ac:dyDescent="0.35">
      <c r="A1" s="63" t="s">
        <v>61</v>
      </c>
      <c r="B1" s="63"/>
      <c r="D1" s="63" t="s">
        <v>60</v>
      </c>
      <c r="E1" s="63"/>
      <c r="F1" s="63"/>
      <c r="H1" s="63" t="s">
        <v>62</v>
      </c>
      <c r="I1" s="63"/>
      <c r="J1" s="63"/>
      <c r="K1" s="63"/>
    </row>
    <row r="2" spans="1:14" ht="20.25" thickTop="1" x14ac:dyDescent="0.3">
      <c r="A2" s="65"/>
      <c r="B2" s="65"/>
      <c r="D2" s="65"/>
      <c r="E2" s="65"/>
      <c r="H2" s="65"/>
      <c r="I2" s="65"/>
    </row>
    <row r="3" spans="1:14" x14ac:dyDescent="0.25">
      <c r="A3" t="s">
        <v>101</v>
      </c>
      <c r="B3" t="s">
        <v>102</v>
      </c>
      <c r="D3" t="s">
        <v>101</v>
      </c>
      <c r="E3" t="s">
        <v>102</v>
      </c>
      <c r="F3" t="s">
        <v>103</v>
      </c>
      <c r="H3" t="s">
        <v>101</v>
      </c>
      <c r="I3" t="s">
        <v>102</v>
      </c>
      <c r="J3" t="s">
        <v>104</v>
      </c>
      <c r="K3" t="s">
        <v>103</v>
      </c>
    </row>
    <row r="4" spans="1:14" x14ac:dyDescent="0.25">
      <c r="A4" t="s">
        <v>81</v>
      </c>
      <c r="B4" t="s">
        <v>72</v>
      </c>
      <c r="D4" s="61" t="s">
        <v>81</v>
      </c>
      <c r="E4" s="61" t="s">
        <v>72</v>
      </c>
      <c r="F4" t="s">
        <v>72</v>
      </c>
      <c r="H4" s="69" t="s">
        <v>81</v>
      </c>
      <c r="I4" s="69" t="s">
        <v>120</v>
      </c>
      <c r="J4" s="69" t="s">
        <v>72</v>
      </c>
      <c r="K4" s="69" t="s">
        <v>72</v>
      </c>
    </row>
    <row r="5" spans="1:14" x14ac:dyDescent="0.25">
      <c r="A5" t="s">
        <v>135</v>
      </c>
      <c r="B5" t="s">
        <v>136</v>
      </c>
      <c r="D5" s="61" t="s">
        <v>84</v>
      </c>
      <c r="E5" s="61" t="s">
        <v>79</v>
      </c>
      <c r="F5" t="s">
        <v>72</v>
      </c>
      <c r="H5" s="69" t="s">
        <v>87</v>
      </c>
      <c r="I5" s="69" t="s">
        <v>107</v>
      </c>
      <c r="J5" s="69" t="s">
        <v>79</v>
      </c>
      <c r="K5" s="69" t="s">
        <v>72</v>
      </c>
    </row>
    <row r="6" spans="1:14" x14ac:dyDescent="0.25">
      <c r="A6" s="60" t="s">
        <v>159</v>
      </c>
      <c r="B6" s="60" t="s">
        <v>157</v>
      </c>
      <c r="C6" s="60"/>
      <c r="D6" t="s">
        <v>83</v>
      </c>
      <c r="E6" t="s">
        <v>80</v>
      </c>
      <c r="F6" t="s">
        <v>72</v>
      </c>
      <c r="G6" s="62"/>
      <c r="H6" s="69" t="s">
        <v>86</v>
      </c>
      <c r="I6" s="69" t="s">
        <v>77</v>
      </c>
      <c r="J6" s="69" t="s">
        <v>79</v>
      </c>
      <c r="K6" s="69" t="s">
        <v>72</v>
      </c>
      <c r="L6" s="60"/>
      <c r="M6" s="60"/>
      <c r="N6" s="60"/>
    </row>
    <row r="7" spans="1:14" x14ac:dyDescent="0.25">
      <c r="A7" s="60"/>
      <c r="B7" s="60"/>
      <c r="C7" s="60"/>
      <c r="D7" t="s">
        <v>82</v>
      </c>
      <c r="E7" t="s">
        <v>74</v>
      </c>
      <c r="F7" t="s">
        <v>72</v>
      </c>
      <c r="G7" s="60"/>
      <c r="H7" s="69" t="s">
        <v>84</v>
      </c>
      <c r="I7" s="69" t="s">
        <v>119</v>
      </c>
      <c r="J7" s="69" t="s">
        <v>79</v>
      </c>
      <c r="K7" s="69" t="s">
        <v>72</v>
      </c>
      <c r="L7" s="60"/>
      <c r="M7" s="60"/>
      <c r="N7" s="60"/>
    </row>
    <row r="8" spans="1:14" x14ac:dyDescent="0.25">
      <c r="A8" s="60"/>
      <c r="B8" s="60"/>
      <c r="C8" s="60"/>
      <c r="D8" t="s">
        <v>85</v>
      </c>
      <c r="E8" t="s">
        <v>105</v>
      </c>
      <c r="F8" t="s">
        <v>72</v>
      </c>
      <c r="G8" s="60"/>
      <c r="H8" s="69" t="s">
        <v>90</v>
      </c>
      <c r="I8" s="69" t="s">
        <v>108</v>
      </c>
      <c r="J8" s="69" t="s">
        <v>79</v>
      </c>
      <c r="K8" s="69" t="s">
        <v>72</v>
      </c>
      <c r="L8" s="60"/>
      <c r="M8" s="60"/>
      <c r="N8" s="60"/>
    </row>
    <row r="9" spans="1:14" x14ac:dyDescent="0.25">
      <c r="A9" s="60"/>
      <c r="B9" s="60"/>
      <c r="C9" s="60"/>
      <c r="D9" s="61" t="s">
        <v>139</v>
      </c>
      <c r="E9" s="61" t="s">
        <v>140</v>
      </c>
      <c r="F9" t="s">
        <v>136</v>
      </c>
      <c r="G9" s="60"/>
      <c r="H9" s="69" t="s">
        <v>88</v>
      </c>
      <c r="I9" s="69" t="s">
        <v>69</v>
      </c>
      <c r="J9" s="69" t="s">
        <v>79</v>
      </c>
      <c r="K9" s="69" t="s">
        <v>72</v>
      </c>
      <c r="L9" s="60"/>
      <c r="M9" s="60"/>
      <c r="N9" s="60"/>
    </row>
    <row r="10" spans="1:14" x14ac:dyDescent="0.25">
      <c r="A10" s="60"/>
      <c r="B10" s="60"/>
      <c r="C10" s="60"/>
      <c r="D10" t="s">
        <v>137</v>
      </c>
      <c r="E10" t="s">
        <v>138</v>
      </c>
      <c r="F10" t="s">
        <v>136</v>
      </c>
      <c r="G10" s="60"/>
      <c r="H10" s="69" t="s">
        <v>89</v>
      </c>
      <c r="I10" s="69" t="s">
        <v>78</v>
      </c>
      <c r="J10" s="69" t="s">
        <v>79</v>
      </c>
      <c r="K10" s="69" t="s">
        <v>72</v>
      </c>
      <c r="L10" s="60"/>
      <c r="M10" s="60"/>
      <c r="N10" s="60"/>
    </row>
    <row r="11" spans="1:14" x14ac:dyDescent="0.25">
      <c r="A11" s="60"/>
      <c r="B11" s="60"/>
      <c r="D11" t="s">
        <v>135</v>
      </c>
      <c r="E11" t="s">
        <v>136</v>
      </c>
      <c r="F11" t="s">
        <v>136</v>
      </c>
      <c r="H11" s="69" t="s">
        <v>91</v>
      </c>
      <c r="I11" s="69" t="s">
        <v>76</v>
      </c>
      <c r="J11" s="69" t="s">
        <v>79</v>
      </c>
      <c r="K11" s="69" t="s">
        <v>72</v>
      </c>
      <c r="M11" s="60"/>
      <c r="N11" s="60"/>
    </row>
    <row r="12" spans="1:14" x14ac:dyDescent="0.25">
      <c r="A12" s="60"/>
      <c r="B12" s="60"/>
      <c r="D12" s="61" t="s">
        <v>160</v>
      </c>
      <c r="E12" s="61" t="s">
        <v>161</v>
      </c>
      <c r="F12" t="s">
        <v>157</v>
      </c>
      <c r="H12" s="69" t="s">
        <v>98</v>
      </c>
      <c r="I12" s="69" t="s">
        <v>71</v>
      </c>
      <c r="J12" s="69" t="s">
        <v>80</v>
      </c>
      <c r="K12" s="69" t="s">
        <v>72</v>
      </c>
      <c r="M12" s="60"/>
      <c r="N12" s="60"/>
    </row>
    <row r="13" spans="1:14" x14ac:dyDescent="0.25">
      <c r="A13" s="60"/>
      <c r="B13" s="60"/>
      <c r="D13" s="61" t="s">
        <v>156</v>
      </c>
      <c r="E13" s="61" t="s">
        <v>157</v>
      </c>
      <c r="F13" t="s">
        <v>157</v>
      </c>
      <c r="H13" s="69" t="s">
        <v>97</v>
      </c>
      <c r="I13" s="69" t="s">
        <v>111</v>
      </c>
      <c r="J13" s="69" t="s">
        <v>80</v>
      </c>
      <c r="K13" s="69" t="s">
        <v>72</v>
      </c>
      <c r="M13" s="60"/>
      <c r="N13" s="60"/>
    </row>
    <row r="14" spans="1:14" x14ac:dyDescent="0.25">
      <c r="A14" s="60"/>
      <c r="B14" s="60"/>
      <c r="D14" t="s">
        <v>158</v>
      </c>
      <c r="E14" t="s">
        <v>158</v>
      </c>
      <c r="F14" t="s">
        <v>157</v>
      </c>
      <c r="H14" s="69" t="s">
        <v>99</v>
      </c>
      <c r="I14" s="69" t="s">
        <v>112</v>
      </c>
      <c r="J14" s="69" t="s">
        <v>80</v>
      </c>
      <c r="K14" s="69" t="s">
        <v>72</v>
      </c>
      <c r="M14" s="60"/>
      <c r="N14" s="60"/>
    </row>
    <row r="15" spans="1:14" x14ac:dyDescent="0.25">
      <c r="A15" s="60"/>
      <c r="B15" s="60"/>
      <c r="H15" s="69" t="s">
        <v>100</v>
      </c>
      <c r="I15" s="69" t="s">
        <v>70</v>
      </c>
      <c r="J15" s="69" t="s">
        <v>80</v>
      </c>
      <c r="K15" s="69" t="s">
        <v>72</v>
      </c>
      <c r="M15" s="60"/>
      <c r="N15" s="60"/>
    </row>
    <row r="16" spans="1:14" x14ac:dyDescent="0.25">
      <c r="H16" s="69" t="s">
        <v>83</v>
      </c>
      <c r="I16" s="69" t="s">
        <v>116</v>
      </c>
      <c r="J16" s="69" t="s">
        <v>80</v>
      </c>
      <c r="K16" s="69" t="s">
        <v>72</v>
      </c>
    </row>
    <row r="17" spans="8:11" x14ac:dyDescent="0.25">
      <c r="H17" s="69" t="s">
        <v>95</v>
      </c>
      <c r="I17" s="69" t="s">
        <v>73</v>
      </c>
      <c r="J17" s="69" t="s">
        <v>74</v>
      </c>
      <c r="K17" s="69" t="s">
        <v>72</v>
      </c>
    </row>
    <row r="18" spans="8:11" x14ac:dyDescent="0.25">
      <c r="H18" s="69" t="s">
        <v>93</v>
      </c>
      <c r="I18" s="69" t="s">
        <v>75</v>
      </c>
      <c r="J18" s="69" t="s">
        <v>74</v>
      </c>
      <c r="K18" s="69" t="s">
        <v>72</v>
      </c>
    </row>
    <row r="19" spans="8:11" x14ac:dyDescent="0.25">
      <c r="H19" s="69" t="s">
        <v>82</v>
      </c>
      <c r="I19" s="69" t="s">
        <v>117</v>
      </c>
      <c r="J19" s="69" t="s">
        <v>74</v>
      </c>
      <c r="K19" s="69" t="s">
        <v>72</v>
      </c>
    </row>
    <row r="20" spans="8:11" x14ac:dyDescent="0.25">
      <c r="H20" s="69" t="s">
        <v>96</v>
      </c>
      <c r="I20" s="69" t="s">
        <v>109</v>
      </c>
      <c r="J20" s="69" t="s">
        <v>74</v>
      </c>
      <c r="K20" s="69" t="s">
        <v>72</v>
      </c>
    </row>
    <row r="21" spans="8:11" x14ac:dyDescent="0.25">
      <c r="H21" s="69" t="s">
        <v>94</v>
      </c>
      <c r="I21" s="69" t="s">
        <v>110</v>
      </c>
      <c r="J21" s="69" t="s">
        <v>74</v>
      </c>
      <c r="K21" s="69" t="s">
        <v>72</v>
      </c>
    </row>
    <row r="22" spans="8:11" x14ac:dyDescent="0.25">
      <c r="H22" s="69" t="s">
        <v>92</v>
      </c>
      <c r="I22" s="69" t="s">
        <v>106</v>
      </c>
      <c r="J22" s="69" t="s">
        <v>105</v>
      </c>
      <c r="K22" s="69" t="s">
        <v>72</v>
      </c>
    </row>
    <row r="23" spans="8:11" x14ac:dyDescent="0.25">
      <c r="H23" s="69" t="s">
        <v>85</v>
      </c>
      <c r="I23" s="69" t="s">
        <v>118</v>
      </c>
      <c r="J23" s="69" t="s">
        <v>105</v>
      </c>
      <c r="K23" s="69" t="s">
        <v>72</v>
      </c>
    </row>
    <row r="24" spans="8:11" x14ac:dyDescent="0.25">
      <c r="H24" s="69" t="s">
        <v>148</v>
      </c>
      <c r="I24" s="69" t="s">
        <v>153</v>
      </c>
      <c r="J24" s="69" t="s">
        <v>140</v>
      </c>
      <c r="K24" s="69" t="s">
        <v>136</v>
      </c>
    </row>
    <row r="25" spans="8:11" x14ac:dyDescent="0.25">
      <c r="H25" s="69" t="s">
        <v>150</v>
      </c>
      <c r="I25" s="69" t="s">
        <v>155</v>
      </c>
      <c r="J25" s="69" t="s">
        <v>140</v>
      </c>
      <c r="K25" s="69" t="s">
        <v>136</v>
      </c>
    </row>
    <row r="26" spans="8:11" x14ac:dyDescent="0.25">
      <c r="H26" s="69" t="s">
        <v>149</v>
      </c>
      <c r="I26" s="69" t="s">
        <v>152</v>
      </c>
      <c r="J26" s="69" t="s">
        <v>140</v>
      </c>
      <c r="K26" s="69" t="s">
        <v>136</v>
      </c>
    </row>
    <row r="27" spans="8:11" x14ac:dyDescent="0.25">
      <c r="H27" s="78" t="s">
        <v>139</v>
      </c>
      <c r="I27" s="69" t="s">
        <v>142</v>
      </c>
      <c r="J27" s="69" t="s">
        <v>140</v>
      </c>
      <c r="K27" s="69" t="s">
        <v>136</v>
      </c>
    </row>
    <row r="28" spans="8:11" x14ac:dyDescent="0.25">
      <c r="H28" s="69" t="s">
        <v>151</v>
      </c>
      <c r="I28" s="69" t="s">
        <v>154</v>
      </c>
      <c r="J28" s="69" t="s">
        <v>140</v>
      </c>
      <c r="K28" s="69" t="s">
        <v>136</v>
      </c>
    </row>
    <row r="29" spans="8:11" x14ac:dyDescent="0.25">
      <c r="H29" s="69" t="s">
        <v>135</v>
      </c>
      <c r="I29" s="69" t="s">
        <v>143</v>
      </c>
      <c r="J29" s="69" t="s">
        <v>140</v>
      </c>
      <c r="K29" s="69" t="s">
        <v>136</v>
      </c>
    </row>
    <row r="30" spans="8:11" x14ac:dyDescent="0.25">
      <c r="H30" s="69" t="s">
        <v>146</v>
      </c>
      <c r="I30" s="69" t="s">
        <v>133</v>
      </c>
      <c r="J30" s="69" t="s">
        <v>138</v>
      </c>
      <c r="K30" s="69" t="s">
        <v>136</v>
      </c>
    </row>
    <row r="31" spans="8:11" x14ac:dyDescent="0.25">
      <c r="H31" s="69" t="s">
        <v>147</v>
      </c>
      <c r="I31" s="69" t="s">
        <v>134</v>
      </c>
      <c r="J31" s="69" t="s">
        <v>138</v>
      </c>
      <c r="K31" s="69" t="s">
        <v>136</v>
      </c>
    </row>
    <row r="32" spans="8:11" x14ac:dyDescent="0.25">
      <c r="H32" s="69" t="s">
        <v>144</v>
      </c>
      <c r="I32" s="69" t="s">
        <v>131</v>
      </c>
      <c r="J32" s="69" t="s">
        <v>138</v>
      </c>
      <c r="K32" s="69" t="s">
        <v>136</v>
      </c>
    </row>
    <row r="33" spans="8:11" x14ac:dyDescent="0.25">
      <c r="H33" s="69" t="s">
        <v>145</v>
      </c>
      <c r="I33" s="69" t="s">
        <v>132</v>
      </c>
      <c r="J33" s="69" t="s">
        <v>138</v>
      </c>
      <c r="K33" s="69" t="s">
        <v>136</v>
      </c>
    </row>
    <row r="34" spans="8:11" x14ac:dyDescent="0.25">
      <c r="H34" s="69" t="s">
        <v>137</v>
      </c>
      <c r="I34" s="69" t="s">
        <v>141</v>
      </c>
      <c r="J34" s="69" t="s">
        <v>138</v>
      </c>
      <c r="K34" s="69" t="s">
        <v>136</v>
      </c>
    </row>
    <row r="35" spans="8:11" x14ac:dyDescent="0.25">
      <c r="H35" s="69" t="s">
        <v>171</v>
      </c>
      <c r="I35" s="69" t="s">
        <v>171</v>
      </c>
      <c r="J35" s="69" t="s">
        <v>161</v>
      </c>
      <c r="K35" s="69" t="s">
        <v>157</v>
      </c>
    </row>
    <row r="36" spans="8:11" x14ac:dyDescent="0.25">
      <c r="H36" s="69" t="s">
        <v>173</v>
      </c>
      <c r="I36" s="69" t="s">
        <v>173</v>
      </c>
      <c r="J36" s="69" t="s">
        <v>161</v>
      </c>
      <c r="K36" s="69" t="s">
        <v>157</v>
      </c>
    </row>
    <row r="37" spans="8:11" x14ac:dyDescent="0.25">
      <c r="H37" s="78" t="s">
        <v>160</v>
      </c>
      <c r="I37" s="61" t="s">
        <v>164</v>
      </c>
      <c r="J37" s="69" t="s">
        <v>161</v>
      </c>
      <c r="K37" s="69" t="s">
        <v>157</v>
      </c>
    </row>
    <row r="38" spans="8:11" x14ac:dyDescent="0.25">
      <c r="H38" s="69" t="s">
        <v>175</v>
      </c>
      <c r="I38" s="69" t="s">
        <v>175</v>
      </c>
      <c r="J38" s="69" t="s">
        <v>161</v>
      </c>
      <c r="K38" s="69" t="s">
        <v>157</v>
      </c>
    </row>
    <row r="39" spans="8:11" x14ac:dyDescent="0.25">
      <c r="H39" s="69" t="s">
        <v>174</v>
      </c>
      <c r="I39" s="69" t="s">
        <v>174</v>
      </c>
      <c r="J39" s="69" t="s">
        <v>161</v>
      </c>
      <c r="K39" s="69" t="s">
        <v>157</v>
      </c>
    </row>
    <row r="40" spans="8:11" x14ac:dyDescent="0.25">
      <c r="H40" s="69" t="s">
        <v>172</v>
      </c>
      <c r="I40" s="69" t="s">
        <v>172</v>
      </c>
      <c r="J40" s="69" t="s">
        <v>161</v>
      </c>
      <c r="K40" s="69" t="s">
        <v>157</v>
      </c>
    </row>
    <row r="41" spans="8:11" x14ac:dyDescent="0.25">
      <c r="H41" s="69" t="s">
        <v>177</v>
      </c>
      <c r="I41" s="69" t="s">
        <v>178</v>
      </c>
      <c r="J41" s="69" t="s">
        <v>161</v>
      </c>
      <c r="K41" s="69" t="s">
        <v>157</v>
      </c>
    </row>
    <row r="42" spans="8:11" x14ac:dyDescent="0.25">
      <c r="H42" s="69" t="s">
        <v>176</v>
      </c>
      <c r="I42" s="69" t="s">
        <v>176</v>
      </c>
      <c r="J42" s="69" t="s">
        <v>161</v>
      </c>
      <c r="K42" s="69" t="s">
        <v>157</v>
      </c>
    </row>
    <row r="43" spans="8:11" x14ac:dyDescent="0.25">
      <c r="H43" s="69" t="s">
        <v>156</v>
      </c>
      <c r="I43" s="61" t="s">
        <v>162</v>
      </c>
      <c r="J43" s="69" t="s">
        <v>157</v>
      </c>
      <c r="K43" s="69" t="s">
        <v>157</v>
      </c>
    </row>
    <row r="44" spans="8:11" x14ac:dyDescent="0.25">
      <c r="H44" s="69" t="s">
        <v>170</v>
      </c>
      <c r="I44" s="69" t="s">
        <v>170</v>
      </c>
      <c r="J44" s="69" t="s">
        <v>158</v>
      </c>
      <c r="K44" s="69" t="s">
        <v>157</v>
      </c>
    </row>
    <row r="45" spans="8:11" x14ac:dyDescent="0.25">
      <c r="H45" s="69" t="s">
        <v>169</v>
      </c>
      <c r="I45" s="69" t="s">
        <v>169</v>
      </c>
      <c r="J45" s="69" t="s">
        <v>158</v>
      </c>
      <c r="K45" s="69" t="s">
        <v>157</v>
      </c>
    </row>
    <row r="46" spans="8:11" x14ac:dyDescent="0.25">
      <c r="H46" s="69" t="s">
        <v>168</v>
      </c>
      <c r="I46" s="69" t="s">
        <v>168</v>
      </c>
      <c r="J46" s="69" t="s">
        <v>158</v>
      </c>
      <c r="K46" s="69" t="s">
        <v>157</v>
      </c>
    </row>
    <row r="47" spans="8:11" x14ac:dyDescent="0.25">
      <c r="H47" s="69" t="s">
        <v>167</v>
      </c>
      <c r="I47" s="69" t="s">
        <v>167</v>
      </c>
      <c r="J47" s="69" t="s">
        <v>158</v>
      </c>
      <c r="K47" s="69" t="s">
        <v>157</v>
      </c>
    </row>
    <row r="48" spans="8:11" x14ac:dyDescent="0.25">
      <c r="H48" s="69" t="s">
        <v>166</v>
      </c>
      <c r="I48" s="69" t="s">
        <v>166</v>
      </c>
      <c r="J48" s="69" t="s">
        <v>158</v>
      </c>
      <c r="K48" s="69" t="s">
        <v>157</v>
      </c>
    </row>
    <row r="49" spans="8:11" x14ac:dyDescent="0.25">
      <c r="H49" s="69" t="s">
        <v>165</v>
      </c>
      <c r="I49" s="69" t="s">
        <v>165</v>
      </c>
      <c r="J49" s="69" t="s">
        <v>158</v>
      </c>
      <c r="K49" s="69" t="s">
        <v>157</v>
      </c>
    </row>
    <row r="50" spans="8:11" x14ac:dyDescent="0.25">
      <c r="H50" s="69" t="s">
        <v>158</v>
      </c>
      <c r="I50" t="s">
        <v>163</v>
      </c>
      <c r="J50" s="69" t="s">
        <v>158</v>
      </c>
      <c r="K50" s="69" t="s">
        <v>157</v>
      </c>
    </row>
  </sheetData>
  <sheetProtection sheet="1" formatCells="0" formatColumns="0" formatRows="0" insertColumns="0" insertRows="0" insertHyperlinks="0" deleteColumns="0" deleteRows="0" sort="0" autoFilter="0" pivotTables="0"/>
  <phoneticPr fontId="6" type="noConversion"/>
  <conditionalFormatting sqref="I4:I50">
    <cfRule type="duplicateValues" dxfId="16" priority="1"/>
  </conditionalFormatting>
  <dataValidations count="2">
    <dataValidation type="list" allowBlank="1" showInputMessage="1" showErrorMessage="1" sqref="F4:F14 K4:K50" xr:uid="{782D795E-2BAC-487C-9A7E-2ACC2252D51E}">
      <formula1>Alias_Gerentes</formula1>
    </dataValidation>
    <dataValidation type="list" allowBlank="1" showInputMessage="1" showErrorMessage="1" sqref="J4:J50" xr:uid="{8286D5F4-693B-47AA-AB0B-AEA73A2B0A7B}">
      <formula1>Alias_Coordinadores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P29"/>
  <sheetViews>
    <sheetView workbookViewId="0">
      <selection activeCell="B4" sqref="B4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8.5703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21.42578125" style="13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0"/>
      <c r="C1" s="110"/>
      <c r="D1" s="110"/>
      <c r="F1" s="43" t="s">
        <v>121</v>
      </c>
      <c r="G1" s="46" t="s">
        <v>6</v>
      </c>
      <c r="I1" s="31" t="s">
        <v>59</v>
      </c>
      <c r="J1" s="34">
        <f>Total_Registros_Gerente</f>
        <v>61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1"/>
      <c r="C2" s="111"/>
      <c r="D2" s="111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/>
      </c>
    </row>
    <row r="3" spans="1:16" ht="16.5" thickBot="1" x14ac:dyDescent="0.3">
      <c r="A3" s="43" t="s">
        <v>29</v>
      </c>
      <c r="B3" s="56"/>
      <c r="C3" s="45" t="s">
        <v>30</v>
      </c>
      <c r="D3" s="57"/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/>
      </c>
    </row>
    <row r="4" spans="1:16" ht="16.5" thickBot="1" x14ac:dyDescent="0.3">
      <c r="A4" s="43" t="s">
        <v>17</v>
      </c>
      <c r="B4" s="48">
        <f>COUNTIFS(Tabla_Coordinador[GRUPO], "&lt;&gt;",
          Tabla_Coordinador[GRUPO], "&lt;&gt;503",
          Tabla_Coordinador[GRUPO], "&lt;&gt;500",
          Tabla_Coordinador[PAGO], "&gt;=299")</f>
        <v>0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/>
      </c>
    </row>
    <row r="5" spans="1:16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/>
      </c>
    </row>
    <row r="6" spans="1:16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/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114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7"/>
      <c r="B9" s="18"/>
      <c r="C9" s="18"/>
      <c r="D9" s="51">
        <f>IF(OR(Tabla_Coordinador[[#This Row],[GRUPO]] = 501, Tabla_Coordinador[[#This Row],[GRUPO]] = 503, Tabla_Coordinador[[#This Row],[GRUPO]] = "", Tabla_Coordinador[[#This Row],[GRUPO]] = 500, Tabla_Coordinador[[#This Row],[PAGO]] &lt; 299),
    0,
    VLOOKUP(Total_Registros_Coordinador, Tabulador_Coordinador[], 3, TRUE)
)</f>
        <v>0</v>
      </c>
      <c r="E9" s="18"/>
      <c r="F9" s="18"/>
      <c r="G9" s="42"/>
      <c r="H9" s="73">
        <f>IFERROR(VLOOKUP(Tabla_Coordinador[[#This Row],[CREDENCIAL]], Tabla_Gerente[[CREDENCIAL]:[PAGO]], 7, FALSE), 0)</f>
        <v>0</v>
      </c>
      <c r="I9" s="53"/>
      <c r="J9" s="19"/>
      <c r="K9" s="1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27" t="s">
        <v>50</v>
      </c>
      <c r="B10" s="14"/>
      <c r="C10" s="15"/>
      <c r="D10" s="54">
        <f>SUBTOTAL(109,Tabla_Coordinador[COMISION])</f>
        <v>0</v>
      </c>
      <c r="E10" s="14"/>
      <c r="F10" s="14"/>
      <c r="G10" s="14"/>
      <c r="H10" s="14"/>
      <c r="I10" s="16"/>
      <c r="J10" s="16"/>
      <c r="K10" s="16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125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12" t="str" cm="1">
        <f t="array" ref="D21">NumeroATexto(Pago_Neto_Coordinador)</f>
        <v>CUATROCIENTOS SETENTA Y CINCO PESOS 00/100</v>
      </c>
      <c r="E21" s="112"/>
      <c r="F21" s="112"/>
      <c r="G21" s="112"/>
      <c r="H21" s="112"/>
      <c r="I21" s="112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13"/>
      <c r="E24" s="113"/>
      <c r="F24" s="113"/>
      <c r="G24" s="113"/>
      <c r="H24" s="113"/>
      <c r="I24" s="113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15" priority="5" operator="equal">
      <formula>0</formula>
    </cfRule>
    <cfRule type="cellIs" dxfId="14" priority="14" operator="equal">
      <formula>$G9=501</formula>
    </cfRule>
  </conditionalFormatting>
  <conditionalFormatting sqref="G9">
    <cfRule type="cellIs" dxfId="13" priority="1" operator="equal">
      <formula>503</formula>
    </cfRule>
    <cfRule type="cellIs" dxfId="12" priority="3" operator="equal">
      <formula>501</formula>
    </cfRule>
    <cfRule type="containsBlanks" dxfId="11" priority="6">
      <formula>LEN(TRIM(G9))=0</formula>
    </cfRule>
  </conditionalFormatting>
  <conditionalFormatting sqref="B9">
    <cfRule type="duplicateValues" dxfId="10" priority="22"/>
  </conditionalFormatting>
  <dataValidations count="5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B3</formula1>
      <formula2>D3</formula2>
    </dataValidation>
    <dataValidation type="list" showInputMessage="1" showErrorMessage="1" sqref="A9" xr:uid="{FE1C4E0D-2F6C-482C-9073-AD83A343D7D3}">
      <formula1>Promotores_de_Coordinacion_Activos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451E6-0AF1-470E-84DE-BA92C470A910}">
          <x14:formula1>
            <xm:f>Planteles!$A$4:$A$15</xm:f>
          </x14:formula1>
          <xm:sqref>J9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topLeftCell="C1" workbookViewId="0">
      <selection activeCell="B4" sqref="B4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9.140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0"/>
      <c r="C1" s="110"/>
      <c r="D1" s="110"/>
      <c r="F1" s="43" t="s">
        <v>121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1"/>
      <c r="C2" s="111"/>
      <c r="D2" s="111"/>
    </row>
    <row r="3" spans="1:11" ht="16.5" thickBot="1" x14ac:dyDescent="0.3">
      <c r="A3" s="43" t="s">
        <v>29</v>
      </c>
      <c r="B3" s="44"/>
      <c r="C3" s="45" t="s">
        <v>30</v>
      </c>
      <c r="D3" s="46"/>
      <c r="F3" s="20"/>
      <c r="G3" s="21"/>
      <c r="I3" s="14"/>
    </row>
    <row r="4" spans="1:11" ht="16.5" thickBot="1" x14ac:dyDescent="0.3">
      <c r="A4" s="43" t="s">
        <v>17</v>
      </c>
      <c r="B4" s="48">
        <f>COUNTIFS(Tabla_Promotor[GRUPO], "&lt;&gt;",
          Tabla_Promotor[GRUPO], "&lt;&gt;503",
          Tabla_Promotor[GRUPO], "&lt;&gt;500")</f>
        <v>0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7"/>
      <c r="B9" s="18"/>
      <c r="C9" s="18"/>
      <c r="D9" s="51">
        <f>IF(OR(Tabla_Promotor[[#This Row],[GRUPO]] = "", Tabla_Promotor[[#This Row],[GRUPO]] = 500), 0,
   IF(Tabla_Promotor[[#This Row],[GRUPO]] = 503, Tabla_Promotor[[#This Row],[PAGO]],
   IF(Tabla_Promotor[[#This Row],[PAGO]] &gt;= 299, Tabla_Promotor[[#This Row],[PAGO]] - 150, 0)))</f>
        <v>0</v>
      </c>
      <c r="E9" s="18"/>
      <c r="F9" s="18"/>
      <c r="G9" s="42"/>
      <c r="H9" s="52">
        <f>IFERROR(VLOOKUP(Tabla_Promotor[[#This Row],[CREDENCIAL]], Tabla_Gerente[[CREDENCIAL]:[PAGO]], 7, FALSE), 0)</f>
        <v>0</v>
      </c>
      <c r="I9" s="58"/>
      <c r="J9" s="19"/>
      <c r="K9" s="19"/>
    </row>
    <row r="10" spans="1:11" x14ac:dyDescent="0.25">
      <c r="A10" s="25" t="s">
        <v>50</v>
      </c>
      <c r="B10" s="14"/>
      <c r="C10" s="15"/>
      <c r="D10" s="54">
        <f>SUBTOTAL(109,Tabla_Promotor[COMISION])</f>
        <v>0</v>
      </c>
      <c r="E10" s="14"/>
      <c r="F10" s="14"/>
      <c r="G10" s="27"/>
      <c r="H10" s="55"/>
      <c r="I10" s="14"/>
      <c r="J10" s="16"/>
      <c r="K10" s="16"/>
    </row>
    <row r="11" spans="1:11" x14ac:dyDescent="0.25">
      <c r="A11" s="25"/>
      <c r="B11" s="14"/>
      <c r="C11" s="15"/>
      <c r="D11" s="54"/>
      <c r="E11" s="14"/>
      <c r="F11" s="14"/>
      <c r="G11" s="27"/>
      <c r="H11" s="55"/>
      <c r="I11" s="14"/>
      <c r="J11" s="16"/>
      <c r="K11" s="16"/>
    </row>
    <row r="12" spans="1:11" x14ac:dyDescent="0.25">
      <c r="A12" s="25" t="s">
        <v>13</v>
      </c>
      <c r="D12" s="74">
        <f>_xlfn.IFNA(VLOOKUP(Nombre_Promotor,Sueldos_Base[],2,FALSE),0)</f>
        <v>0</v>
      </c>
      <c r="E12" s="16"/>
      <c r="F12" s="15"/>
      <c r="H12" s="15"/>
      <c r="J12" s="24"/>
    </row>
    <row r="13" spans="1:11" ht="16.5" thickBot="1" x14ac:dyDescent="0.3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5">
      <c r="A14" s="27" t="s">
        <v>46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5">
      <c r="A15" s="27" t="s">
        <v>125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128</v>
      </c>
      <c r="F15" s="15"/>
      <c r="H15" s="15"/>
      <c r="I15" s="18"/>
      <c r="J15" s="22"/>
      <c r="K15" s="22"/>
    </row>
    <row r="16" spans="1:11" ht="16.5" thickBot="1" x14ac:dyDescent="0.3">
      <c r="A16" s="35"/>
      <c r="C16" s="29"/>
      <c r="D16" s="28"/>
      <c r="E16" s="16"/>
      <c r="F16" s="15"/>
    </row>
    <row r="17" spans="1:9" ht="16.5" thickBot="1" x14ac:dyDescent="0.3">
      <c r="A17" s="37" t="s">
        <v>49</v>
      </c>
      <c r="B17" s="34"/>
      <c r="C17" s="50"/>
      <c r="D17" s="30">
        <f>Pago_Subtotal_Promotor + Descuento_Promotor</f>
        <v>0</v>
      </c>
      <c r="E17" s="16"/>
      <c r="F17" s="15"/>
    </row>
    <row r="18" spans="1:9" x14ac:dyDescent="0.25">
      <c r="C18" s="29"/>
      <c r="D18" s="28"/>
      <c r="E18" s="26"/>
      <c r="F18" s="26"/>
    </row>
    <row r="19" spans="1:9" x14ac:dyDescent="0.25">
      <c r="C19" s="29"/>
      <c r="D19" s="28"/>
      <c r="E19" s="26"/>
      <c r="F19" s="26"/>
    </row>
    <row r="20" spans="1:9" ht="16.5" thickBot="1" x14ac:dyDescent="0.3">
      <c r="C20" s="37" t="s">
        <v>25</v>
      </c>
      <c r="D20" s="112" t="str" cm="1">
        <f t="array" ref="D20">NumeroATexto(Pago_Neto_Promotor)</f>
        <v>CERO PESOS 00/100</v>
      </c>
      <c r="E20" s="112"/>
      <c r="F20" s="112"/>
      <c r="G20" s="112"/>
      <c r="H20" s="112"/>
      <c r="I20" s="112"/>
    </row>
    <row r="21" spans="1:9" x14ac:dyDescent="0.25">
      <c r="C21" s="27"/>
      <c r="D21" s="26"/>
      <c r="E21" s="16"/>
      <c r="F21" s="15"/>
    </row>
    <row r="22" spans="1:9" x14ac:dyDescent="0.25">
      <c r="C22" s="29"/>
      <c r="D22" s="28"/>
    </row>
    <row r="23" spans="1:9" ht="16.5" thickBot="1" x14ac:dyDescent="0.3">
      <c r="C23" s="33" t="s">
        <v>26</v>
      </c>
      <c r="D23" s="113"/>
      <c r="E23" s="113"/>
      <c r="F23" s="113"/>
      <c r="G23" s="113"/>
      <c r="H23" s="113"/>
      <c r="I23" s="113"/>
    </row>
  </sheetData>
  <mergeCells count="4">
    <mergeCell ref="B1:D1"/>
    <mergeCell ref="B2:D2"/>
    <mergeCell ref="D20:I20"/>
    <mergeCell ref="D23:I23"/>
  </mergeCells>
  <phoneticPr fontId="6" type="noConversion"/>
  <conditionalFormatting sqref="D9">
    <cfRule type="expression" dxfId="9" priority="1">
      <formula>$G9=501</formula>
    </cfRule>
    <cfRule type="cellIs" dxfId="8" priority="5" operator="equal">
      <formula>0</formula>
    </cfRule>
  </conditionalFormatting>
  <conditionalFormatting sqref="G9">
    <cfRule type="cellIs" dxfId="7" priority="2" operator="equal">
      <formula>503</formula>
    </cfRule>
    <cfRule type="cellIs" dxfId="6" priority="4" operator="equal">
      <formula>501</formula>
    </cfRule>
  </conditionalFormatting>
  <conditionalFormatting sqref="B9">
    <cfRule type="duplicateValues" dxfId="5" priority="25"/>
  </conditionalFormatting>
  <dataValidations count="4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B3</formula1>
      <formula2>D3</formula2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0698A-06B6-4332-9CB4-35D696D672A5}">
          <x14:formula1>
            <xm:f>Planteles!$A$4:$A$15</xm:f>
          </x14:formula1>
          <xm:sqref>J9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S83"/>
  <sheetViews>
    <sheetView tabSelected="1" topLeftCell="E1" workbookViewId="0">
      <selection activeCell="R2" sqref="R2:R21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4" style="13" bestFit="1" customWidth="1"/>
    <col min="4" max="4" width="16.42578125" style="13" bestFit="1" customWidth="1"/>
    <col min="5" max="5" width="14.140625" style="13" bestFit="1" customWidth="1"/>
    <col min="6" max="6" width="21" style="13" bestFit="1" customWidth="1"/>
    <col min="7" max="7" width="12.5703125" style="13" bestFit="1" customWidth="1"/>
    <col min="8" max="8" width="12" style="13" bestFit="1" customWidth="1"/>
    <col min="9" max="9" width="24.140625" style="13" bestFit="1" customWidth="1"/>
    <col min="10" max="10" width="20.7109375" style="13" bestFit="1" customWidth="1"/>
    <col min="11" max="11" width="17.7109375" style="13" bestFit="1" customWidth="1"/>
    <col min="12" max="12" width="21" style="13" bestFit="1" customWidth="1"/>
    <col min="13" max="13" width="3.28515625" style="13" bestFit="1" customWidth="1"/>
    <col min="14" max="15" width="12.5703125" style="13" customWidth="1"/>
    <col min="16" max="16" width="2.85546875" style="13" customWidth="1"/>
    <col min="17" max="17" width="28.5703125" style="13" customWidth="1"/>
    <col min="18" max="18" width="2.85546875" style="13" customWidth="1"/>
    <col min="19" max="19" width="28.5703125" style="13" customWidth="1"/>
    <col min="20" max="26" width="10.7109375" style="13" customWidth="1"/>
    <col min="27" max="16384" width="14.42578125" style="13"/>
  </cols>
  <sheetData>
    <row r="1" spans="1:19" ht="16.5" thickBot="1" x14ac:dyDescent="0.3">
      <c r="A1" s="32" t="s">
        <v>28</v>
      </c>
      <c r="B1" s="114" t="s">
        <v>135</v>
      </c>
      <c r="C1" s="114"/>
      <c r="D1" s="114"/>
      <c r="F1" s="43" t="s">
        <v>121</v>
      </c>
      <c r="G1" s="46" t="s">
        <v>122</v>
      </c>
      <c r="I1" s="88" t="s">
        <v>258</v>
      </c>
      <c r="J1" s="90">
        <f>Total_De_La_Gerencia/Total_Registros_Gerente</f>
        <v>722.55737704918033</v>
      </c>
      <c r="N1" s="82"/>
      <c r="O1" s="82"/>
      <c r="Q1" s="80" t="s">
        <v>115</v>
      </c>
      <c r="S1" s="81" t="s">
        <v>0</v>
      </c>
    </row>
    <row r="2" spans="1:19" ht="16.5" thickBot="1" x14ac:dyDescent="0.3">
      <c r="A2" s="43" t="s">
        <v>31</v>
      </c>
      <c r="B2" s="115"/>
      <c r="C2" s="115"/>
      <c r="D2" s="115"/>
      <c r="N2" s="82"/>
      <c r="O2" s="82"/>
      <c r="Q2" s="13" t="str" cm="1">
        <f t="array" ref="Q2">IFERROR(INDEX(Alias_Coordinadores, SMALL(IF((Coordinadores[GERENCIA] = VLOOKUP(Nombre_Gerente, Gerentes[], 2, FALSE)) * (Alias_Coordinadores &lt;&gt; ""), ROW(Alias_Coordinadores)-MIN(ROW(Alias_Coordinadores))+1), ROWS($B$2:B2))), "")</f>
        <v>MARIANA PACHECO</v>
      </c>
      <c r="S2" s="13" t="str" cm="1">
        <f t="array" ref="S2">IFERROR(INDEX(Alias_Promotores, SMALL(IF((Promotores[GERENCIA] = VLOOKUP(Nombre_Gerente, Gerentes[], 2, FALSE)) * (Alias_Promotores &lt;&gt; ""), ROW(Alias_Promotores) - MIN(ROW(Alias_Promotores)) + 1), ROWS($B$2:B2))), "")</f>
        <v>EUNICE RAMOS</v>
      </c>
    </row>
    <row r="3" spans="1:19" ht="16.5" thickBot="1" x14ac:dyDescent="0.3">
      <c r="A3" s="43" t="s">
        <v>29</v>
      </c>
      <c r="B3" s="44">
        <f>DATE(2025,1,1) + (Numero_de_semana-1)*7 - WEEKDAY(DATE(2025,1,1),2) + 4</f>
        <v>45652</v>
      </c>
      <c r="C3" s="45" t="s">
        <v>30</v>
      </c>
      <c r="D3" s="46">
        <f>DATE(2025,1,1) + (Numero_de_semana-1)*7 - WEEKDAY(DATE(2025,1,1),2) + 11</f>
        <v>45659</v>
      </c>
      <c r="F3" s="20"/>
      <c r="G3" s="21"/>
      <c r="N3" s="82"/>
      <c r="O3" s="82"/>
      <c r="Q3" s="13" t="str" cm="1">
        <f t="array" ref="Q3">IFERROR(INDEX(Alias_Coordinadores, SMALL(IF((Coordinadores[GERENCIA] = VLOOKUP(Nombre_Gerente, Gerentes[], 2, FALSE)) * (Alias_Coordinadores &lt;&gt; ""), ROW(Alias_Coordinadores)-MIN(ROW(Alias_Coordinadores))+1), ROWS($B$2:B3))), "")</f>
        <v>OLIVIA PACHECO</v>
      </c>
      <c r="S3" s="13" t="str" cm="1">
        <f t="array" ref="S3">IFERROR(INDEX(Alias_Promotores, SMALL(IF((Promotores[GERENCIA] = VLOOKUP(Nombre_Gerente, Gerentes[], 2, FALSE)) * (Alias_Promotores &lt;&gt; ""), ROW(Alias_Promotores) - MIN(ROW(Alias_Promotores)) + 1), ROWS($B$2:B3))), "")</f>
        <v>FATIMA HERNANDEZ</v>
      </c>
    </row>
    <row r="4" spans="1:19" ht="16.5" thickBot="1" x14ac:dyDescent="0.3">
      <c r="A4" s="43" t="s">
        <v>17</v>
      </c>
      <c r="B4" s="48">
        <f>COUNTIFS(Tabla_Gerente[GRUPO], "&lt;&gt;",
          Tabla_Gerente[GRUPO], "&lt;&gt;503",
          Tabla_Gerente[GRUPO], "&lt;&gt;500",
          Tabla_Gerente[PAGO], "&gt;=299")</f>
        <v>61</v>
      </c>
      <c r="C4" s="17"/>
      <c r="F4" s="18"/>
      <c r="G4" s="18"/>
      <c r="H4" s="17"/>
      <c r="I4" s="88" t="s">
        <v>16</v>
      </c>
      <c r="J4" s="90">
        <v>44076</v>
      </c>
      <c r="K4" s="19"/>
      <c r="N4" s="82"/>
      <c r="O4" s="82"/>
      <c r="Q4" s="13" t="str" cm="1">
        <f t="array" ref="Q4">IFERROR(INDEX(Alias_Coordinadores, SMALL(IF((Coordinadores[GERENCIA] = VLOOKUP(Nombre_Gerente, Gerentes[], 2, FALSE)) * (Alias_Coordinadores &lt;&gt; ""), ROW(Alias_Coordinadores)-MIN(ROW(Alias_Coordinadores))+1), ROWS($B$2:B4))), "")</f>
        <v>PEDRO MORA</v>
      </c>
      <c r="S4" s="13" t="str" cm="1">
        <f t="array" ref="S4">IFERROR(INDEX(Alias_Promotores, SMALL(IF((Promotores[GERENCIA] = VLOOKUP(Nombre_Gerente, Gerentes[], 2, FALSE)) * (Alias_Promotores &lt;&gt; ""), ROW(Alias_Promotores) - MIN(ROW(Alias_Promotores)) + 1), ROWS($B$2:B4))), "")</f>
        <v>LIZBETH RAMOS</v>
      </c>
    </row>
    <row r="5" spans="1:19" ht="16.5" thickBot="1" x14ac:dyDescent="0.3">
      <c r="A5" s="43" t="s">
        <v>32</v>
      </c>
      <c r="B5" s="89"/>
      <c r="C5" s="17"/>
      <c r="E5" s="18"/>
      <c r="F5" s="18"/>
      <c r="G5" s="18"/>
      <c r="H5" s="17"/>
      <c r="K5" s="23"/>
      <c r="Q5" s="13" t="str" cm="1">
        <f t="array" ref="Q5">IFERROR(INDEX(Alias_Coordinadores, SMALL(IF((Coordinadores[GERENCIA] = VLOOKUP(Nombre_Gerente, Gerentes[], 2, FALSE)) * (Alias_Coordinadores &lt;&gt; ""), ROW(Alias_Coordinadores)-MIN(ROW(Alias_Coordinadores))+1), ROWS($B$2:B5))), "")</f>
        <v/>
      </c>
      <c r="S5" s="13" t="str" cm="1">
        <f t="array" ref="S5">IFERROR(INDEX(Alias_Promotores, SMALL(IF((Promotores[GERENCIA] = VLOOKUP(Nombre_Gerente, Gerentes[], 2, FALSE)) * (Alias_Promotores &lt;&gt; ""), ROW(Alias_Promotores) - MIN(ROW(Alias_Promotores)) + 1), ROWS($B$2:B5))), "")</f>
        <v>MARIANA PACHECO (P)</v>
      </c>
    </row>
    <row r="6" spans="1:19" ht="16.5" thickBot="1" x14ac:dyDescent="0.3">
      <c r="A6" s="43" t="s">
        <v>27</v>
      </c>
      <c r="B6" s="57">
        <v>44286</v>
      </c>
      <c r="C6" s="17"/>
      <c r="E6" s="18"/>
      <c r="F6" s="18"/>
      <c r="G6" s="18"/>
      <c r="H6" s="17"/>
      <c r="J6" s="23"/>
      <c r="K6" s="23"/>
      <c r="N6" s="84"/>
      <c r="O6" s="84"/>
      <c r="Q6" s="13" t="str" cm="1">
        <f t="array" ref="Q6">IFERROR(INDEX(Alias_Coordinadores, SMALL(IF((Coordinadores[GERENCIA] = VLOOKUP(Nombre_Gerente, Gerentes[], 2, FALSE)) * (Alias_Coordinadores &lt;&gt; ""), ROW(Alias_Coordinadores)-MIN(ROW(Alias_Coordinadores))+1), ROWS($B$2:B6))), "")</f>
        <v/>
      </c>
      <c r="S6" s="13" t="str" cm="1">
        <f t="array" ref="S6">IFERROR(INDEX(Alias_Promotores, SMALL(IF((Promotores[GERENCIA] = VLOOKUP(Nombre_Gerente, Gerentes[], 2, FALSE)) * (Alias_Promotores &lt;&gt; ""), ROW(Alias_Promotores) - MIN(ROW(Alias_Promotores)) + 1), ROWS($B$2:B6))), "")</f>
        <v>MIGUEL RODRIGUEZ</v>
      </c>
    </row>
    <row r="7" spans="1:19" x14ac:dyDescent="0.25">
      <c r="N7" s="84"/>
      <c r="O7" s="84"/>
      <c r="Q7" s="13" t="str" cm="1">
        <f t="array" ref="Q7">IFERROR(INDEX(Alias_Coordinadores, SMALL(IF((Coordinadores[GERENCIA] = VLOOKUP(Nombre_Gerente, Gerentes[], 2, FALSE)) * (Alias_Coordinadores &lt;&gt; ""), ROW(Alias_Coordinadores)-MIN(ROW(Alias_Coordinadores))+1), ROWS($B$2:B7))), "")</f>
        <v/>
      </c>
      <c r="S7" s="13" t="str" cm="1">
        <f t="array" ref="S7">IFERROR(INDEX(Alias_Promotores, SMALL(IF((Promotores[GERENCIA] = VLOOKUP(Nombre_Gerente, Gerentes[], 2, FALSE)) * (Alias_Promotores &lt;&gt; ""), ROW(Alias_Promotores) - MIN(ROW(Alias_Promotores)) + 1), ROWS($B$2:B7))), "")</f>
        <v>PEDRO MORA (P)</v>
      </c>
    </row>
    <row r="8" spans="1:19" x14ac:dyDescent="0.25">
      <c r="A8" s="92" t="s">
        <v>6</v>
      </c>
      <c r="B8" s="93" t="s">
        <v>18</v>
      </c>
      <c r="C8" s="93" t="s">
        <v>114</v>
      </c>
      <c r="D8" s="94" t="s">
        <v>34</v>
      </c>
      <c r="E8" s="93" t="s">
        <v>33</v>
      </c>
      <c r="F8" s="93" t="s">
        <v>67</v>
      </c>
      <c r="G8" s="93" t="s">
        <v>20</v>
      </c>
      <c r="H8" s="94" t="s">
        <v>1</v>
      </c>
      <c r="I8" s="93" t="s">
        <v>68</v>
      </c>
      <c r="J8" s="93" t="s">
        <v>7</v>
      </c>
      <c r="K8" s="93" t="s">
        <v>21</v>
      </c>
      <c r="L8" s="93" t="s">
        <v>22</v>
      </c>
      <c r="N8" s="84"/>
      <c r="O8" s="84"/>
      <c r="Q8" s="13" t="str" cm="1">
        <f t="array" ref="Q8">IFERROR(INDEX(Alias_Coordinadores, SMALL(IF((Coordinadores[GERENCIA] = VLOOKUP(Nombre_Gerente, Gerentes[], 2, FALSE)) * (Alias_Coordinadores &lt;&gt; ""), ROW(Alias_Coordinadores)-MIN(ROW(Alias_Coordinadores))+1), ROWS($B$2:B8))), "")</f>
        <v/>
      </c>
      <c r="S8" s="13" t="str" cm="1">
        <f t="array" ref="S8">IFERROR(INDEX(Alias_Promotores, SMALL(IF((Promotores[GERENCIA] = VLOOKUP(Nombre_Gerente, Gerentes[], 2, FALSE)) * (Alias_Promotores &lt;&gt; ""), ROW(Alias_Promotores) - MIN(ROW(Alias_Promotores)) + 1), ROWS($B$2:B8))), "")</f>
        <v>DAMIAN BRAVO</v>
      </c>
    </row>
    <row r="9" spans="1:19" x14ac:dyDescent="0.25">
      <c r="A9" s="95" t="s">
        <v>140</v>
      </c>
      <c r="B9" s="96">
        <v>18590</v>
      </c>
      <c r="C9" s="97" t="s">
        <v>208</v>
      </c>
      <c r="D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9" s="99" t="s">
        <v>47</v>
      </c>
      <c r="F9" s="99" t="s">
        <v>238</v>
      </c>
      <c r="G9" s="100">
        <v>9231</v>
      </c>
      <c r="H9" s="108">
        <v>399</v>
      </c>
      <c r="I9" s="109"/>
      <c r="J9" s="102" t="s">
        <v>153</v>
      </c>
      <c r="K9" s="92"/>
      <c r="L9" s="92"/>
      <c r="N9" s="84"/>
      <c r="O9" s="84"/>
      <c r="Q9" s="13" t="str" cm="1">
        <f t="array" ref="Q9">IFERROR(INDEX(Alias_Coordinadores, SMALL(IF((Coordinadores[GERENCIA] = VLOOKUP(Nombre_Gerente, Gerentes[], 2, FALSE)) * (Alias_Coordinadores &lt;&gt; ""), ROW(Alias_Coordinadores)-MIN(ROW(Alias_Coordinadores))+1), ROWS($B$2:B9))), "")</f>
        <v/>
      </c>
      <c r="S9" s="13" t="str" cm="1">
        <f t="array" ref="S9">IFERROR(INDEX(Alias_Promotores, SMALL(IF((Promotores[GERENCIA] = VLOOKUP(Nombre_Gerente, Gerentes[], 2, FALSE)) * (Alias_Promotores &lt;&gt; ""), ROW(Alias_Promotores) - MIN(ROW(Alias_Promotores)) + 1), ROWS($B$2:B9))), "")</f>
        <v>EFRAIN CORTES</v>
      </c>
    </row>
    <row r="10" spans="1:19" x14ac:dyDescent="0.25">
      <c r="A10" s="95" t="s">
        <v>140</v>
      </c>
      <c r="B10" s="96">
        <v>20898</v>
      </c>
      <c r="C10" s="97" t="s">
        <v>209</v>
      </c>
      <c r="D1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0" s="99" t="s">
        <v>47</v>
      </c>
      <c r="F10" s="99" t="s">
        <v>249</v>
      </c>
      <c r="G10" s="100">
        <v>9380</v>
      </c>
      <c r="H10" s="108">
        <v>399</v>
      </c>
      <c r="I10" s="109"/>
      <c r="J10" s="102" t="s">
        <v>153</v>
      </c>
      <c r="K10" s="92"/>
      <c r="L10" s="92"/>
      <c r="Q10" s="13" t="str" cm="1">
        <f t="array" ref="Q10">IFERROR(INDEX(Alias_Coordinadores, SMALL(IF((Coordinadores[GERENCIA] = VLOOKUP(Nombre_Gerente, Gerentes[], 2, FALSE)) * (Alias_Coordinadores &lt;&gt; ""), ROW(Alias_Coordinadores)-MIN(ROW(Alias_Coordinadores))+1), ROWS($B$2:B10))), "")</f>
        <v/>
      </c>
      <c r="S10" s="13" t="str" cm="1">
        <f t="array" ref="S10">IFERROR(INDEX(Alias_Promotores, SMALL(IF((Promotores[GERENCIA] = VLOOKUP(Nombre_Gerente, Gerentes[], 2, FALSE)) * (Alias_Promotores &lt;&gt; ""), ROW(Alias_Promotores) - MIN(ROW(Alias_Promotores)) + 1), ROWS($B$2:B10))), "")</f>
        <v>ENRIQUE OJEDA</v>
      </c>
    </row>
    <row r="11" spans="1:19" x14ac:dyDescent="0.25">
      <c r="A11" s="95" t="s">
        <v>140</v>
      </c>
      <c r="B11" s="96">
        <v>20899</v>
      </c>
      <c r="C11" s="97" t="s">
        <v>210</v>
      </c>
      <c r="D1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1" s="99" t="s">
        <v>47</v>
      </c>
      <c r="F11" s="99" t="s">
        <v>249</v>
      </c>
      <c r="G11" s="100">
        <v>9380</v>
      </c>
      <c r="H11" s="108">
        <v>399</v>
      </c>
      <c r="I11" s="109"/>
      <c r="J11" s="102" t="s">
        <v>153</v>
      </c>
      <c r="K11" s="92"/>
      <c r="L11" s="92"/>
      <c r="Q11" s="13" t="str" cm="1">
        <f t="array" ref="Q11">IFERROR(INDEX(Alias_Coordinadores, SMALL(IF((Coordinadores[GERENCIA] = VLOOKUP(Nombre_Gerente, Gerentes[], 2, FALSE)) * (Alias_Coordinadores &lt;&gt; ""), ROW(Alias_Coordinadores)-MIN(ROW(Alias_Coordinadores))+1), ROWS($B$2:B11))), "")</f>
        <v/>
      </c>
      <c r="S11" s="13" t="str" cm="1">
        <f t="array" ref="S11">IFERROR(INDEX(Alias_Promotores, SMALL(IF((Promotores[GERENCIA] = VLOOKUP(Nombre_Gerente, Gerentes[], 2, FALSE)) * (Alias_Promotores &lt;&gt; ""), ROW(Alias_Promotores) - MIN(ROW(Alias_Promotores)) + 1), ROWS($B$2:B11))), "")</f>
        <v>HUGO PACHECO</v>
      </c>
    </row>
    <row r="12" spans="1:19" x14ac:dyDescent="0.25">
      <c r="A12" s="95" t="s">
        <v>140</v>
      </c>
      <c r="B12" s="96">
        <v>20901</v>
      </c>
      <c r="C12" s="97" t="s">
        <v>211</v>
      </c>
      <c r="D1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2" s="99" t="s">
        <v>47</v>
      </c>
      <c r="F12" s="99" t="s">
        <v>250</v>
      </c>
      <c r="G12" s="100">
        <v>9391</v>
      </c>
      <c r="H12" s="108">
        <v>399</v>
      </c>
      <c r="I12" s="109"/>
      <c r="J12" s="102" t="s">
        <v>153</v>
      </c>
      <c r="K12" s="92"/>
      <c r="L12" s="92"/>
      <c r="Q12" s="13" t="str" cm="1">
        <f t="array" ref="Q12">IFERROR(INDEX(Alias_Coordinadores, SMALL(IF((Coordinadores[GERENCIA] = VLOOKUP(Nombre_Gerente, Gerentes[], 2, FALSE)) * (Alias_Coordinadores &lt;&gt; ""), ROW(Alias_Coordinadores)-MIN(ROW(Alias_Coordinadores))+1), ROWS($B$2:B12))), "")</f>
        <v/>
      </c>
      <c r="S12" s="13" t="str" cm="1">
        <f t="array" ref="S12">IFERROR(INDEX(Alias_Promotores, SMALL(IF((Promotores[GERENCIA] = VLOOKUP(Nombre_Gerente, Gerentes[], 2, FALSE)) * (Alias_Promotores &lt;&gt; ""), ROW(Alias_Promotores) - MIN(ROW(Alias_Promotores)) + 1), ROWS($B$2:B12))), "")</f>
        <v>OLIVIA PACHECO (P)</v>
      </c>
    </row>
    <row r="13" spans="1:19" x14ac:dyDescent="0.25">
      <c r="A13" s="95" t="s">
        <v>140</v>
      </c>
      <c r="B13" s="96">
        <v>20902</v>
      </c>
      <c r="C13" s="97" t="s">
        <v>212</v>
      </c>
      <c r="D1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3" s="99" t="s">
        <v>47</v>
      </c>
      <c r="F13" s="99" t="s">
        <v>250</v>
      </c>
      <c r="G13" s="100">
        <v>9391</v>
      </c>
      <c r="H13" s="108">
        <v>399</v>
      </c>
      <c r="I13" s="109"/>
      <c r="J13" s="102" t="s">
        <v>153</v>
      </c>
      <c r="K13" s="92"/>
      <c r="L13" s="92"/>
      <c r="Q13" s="13" t="str" cm="1">
        <f t="array" ref="Q13">IFERROR(INDEX(Alias_Coordinadores, SMALL(IF((Coordinadores[GERENCIA] = VLOOKUP(Nombre_Gerente, Gerentes[], 2, FALSE)) * (Alias_Coordinadores &lt;&gt; ""), ROW(Alias_Coordinadores)-MIN(ROW(Alias_Coordinadores))+1), ROWS($B$2:B13))), "")</f>
        <v/>
      </c>
      <c r="S13" s="13" t="str" cm="1">
        <f t="array" ref="S13">IFERROR(INDEX(Alias_Promotores, SMALL(IF((Promotores[GERENCIA] = VLOOKUP(Nombre_Gerente, Gerentes[], 2, FALSE)) * (Alias_Promotores &lt;&gt; ""), ROW(Alias_Promotores) - MIN(ROW(Alias_Promotores)) + 1), ROWS($B$2:B13))), "")</f>
        <v/>
      </c>
    </row>
    <row r="14" spans="1:19" x14ac:dyDescent="0.25">
      <c r="A14" s="95" t="s">
        <v>140</v>
      </c>
      <c r="B14" s="96">
        <v>20909</v>
      </c>
      <c r="C14" s="97" t="s">
        <v>213</v>
      </c>
      <c r="D1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4" s="99" t="s">
        <v>47</v>
      </c>
      <c r="F14" s="99" t="s">
        <v>251</v>
      </c>
      <c r="G14" s="100">
        <v>9378</v>
      </c>
      <c r="H14" s="108">
        <v>350</v>
      </c>
      <c r="I14" s="109"/>
      <c r="J14" s="102" t="s">
        <v>153</v>
      </c>
      <c r="K14" s="92"/>
      <c r="L14" s="92"/>
      <c r="Q14" s="13" t="str" cm="1">
        <f t="array" ref="Q14">IFERROR(INDEX(Alias_Coordinadores, SMALL(IF((Coordinadores[GERENCIA] = VLOOKUP(Nombre_Gerente, Gerentes[], 2, FALSE)) * (Alias_Coordinadores &lt;&gt; ""), ROW(Alias_Coordinadores)-MIN(ROW(Alias_Coordinadores))+1), ROWS($B$2:B14))), "")</f>
        <v/>
      </c>
      <c r="S14" s="13" t="str" cm="1">
        <f t="array" ref="S14">IFERROR(INDEX(Alias_Promotores, SMALL(IF((Promotores[GERENCIA] = VLOOKUP(Nombre_Gerente, Gerentes[], 2, FALSE)) * (Alias_Promotores &lt;&gt; ""), ROW(Alias_Promotores) - MIN(ROW(Alias_Promotores)) + 1), ROWS($B$2:B14))), "")</f>
        <v/>
      </c>
    </row>
    <row r="15" spans="1:19" x14ac:dyDescent="0.25">
      <c r="A15" s="95" t="s">
        <v>140</v>
      </c>
      <c r="B15" s="96">
        <v>20910</v>
      </c>
      <c r="C15" s="97" t="s">
        <v>214</v>
      </c>
      <c r="D1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5" s="99" t="s">
        <v>47</v>
      </c>
      <c r="F15" s="99" t="s">
        <v>249</v>
      </c>
      <c r="G15" s="100">
        <v>9376</v>
      </c>
      <c r="H15" s="108">
        <v>349</v>
      </c>
      <c r="I15" s="109"/>
      <c r="J15" s="102" t="s">
        <v>153</v>
      </c>
      <c r="K15" s="92"/>
      <c r="L15" s="92"/>
      <c r="Q15" s="13" t="str" cm="1">
        <f t="array" ref="Q15">IFERROR(INDEX(Alias_Coordinadores, SMALL(IF((Coordinadores[GERENCIA] = VLOOKUP(Nombre_Gerente, Gerentes[], 2, FALSE)) * (Alias_Coordinadores &lt;&gt; ""), ROW(Alias_Coordinadores)-MIN(ROW(Alias_Coordinadores))+1), ROWS($B$2:B15))), "")</f>
        <v/>
      </c>
      <c r="S15" s="13" t="str" cm="1">
        <f t="array" ref="S15">IFERROR(INDEX(Alias_Promotores, SMALL(IF((Promotores[GERENCIA] = VLOOKUP(Nombre_Gerente, Gerentes[], 2, FALSE)) * (Alias_Promotores &lt;&gt; ""), ROW(Alias_Promotores) - MIN(ROW(Alias_Promotores)) + 1), ROWS($B$2:B15))), "")</f>
        <v/>
      </c>
    </row>
    <row r="16" spans="1:19" x14ac:dyDescent="0.25">
      <c r="A16" s="95" t="s">
        <v>140</v>
      </c>
      <c r="B16" s="96">
        <v>20919</v>
      </c>
      <c r="C16" s="97" t="s">
        <v>215</v>
      </c>
      <c r="D1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6" s="99" t="s">
        <v>47</v>
      </c>
      <c r="F16" s="99" t="s">
        <v>246</v>
      </c>
      <c r="G16" s="100">
        <v>9388</v>
      </c>
      <c r="H16" s="108">
        <v>399</v>
      </c>
      <c r="I16" s="109"/>
      <c r="J16" s="102" t="s">
        <v>153</v>
      </c>
      <c r="K16" s="92"/>
      <c r="L16" s="92"/>
      <c r="Q16" s="13" t="str" cm="1">
        <f t="array" ref="Q16">IFERROR(INDEX(Alias_Coordinadores, SMALL(IF((Coordinadores[GERENCIA] = VLOOKUP(Nombre_Gerente, Gerentes[], 2, FALSE)) * (Alias_Coordinadores &lt;&gt; ""), ROW(Alias_Coordinadores)-MIN(ROW(Alias_Coordinadores))+1), ROWS($B$2:B16))), "")</f>
        <v/>
      </c>
      <c r="S16" s="13" t="str" cm="1">
        <f t="array" ref="S16">IFERROR(INDEX(Alias_Promotores, SMALL(IF((Promotores[GERENCIA] = VLOOKUP(Nombre_Gerente, Gerentes[], 2, FALSE)) * (Alias_Promotores &lt;&gt; ""), ROW(Alias_Promotores) - MIN(ROW(Alias_Promotores)) + 1), ROWS($B$2:B16))), "")</f>
        <v/>
      </c>
    </row>
    <row r="17" spans="1:19" x14ac:dyDescent="0.25">
      <c r="A17" s="95" t="s">
        <v>140</v>
      </c>
      <c r="B17" s="96">
        <v>20923</v>
      </c>
      <c r="C17" s="97" t="s">
        <v>216</v>
      </c>
      <c r="D1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7" s="99" t="s">
        <v>47</v>
      </c>
      <c r="F17" s="99" t="s">
        <v>249</v>
      </c>
      <c r="G17" s="100">
        <v>9377</v>
      </c>
      <c r="H17" s="108">
        <v>399</v>
      </c>
      <c r="I17" s="109"/>
      <c r="J17" s="102" t="s">
        <v>153</v>
      </c>
      <c r="K17" s="92"/>
      <c r="L17" s="92"/>
      <c r="Q17" s="13" t="str" cm="1">
        <f t="array" ref="Q17">IFERROR(INDEX(Alias_Coordinadores, SMALL(IF((Coordinadores[GERENCIA] = VLOOKUP(Nombre_Gerente, Gerentes[], 2, FALSE)) * (Alias_Coordinadores &lt;&gt; ""), ROW(Alias_Coordinadores)-MIN(ROW(Alias_Coordinadores))+1), ROWS($B$2:B17))), "")</f>
        <v/>
      </c>
      <c r="S17" s="13" t="str" cm="1">
        <f t="array" ref="S17">IFERROR(INDEX(Alias_Promotores, SMALL(IF((Promotores[GERENCIA] = VLOOKUP(Nombre_Gerente, Gerentes[], 2, FALSE)) * (Alias_Promotores &lt;&gt; ""), ROW(Alias_Promotores) - MIN(ROW(Alias_Promotores)) + 1), ROWS($B$2:B17))), "")</f>
        <v/>
      </c>
    </row>
    <row r="18" spans="1:19" x14ac:dyDescent="0.25">
      <c r="A18" s="95" t="s">
        <v>140</v>
      </c>
      <c r="B18" s="96">
        <v>20930</v>
      </c>
      <c r="C18" s="97" t="s">
        <v>217</v>
      </c>
      <c r="D1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8" s="99" t="s">
        <v>47</v>
      </c>
      <c r="F18" s="99" t="s">
        <v>252</v>
      </c>
      <c r="G18" s="100">
        <v>9389</v>
      </c>
      <c r="H18" s="108">
        <v>399</v>
      </c>
      <c r="I18" s="109"/>
      <c r="J18" s="102" t="s">
        <v>153</v>
      </c>
      <c r="K18" s="92"/>
      <c r="L18" s="92"/>
      <c r="Q18" s="13" t="str" cm="1">
        <f t="array" ref="Q18">IFERROR(INDEX(Alias_Coordinadores, SMALL(IF((Coordinadores[GERENCIA] = VLOOKUP(Nombre_Gerente, Gerentes[], 2, FALSE)) * (Alias_Coordinadores &lt;&gt; ""), ROW(Alias_Coordinadores)-MIN(ROW(Alias_Coordinadores))+1), ROWS($B$2:B18))), "")</f>
        <v/>
      </c>
      <c r="S18" s="13" t="str" cm="1">
        <f t="array" ref="S18">IFERROR(INDEX(Alias_Promotores, SMALL(IF((Promotores[GERENCIA] = VLOOKUP(Nombre_Gerente, Gerentes[], 2, FALSE)) * (Alias_Promotores &lt;&gt; ""), ROW(Alias_Promotores) - MIN(ROW(Alias_Promotores)) + 1), ROWS($B$2:B18))), "")</f>
        <v/>
      </c>
    </row>
    <row r="19" spans="1:19" x14ac:dyDescent="0.25">
      <c r="A19" s="95" t="s">
        <v>140</v>
      </c>
      <c r="B19" s="96">
        <v>20932</v>
      </c>
      <c r="C19" s="97" t="s">
        <v>218</v>
      </c>
      <c r="D1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19" s="99" t="s">
        <v>47</v>
      </c>
      <c r="F19" s="99" t="s">
        <v>253</v>
      </c>
      <c r="G19" s="100">
        <v>9187</v>
      </c>
      <c r="H19" s="108">
        <v>399</v>
      </c>
      <c r="I19" s="109"/>
      <c r="J19" s="102" t="s">
        <v>153</v>
      </c>
      <c r="K19" s="92"/>
      <c r="L19" s="92"/>
      <c r="Q19" s="13" t="str" cm="1">
        <f t="array" ref="Q19">IFERROR(INDEX(Alias_Coordinadores, SMALL(IF((Coordinadores[GERENCIA] = VLOOKUP(Nombre_Gerente, Gerentes[], 2, FALSE)) * (Alias_Coordinadores &lt;&gt; ""), ROW(Alias_Coordinadores)-MIN(ROW(Alias_Coordinadores))+1), ROWS($B$2:B19))), "")</f>
        <v/>
      </c>
      <c r="S19" s="13" t="str" cm="1">
        <f t="array" ref="S19">IFERROR(INDEX(Alias_Promotores, SMALL(IF((Promotores[GERENCIA] = VLOOKUP(Nombre_Gerente, Gerentes[], 2, FALSE)) * (Alias_Promotores &lt;&gt; ""), ROW(Alias_Promotores) - MIN(ROW(Alias_Promotores)) + 1), ROWS($B$2:B19))), "")</f>
        <v/>
      </c>
    </row>
    <row r="20" spans="1:19" x14ac:dyDescent="0.25">
      <c r="A20" s="95" t="s">
        <v>140</v>
      </c>
      <c r="B20" s="96">
        <v>20934</v>
      </c>
      <c r="C20" s="97" t="s">
        <v>219</v>
      </c>
      <c r="D2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0" s="99" t="s">
        <v>47</v>
      </c>
      <c r="F20" s="99" t="s">
        <v>246</v>
      </c>
      <c r="G20" s="100">
        <v>9384</v>
      </c>
      <c r="H20" s="108">
        <v>399</v>
      </c>
      <c r="I20" s="109"/>
      <c r="J20" s="102" t="s">
        <v>153</v>
      </c>
      <c r="K20" s="92"/>
      <c r="L20" s="92"/>
      <c r="Q20" s="13" t="str" cm="1">
        <f t="array" ref="Q20">IFERROR(INDEX(Alias_Coordinadores, SMALL(IF((Coordinadores[GERENCIA] = VLOOKUP(Nombre_Gerente, Gerentes[], 2, FALSE)) * (Alias_Coordinadores &lt;&gt; ""), ROW(Alias_Coordinadores)-MIN(ROW(Alias_Coordinadores))+1), ROWS($B$2:B20))), "")</f>
        <v/>
      </c>
      <c r="S20" s="13" t="str" cm="1">
        <f t="array" ref="S20">IFERROR(INDEX(Alias_Promotores, SMALL(IF((Promotores[GERENCIA] = VLOOKUP(Nombre_Gerente, Gerentes[], 2, FALSE)) * (Alias_Promotores &lt;&gt; ""), ROW(Alias_Promotores) - MIN(ROW(Alias_Promotores)) + 1), ROWS($B$2:B20))), "")</f>
        <v/>
      </c>
    </row>
    <row r="21" spans="1:19" x14ac:dyDescent="0.25">
      <c r="A21" s="95" t="s">
        <v>140</v>
      </c>
      <c r="B21" s="96">
        <v>20938</v>
      </c>
      <c r="C21" s="97" t="s">
        <v>220</v>
      </c>
      <c r="D2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1" s="99" t="s">
        <v>47</v>
      </c>
      <c r="F21" s="99" t="s">
        <v>253</v>
      </c>
      <c r="G21" s="100">
        <v>9044</v>
      </c>
      <c r="H21" s="108">
        <v>349</v>
      </c>
      <c r="I21" s="109"/>
      <c r="J21" s="102" t="s">
        <v>153</v>
      </c>
      <c r="K21" s="92"/>
      <c r="L21" s="92"/>
      <c r="Q21" s="13" t="str" cm="1">
        <f t="array" ref="Q21">IFERROR(INDEX(Alias_Coordinadores, SMALL(IF((Coordinadores[GERENCIA] = VLOOKUP(Nombre_Gerente, Gerentes[], 2, FALSE)) * (Alias_Coordinadores &lt;&gt; ""), ROW(Alias_Coordinadores)-MIN(ROW(Alias_Coordinadores))+1), ROWS($B$2:B21))), "")</f>
        <v/>
      </c>
      <c r="S21" s="13" t="str" cm="1">
        <f t="array" ref="S21">IFERROR(INDEX(Alias_Promotores, SMALL(IF((Promotores[GERENCIA] = VLOOKUP(Nombre_Gerente, Gerentes[], 2, FALSE)) * (Alias_Promotores &lt;&gt; ""), ROW(Alias_Promotores) - MIN(ROW(Alias_Promotores)) + 1), ROWS($B$2:B21))), "")</f>
        <v/>
      </c>
    </row>
    <row r="22" spans="1:19" x14ac:dyDescent="0.25">
      <c r="A22" s="95" t="s">
        <v>140</v>
      </c>
      <c r="B22" s="96">
        <v>20945</v>
      </c>
      <c r="C22" s="97" t="s">
        <v>221</v>
      </c>
      <c r="D2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2" s="99" t="s">
        <v>47</v>
      </c>
      <c r="F22" s="99" t="s">
        <v>249</v>
      </c>
      <c r="G22" s="100">
        <v>9371</v>
      </c>
      <c r="H22" s="108">
        <v>399</v>
      </c>
      <c r="I22" s="109"/>
      <c r="J22" s="102" t="s">
        <v>153</v>
      </c>
      <c r="K22" s="92"/>
      <c r="L22" s="92"/>
    </row>
    <row r="23" spans="1:19" x14ac:dyDescent="0.25">
      <c r="A23" s="95" t="s">
        <v>140</v>
      </c>
      <c r="B23" s="96">
        <v>50339</v>
      </c>
      <c r="C23" s="97" t="s">
        <v>222</v>
      </c>
      <c r="D2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3" s="99" t="s">
        <v>47</v>
      </c>
      <c r="F23" s="99" t="s">
        <v>254</v>
      </c>
      <c r="G23" s="100">
        <v>100</v>
      </c>
      <c r="H23" s="108">
        <v>700</v>
      </c>
      <c r="I23" s="109"/>
      <c r="J23" s="102" t="s">
        <v>153</v>
      </c>
      <c r="K23" s="92"/>
      <c r="L23" s="92"/>
    </row>
    <row r="24" spans="1:19" x14ac:dyDescent="0.25">
      <c r="A24" s="95" t="s">
        <v>140</v>
      </c>
      <c r="B24" s="96">
        <v>20957</v>
      </c>
      <c r="C24" s="97" t="s">
        <v>223</v>
      </c>
      <c r="D2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4" s="99" t="s">
        <v>47</v>
      </c>
      <c r="F24" s="99" t="s">
        <v>246</v>
      </c>
      <c r="G24" s="100">
        <v>9384</v>
      </c>
      <c r="H24" s="108">
        <v>299</v>
      </c>
      <c r="I24" s="109"/>
      <c r="J24" s="102" t="s">
        <v>153</v>
      </c>
      <c r="K24" s="92"/>
      <c r="L24" s="92"/>
    </row>
    <row r="25" spans="1:19" x14ac:dyDescent="0.25">
      <c r="A25" s="95" t="s">
        <v>140</v>
      </c>
      <c r="B25" s="96">
        <v>20925</v>
      </c>
      <c r="C25" s="97" t="s">
        <v>224</v>
      </c>
      <c r="D2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5" s="99" t="s">
        <v>47</v>
      </c>
      <c r="F25" s="99" t="s">
        <v>249</v>
      </c>
      <c r="G25" s="100">
        <v>9382</v>
      </c>
      <c r="H25" s="108">
        <v>700</v>
      </c>
      <c r="I25" s="109"/>
      <c r="J25" s="102" t="s">
        <v>152</v>
      </c>
      <c r="K25" s="92"/>
      <c r="L25" s="92"/>
    </row>
    <row r="26" spans="1:19" x14ac:dyDescent="0.25">
      <c r="A26" s="95" t="s">
        <v>140</v>
      </c>
      <c r="B26" s="96">
        <v>20929</v>
      </c>
      <c r="C26" s="97" t="s">
        <v>225</v>
      </c>
      <c r="D2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6" s="99" t="s">
        <v>47</v>
      </c>
      <c r="F26" s="99" t="s">
        <v>255</v>
      </c>
      <c r="G26" s="100">
        <v>9384</v>
      </c>
      <c r="H26" s="108">
        <v>349</v>
      </c>
      <c r="I26" s="109"/>
      <c r="J26" s="102" t="s">
        <v>152</v>
      </c>
      <c r="K26" s="92"/>
      <c r="L26" s="92"/>
    </row>
    <row r="27" spans="1:19" x14ac:dyDescent="0.25">
      <c r="A27" s="95" t="s">
        <v>140</v>
      </c>
      <c r="B27" s="96">
        <v>20951</v>
      </c>
      <c r="C27" s="97" t="s">
        <v>226</v>
      </c>
      <c r="D2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7" s="99" t="s">
        <v>47</v>
      </c>
      <c r="F27" s="99" t="s">
        <v>240</v>
      </c>
      <c r="G27" s="100">
        <v>9374</v>
      </c>
      <c r="H27" s="108">
        <v>299</v>
      </c>
      <c r="I27" s="109"/>
      <c r="J27" s="102" t="s">
        <v>152</v>
      </c>
      <c r="K27" s="92"/>
      <c r="L27" s="92"/>
    </row>
    <row r="28" spans="1:19" x14ac:dyDescent="0.25">
      <c r="A28" s="95" t="s">
        <v>140</v>
      </c>
      <c r="B28" s="96">
        <v>20952</v>
      </c>
      <c r="C28" s="97" t="s">
        <v>227</v>
      </c>
      <c r="D2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28" s="99" t="s">
        <v>47</v>
      </c>
      <c r="F28" s="99" t="s">
        <v>240</v>
      </c>
      <c r="G28" s="100">
        <v>9374</v>
      </c>
      <c r="H28" s="108">
        <v>299</v>
      </c>
      <c r="I28" s="109"/>
      <c r="J28" s="102" t="s">
        <v>152</v>
      </c>
      <c r="K28" s="92"/>
      <c r="L28" s="92"/>
    </row>
    <row r="29" spans="1:19" x14ac:dyDescent="0.25">
      <c r="A29" s="95" t="s">
        <v>140</v>
      </c>
      <c r="B29" s="96">
        <v>20956</v>
      </c>
      <c r="C29" s="97" t="s">
        <v>228</v>
      </c>
      <c r="D2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29" s="99" t="s">
        <v>47</v>
      </c>
      <c r="F29" s="99" t="s">
        <v>238</v>
      </c>
      <c r="G29" s="100">
        <v>501</v>
      </c>
      <c r="H29" s="108">
        <v>300</v>
      </c>
      <c r="I29" s="109"/>
      <c r="J29" s="102" t="s">
        <v>143</v>
      </c>
      <c r="K29" s="92"/>
      <c r="L29" s="92"/>
    </row>
    <row r="30" spans="1:19" x14ac:dyDescent="0.25">
      <c r="A30" s="95" t="s">
        <v>140</v>
      </c>
      <c r="B30" s="96">
        <v>20904</v>
      </c>
      <c r="C30" s="97" t="s">
        <v>229</v>
      </c>
      <c r="D3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30" s="99" t="s">
        <v>47</v>
      </c>
      <c r="F30" s="99" t="s">
        <v>252</v>
      </c>
      <c r="G30" s="100">
        <v>9345</v>
      </c>
      <c r="H30" s="108">
        <v>500</v>
      </c>
      <c r="I30" s="109"/>
      <c r="J30" s="102" t="s">
        <v>143</v>
      </c>
      <c r="K30" s="92"/>
      <c r="L30" s="92"/>
    </row>
    <row r="31" spans="1:19" x14ac:dyDescent="0.25">
      <c r="A31" s="95" t="s">
        <v>140</v>
      </c>
      <c r="B31" s="96">
        <v>20914</v>
      </c>
      <c r="C31" s="97" t="s">
        <v>230</v>
      </c>
      <c r="D3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1" s="99" t="s">
        <v>47</v>
      </c>
      <c r="F31" s="99" t="s">
        <v>252</v>
      </c>
      <c r="G31" s="100">
        <v>501</v>
      </c>
      <c r="H31" s="108">
        <v>750</v>
      </c>
      <c r="I31" s="109"/>
      <c r="J31" s="102" t="s">
        <v>143</v>
      </c>
      <c r="K31" s="92"/>
      <c r="L31" s="92"/>
    </row>
    <row r="32" spans="1:19" x14ac:dyDescent="0.25">
      <c r="A32" s="95" t="s">
        <v>140</v>
      </c>
      <c r="B32" s="96">
        <v>20922</v>
      </c>
      <c r="C32" s="97" t="s">
        <v>231</v>
      </c>
      <c r="D3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2" s="99" t="s">
        <v>47</v>
      </c>
      <c r="F32" s="99" t="s">
        <v>252</v>
      </c>
      <c r="G32" s="100">
        <v>501</v>
      </c>
      <c r="H32" s="108">
        <v>350</v>
      </c>
      <c r="I32" s="109"/>
      <c r="J32" s="102" t="s">
        <v>143</v>
      </c>
      <c r="K32" s="92"/>
      <c r="L32" s="92"/>
    </row>
    <row r="33" spans="1:12" x14ac:dyDescent="0.25">
      <c r="A33" s="95" t="s">
        <v>140</v>
      </c>
      <c r="B33" s="96">
        <v>20905</v>
      </c>
      <c r="C33" s="97" t="s">
        <v>232</v>
      </c>
      <c r="D3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3" s="99" t="s">
        <v>47</v>
      </c>
      <c r="F33" s="99" t="s">
        <v>252</v>
      </c>
      <c r="G33" s="100">
        <v>501</v>
      </c>
      <c r="H33" s="108">
        <v>500</v>
      </c>
      <c r="I33" s="109"/>
      <c r="J33" s="102" t="s">
        <v>155</v>
      </c>
      <c r="K33" s="92"/>
      <c r="L33" s="92"/>
    </row>
    <row r="34" spans="1:12" x14ac:dyDescent="0.25">
      <c r="A34" s="95" t="s">
        <v>140</v>
      </c>
      <c r="B34" s="96">
        <v>20906</v>
      </c>
      <c r="C34" s="97" t="s">
        <v>233</v>
      </c>
      <c r="D3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4" s="99" t="s">
        <v>47</v>
      </c>
      <c r="F34" s="99" t="s">
        <v>252</v>
      </c>
      <c r="G34" s="100">
        <v>501</v>
      </c>
      <c r="H34" s="108">
        <v>349</v>
      </c>
      <c r="I34" s="109"/>
      <c r="J34" s="102" t="s">
        <v>155</v>
      </c>
      <c r="K34" s="92"/>
      <c r="L34" s="92"/>
    </row>
    <row r="35" spans="1:12" x14ac:dyDescent="0.25">
      <c r="A35" s="95" t="s">
        <v>140</v>
      </c>
      <c r="B35" s="96">
        <v>20931</v>
      </c>
      <c r="C35" s="97" t="s">
        <v>234</v>
      </c>
      <c r="D3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35" s="99" t="s">
        <v>47</v>
      </c>
      <c r="F35" s="99" t="s">
        <v>253</v>
      </c>
      <c r="G35" s="100">
        <v>9393</v>
      </c>
      <c r="H35" s="108">
        <v>400</v>
      </c>
      <c r="I35" s="109"/>
      <c r="J35" s="102" t="s">
        <v>155</v>
      </c>
      <c r="K35" s="92"/>
      <c r="L35" s="92"/>
    </row>
    <row r="36" spans="1:12" x14ac:dyDescent="0.25">
      <c r="A36" s="95" t="s">
        <v>140</v>
      </c>
      <c r="B36" s="96">
        <v>20941</v>
      </c>
      <c r="C36" s="97" t="s">
        <v>235</v>
      </c>
      <c r="D3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36" s="99" t="s">
        <v>47</v>
      </c>
      <c r="F36" s="99" t="s">
        <v>256</v>
      </c>
      <c r="G36" s="100">
        <v>9377</v>
      </c>
      <c r="H36" s="108">
        <v>300</v>
      </c>
      <c r="I36" s="109"/>
      <c r="J36" s="102" t="s">
        <v>155</v>
      </c>
      <c r="K36" s="92"/>
      <c r="L36" s="92"/>
    </row>
    <row r="37" spans="1:12" x14ac:dyDescent="0.25">
      <c r="A37" s="95" t="s">
        <v>140</v>
      </c>
      <c r="B37" s="96">
        <v>20942</v>
      </c>
      <c r="C37" s="97" t="s">
        <v>235</v>
      </c>
      <c r="D3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7" s="99" t="s">
        <v>47</v>
      </c>
      <c r="F37" s="99" t="s">
        <v>252</v>
      </c>
      <c r="G37" s="100">
        <v>501</v>
      </c>
      <c r="H37" s="108">
        <v>400</v>
      </c>
      <c r="I37" s="109"/>
      <c r="J37" s="102" t="s">
        <v>155</v>
      </c>
      <c r="K37" s="92"/>
      <c r="L37" s="92"/>
    </row>
    <row r="38" spans="1:12" x14ac:dyDescent="0.25">
      <c r="A38" s="95" t="s">
        <v>140</v>
      </c>
      <c r="B38" s="96">
        <v>20953</v>
      </c>
      <c r="C38" s="97" t="s">
        <v>236</v>
      </c>
      <c r="D3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38" s="99" t="s">
        <v>47</v>
      </c>
      <c r="F38" s="99" t="s">
        <v>257</v>
      </c>
      <c r="G38" s="100">
        <v>9390</v>
      </c>
      <c r="H38" s="108">
        <v>300</v>
      </c>
      <c r="I38" s="109"/>
      <c r="J38" s="102" t="s">
        <v>155</v>
      </c>
      <c r="K38" s="92"/>
      <c r="L38" s="92"/>
    </row>
    <row r="39" spans="1:12" x14ac:dyDescent="0.25">
      <c r="A39" s="95" t="s">
        <v>140</v>
      </c>
      <c r="B39" s="96">
        <v>20921</v>
      </c>
      <c r="C39" s="97" t="s">
        <v>237</v>
      </c>
      <c r="D3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39" s="99" t="s">
        <v>47</v>
      </c>
      <c r="F39" s="99" t="s">
        <v>252</v>
      </c>
      <c r="G39" s="100">
        <v>501</v>
      </c>
      <c r="H39" s="108">
        <v>350</v>
      </c>
      <c r="I39" s="109"/>
      <c r="J39" s="102" t="s">
        <v>155</v>
      </c>
      <c r="K39" s="92"/>
      <c r="L39" s="92"/>
    </row>
    <row r="40" spans="1:12" x14ac:dyDescent="0.25">
      <c r="A40" s="95" t="s">
        <v>138</v>
      </c>
      <c r="B40" s="96">
        <v>20895</v>
      </c>
      <c r="C40" s="97" t="s">
        <v>179</v>
      </c>
      <c r="D4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0" s="99" t="s">
        <v>47</v>
      </c>
      <c r="F40" s="99" t="s">
        <v>238</v>
      </c>
      <c r="G40" s="100">
        <v>9394</v>
      </c>
      <c r="H40" s="91">
        <v>399</v>
      </c>
      <c r="I40" s="101"/>
      <c r="J40" s="102" t="s">
        <v>131</v>
      </c>
      <c r="K40" s="92"/>
      <c r="L40" s="92"/>
    </row>
    <row r="41" spans="1:12" x14ac:dyDescent="0.25">
      <c r="A41" s="95" t="s">
        <v>138</v>
      </c>
      <c r="B41" s="96">
        <v>20896</v>
      </c>
      <c r="C41" s="97" t="s">
        <v>180</v>
      </c>
      <c r="D4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1" s="99" t="s">
        <v>47</v>
      </c>
      <c r="F41" s="99" t="s">
        <v>239</v>
      </c>
      <c r="G41" s="100">
        <v>9379</v>
      </c>
      <c r="H41" s="108">
        <v>399</v>
      </c>
      <c r="I41" s="109"/>
      <c r="J41" s="102" t="s">
        <v>131</v>
      </c>
      <c r="K41" s="92"/>
      <c r="L41" s="92"/>
    </row>
    <row r="42" spans="1:12" x14ac:dyDescent="0.25">
      <c r="A42" s="95" t="s">
        <v>138</v>
      </c>
      <c r="B42" s="96">
        <v>20900</v>
      </c>
      <c r="C42" s="97" t="s">
        <v>181</v>
      </c>
      <c r="D4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2" s="99" t="s">
        <v>47</v>
      </c>
      <c r="F42" s="99" t="s">
        <v>240</v>
      </c>
      <c r="G42" s="100">
        <v>9273</v>
      </c>
      <c r="H42" s="108">
        <v>399</v>
      </c>
      <c r="I42" s="109"/>
      <c r="J42" s="102" t="s">
        <v>131</v>
      </c>
      <c r="K42" s="92"/>
      <c r="L42" s="92"/>
    </row>
    <row r="43" spans="1:12" x14ac:dyDescent="0.25">
      <c r="A43" s="95" t="s">
        <v>138</v>
      </c>
      <c r="B43" s="96">
        <v>20907</v>
      </c>
      <c r="C43" s="97" t="s">
        <v>182</v>
      </c>
      <c r="D4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3" s="99" t="s">
        <v>47</v>
      </c>
      <c r="F43" s="99" t="s">
        <v>241</v>
      </c>
      <c r="G43" s="100">
        <v>9386</v>
      </c>
      <c r="H43" s="108">
        <v>399</v>
      </c>
      <c r="I43" s="109"/>
      <c r="J43" s="102" t="s">
        <v>131</v>
      </c>
      <c r="K43" s="92"/>
      <c r="L43" s="92"/>
    </row>
    <row r="44" spans="1:12" x14ac:dyDescent="0.25">
      <c r="A44" s="95" t="s">
        <v>138</v>
      </c>
      <c r="B44" s="96">
        <v>20911</v>
      </c>
      <c r="C44" s="97" t="s">
        <v>183</v>
      </c>
      <c r="D4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4" s="99" t="s">
        <v>47</v>
      </c>
      <c r="F44" s="99" t="s">
        <v>238</v>
      </c>
      <c r="G44" s="100">
        <v>9187</v>
      </c>
      <c r="H44" s="108">
        <v>399</v>
      </c>
      <c r="I44" s="109"/>
      <c r="J44" s="102" t="s">
        <v>131</v>
      </c>
      <c r="K44" s="92"/>
      <c r="L44" s="92"/>
    </row>
    <row r="45" spans="1:12" x14ac:dyDescent="0.25">
      <c r="A45" s="95" t="s">
        <v>138</v>
      </c>
      <c r="B45" s="96">
        <v>20912</v>
      </c>
      <c r="C45" s="97" t="s">
        <v>184</v>
      </c>
      <c r="D4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5" s="99" t="s">
        <v>47</v>
      </c>
      <c r="F45" s="99" t="s">
        <v>238</v>
      </c>
      <c r="G45" s="100">
        <v>9187</v>
      </c>
      <c r="H45" s="108">
        <v>399</v>
      </c>
      <c r="I45" s="109"/>
      <c r="J45" s="102" t="s">
        <v>131</v>
      </c>
      <c r="K45" s="92"/>
      <c r="L45" s="92"/>
    </row>
    <row r="46" spans="1:12" x14ac:dyDescent="0.25">
      <c r="A46" s="95" t="s">
        <v>138</v>
      </c>
      <c r="B46" s="96">
        <v>20913</v>
      </c>
      <c r="C46" s="97" t="s">
        <v>185</v>
      </c>
      <c r="D4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6" s="99" t="s">
        <v>47</v>
      </c>
      <c r="F46" s="99" t="s">
        <v>242</v>
      </c>
      <c r="G46" s="100">
        <v>9382</v>
      </c>
      <c r="H46" s="108">
        <v>350</v>
      </c>
      <c r="I46" s="109"/>
      <c r="J46" s="102" t="s">
        <v>131</v>
      </c>
      <c r="K46" s="92"/>
      <c r="L46" s="92"/>
    </row>
    <row r="47" spans="1:12" x14ac:dyDescent="0.25">
      <c r="A47" s="95" t="s">
        <v>138</v>
      </c>
      <c r="B47" s="96">
        <v>20915</v>
      </c>
      <c r="C47" s="97" t="s">
        <v>186</v>
      </c>
      <c r="D4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7" s="99" t="s">
        <v>47</v>
      </c>
      <c r="F47" s="99" t="s">
        <v>242</v>
      </c>
      <c r="G47" s="100">
        <v>9380</v>
      </c>
      <c r="H47" s="108">
        <v>399</v>
      </c>
      <c r="I47" s="109"/>
      <c r="J47" s="102" t="s">
        <v>131</v>
      </c>
      <c r="K47" s="92"/>
      <c r="L47" s="92"/>
    </row>
    <row r="48" spans="1:12" x14ac:dyDescent="0.25">
      <c r="A48" s="95" t="s">
        <v>138</v>
      </c>
      <c r="B48" s="96">
        <v>20918</v>
      </c>
      <c r="C48" s="97" t="s">
        <v>187</v>
      </c>
      <c r="D4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48" s="99" t="s">
        <v>47</v>
      </c>
      <c r="F48" s="99" t="s">
        <v>240</v>
      </c>
      <c r="G48" s="100">
        <v>9272</v>
      </c>
      <c r="H48" s="108">
        <v>550</v>
      </c>
      <c r="I48" s="109"/>
      <c r="J48" s="102" t="s">
        <v>131</v>
      </c>
      <c r="K48" s="92"/>
      <c r="L48" s="92"/>
    </row>
    <row r="49" spans="1:12" x14ac:dyDescent="0.25">
      <c r="A49" s="95" t="s">
        <v>138</v>
      </c>
      <c r="B49" s="96">
        <v>20924</v>
      </c>
      <c r="C49" s="97" t="s">
        <v>188</v>
      </c>
      <c r="D4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49" s="99" t="s">
        <v>47</v>
      </c>
      <c r="F49" s="99" t="s">
        <v>243</v>
      </c>
      <c r="G49" s="100">
        <v>501</v>
      </c>
      <c r="H49" s="108">
        <v>300</v>
      </c>
      <c r="I49" s="109"/>
      <c r="J49" s="102" t="s">
        <v>132</v>
      </c>
      <c r="K49" s="92"/>
      <c r="L49" s="92"/>
    </row>
    <row r="50" spans="1:12" x14ac:dyDescent="0.25">
      <c r="A50" s="95" t="s">
        <v>138</v>
      </c>
      <c r="B50" s="96">
        <v>20926</v>
      </c>
      <c r="C50" s="97" t="s">
        <v>189</v>
      </c>
      <c r="D5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0" s="99" t="s">
        <v>47</v>
      </c>
      <c r="F50" s="99" t="s">
        <v>244</v>
      </c>
      <c r="G50" s="100">
        <v>9275</v>
      </c>
      <c r="H50" s="108">
        <v>350</v>
      </c>
      <c r="I50" s="109"/>
      <c r="J50" s="102" t="s">
        <v>132</v>
      </c>
      <c r="K50" s="92"/>
      <c r="L50" s="92"/>
    </row>
    <row r="51" spans="1:12" x14ac:dyDescent="0.25">
      <c r="A51" s="95" t="s">
        <v>138</v>
      </c>
      <c r="B51" s="96">
        <v>20927</v>
      </c>
      <c r="C51" s="97" t="s">
        <v>190</v>
      </c>
      <c r="D5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51" s="99" t="s">
        <v>47</v>
      </c>
      <c r="F51" s="99" t="s">
        <v>243</v>
      </c>
      <c r="G51" s="100">
        <v>501</v>
      </c>
      <c r="H51" s="108">
        <v>500</v>
      </c>
      <c r="I51" s="109"/>
      <c r="J51" s="102" t="s">
        <v>132</v>
      </c>
      <c r="K51" s="92"/>
      <c r="L51" s="92"/>
    </row>
    <row r="52" spans="1:12" x14ac:dyDescent="0.25">
      <c r="A52" s="95" t="s">
        <v>138</v>
      </c>
      <c r="B52" s="96">
        <v>20935</v>
      </c>
      <c r="C52" s="97" t="s">
        <v>189</v>
      </c>
      <c r="D5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2" s="99" t="s">
        <v>47</v>
      </c>
      <c r="F52" s="99" t="s">
        <v>242</v>
      </c>
      <c r="G52" s="100">
        <v>9388</v>
      </c>
      <c r="H52" s="108">
        <v>550</v>
      </c>
      <c r="I52" s="109"/>
      <c r="J52" s="102" t="s">
        <v>132</v>
      </c>
      <c r="K52" s="92"/>
      <c r="L52" s="92"/>
    </row>
    <row r="53" spans="1:12" x14ac:dyDescent="0.25">
      <c r="A53" s="95" t="s">
        <v>138</v>
      </c>
      <c r="B53" s="96">
        <v>20944</v>
      </c>
      <c r="C53" s="97" t="s">
        <v>191</v>
      </c>
      <c r="D5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3" s="99" t="s">
        <v>47</v>
      </c>
      <c r="F53" s="99" t="s">
        <v>242</v>
      </c>
      <c r="G53" s="100">
        <v>9380</v>
      </c>
      <c r="H53" s="108">
        <v>700</v>
      </c>
      <c r="I53" s="109"/>
      <c r="J53" s="102" t="s">
        <v>132</v>
      </c>
      <c r="K53" s="92"/>
      <c r="L53" s="92"/>
    </row>
    <row r="54" spans="1:12" x14ac:dyDescent="0.25">
      <c r="A54" s="95" t="s">
        <v>138</v>
      </c>
      <c r="B54" s="96">
        <v>20917</v>
      </c>
      <c r="C54" s="97" t="s">
        <v>192</v>
      </c>
      <c r="D5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54" s="99" t="s">
        <v>47</v>
      </c>
      <c r="F54" s="99" t="s">
        <v>241</v>
      </c>
      <c r="G54" s="100">
        <v>501</v>
      </c>
      <c r="H54" s="108">
        <v>350</v>
      </c>
      <c r="I54" s="109"/>
      <c r="J54" s="102" t="s">
        <v>133</v>
      </c>
      <c r="K54" s="92"/>
      <c r="L54" s="92"/>
    </row>
    <row r="55" spans="1:12" x14ac:dyDescent="0.25">
      <c r="A55" s="95" t="s">
        <v>138</v>
      </c>
      <c r="B55" s="96">
        <v>20933</v>
      </c>
      <c r="C55" s="97" t="s">
        <v>193</v>
      </c>
      <c r="D5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55" s="99" t="s">
        <v>47</v>
      </c>
      <c r="F55" s="99" t="s">
        <v>245</v>
      </c>
      <c r="G55" s="100">
        <v>501</v>
      </c>
      <c r="H55" s="108">
        <v>350</v>
      </c>
      <c r="I55" s="109"/>
      <c r="J55" s="102" t="s">
        <v>133</v>
      </c>
      <c r="K55" s="92"/>
      <c r="L55" s="92"/>
    </row>
    <row r="56" spans="1:12" x14ac:dyDescent="0.25">
      <c r="A56" s="95" t="s">
        <v>138</v>
      </c>
      <c r="B56" s="96">
        <v>20936</v>
      </c>
      <c r="C56" s="97" t="s">
        <v>194</v>
      </c>
      <c r="D5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56" s="99" t="s">
        <v>47</v>
      </c>
      <c r="F56" s="99" t="s">
        <v>241</v>
      </c>
      <c r="G56" s="100">
        <v>501</v>
      </c>
      <c r="H56" s="108">
        <v>399</v>
      </c>
      <c r="I56" s="109"/>
      <c r="J56" s="102" t="s">
        <v>133</v>
      </c>
      <c r="K56" s="92"/>
      <c r="L56" s="92"/>
    </row>
    <row r="57" spans="1:12" x14ac:dyDescent="0.25">
      <c r="A57" s="95" t="s">
        <v>138</v>
      </c>
      <c r="B57" s="96">
        <v>20937</v>
      </c>
      <c r="C57" s="97" t="s">
        <v>195</v>
      </c>
      <c r="D5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7" s="99" t="s">
        <v>47</v>
      </c>
      <c r="F57" s="99" t="s">
        <v>242</v>
      </c>
      <c r="G57" s="100">
        <v>9380</v>
      </c>
      <c r="H57" s="108">
        <v>400</v>
      </c>
      <c r="I57" s="109"/>
      <c r="J57" s="102" t="s">
        <v>133</v>
      </c>
      <c r="K57" s="92"/>
      <c r="L57" s="92"/>
    </row>
    <row r="58" spans="1:12" x14ac:dyDescent="0.25">
      <c r="A58" s="95" t="s">
        <v>138</v>
      </c>
      <c r="B58" s="96">
        <v>20955</v>
      </c>
      <c r="C58" s="97" t="s">
        <v>196</v>
      </c>
      <c r="D5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8" s="99" t="s">
        <v>47</v>
      </c>
      <c r="F58" s="99" t="s">
        <v>246</v>
      </c>
      <c r="G58" s="100">
        <v>9384</v>
      </c>
      <c r="H58" s="108">
        <v>399</v>
      </c>
      <c r="I58" s="109"/>
      <c r="J58" s="102" t="s">
        <v>133</v>
      </c>
      <c r="K58" s="92"/>
      <c r="L58" s="92"/>
    </row>
    <row r="59" spans="1:12" x14ac:dyDescent="0.25">
      <c r="A59" s="95" t="s">
        <v>138</v>
      </c>
      <c r="B59" s="96">
        <v>20949</v>
      </c>
      <c r="C59" s="97" t="s">
        <v>197</v>
      </c>
      <c r="D5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59" s="99" t="s">
        <v>47</v>
      </c>
      <c r="F59" s="99" t="s">
        <v>241</v>
      </c>
      <c r="G59" s="100">
        <v>9386</v>
      </c>
      <c r="H59" s="108">
        <v>450</v>
      </c>
      <c r="I59" s="109"/>
      <c r="J59" s="102" t="s">
        <v>133</v>
      </c>
      <c r="K59" s="92"/>
      <c r="L59" s="92"/>
    </row>
    <row r="60" spans="1:12" x14ac:dyDescent="0.25">
      <c r="A60" s="95" t="s">
        <v>138</v>
      </c>
      <c r="B60" s="96">
        <v>20894</v>
      </c>
      <c r="C60" s="97" t="s">
        <v>198</v>
      </c>
      <c r="D60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0" s="99" t="s">
        <v>47</v>
      </c>
      <c r="F60" s="99" t="s">
        <v>242</v>
      </c>
      <c r="G60" s="100">
        <v>9380</v>
      </c>
      <c r="H60" s="108">
        <v>350</v>
      </c>
      <c r="I60" s="109"/>
      <c r="J60" s="102" t="s">
        <v>134</v>
      </c>
      <c r="K60" s="92"/>
      <c r="L60" s="92"/>
    </row>
    <row r="61" spans="1:12" x14ac:dyDescent="0.25">
      <c r="A61" s="95" t="s">
        <v>138</v>
      </c>
      <c r="B61" s="96">
        <v>20897</v>
      </c>
      <c r="C61" s="97" t="s">
        <v>199</v>
      </c>
      <c r="D61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1" s="99" t="s">
        <v>47</v>
      </c>
      <c r="F61" s="99" t="s">
        <v>238</v>
      </c>
      <c r="G61" s="100">
        <v>9182</v>
      </c>
      <c r="H61" s="108">
        <v>499</v>
      </c>
      <c r="I61" s="109"/>
      <c r="J61" s="102" t="s">
        <v>134</v>
      </c>
      <c r="K61" s="92"/>
      <c r="L61" s="92"/>
    </row>
    <row r="62" spans="1:12" x14ac:dyDescent="0.25">
      <c r="A62" s="95" t="s">
        <v>138</v>
      </c>
      <c r="B62" s="96">
        <v>20916</v>
      </c>
      <c r="C62" s="97" t="s">
        <v>200</v>
      </c>
      <c r="D62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2" s="99" t="s">
        <v>47</v>
      </c>
      <c r="F62" s="99" t="s">
        <v>242</v>
      </c>
      <c r="G62" s="100">
        <v>9380</v>
      </c>
      <c r="H62" s="108">
        <v>299</v>
      </c>
      <c r="I62" s="109"/>
      <c r="J62" s="102" t="s">
        <v>134</v>
      </c>
      <c r="K62" s="92"/>
      <c r="L62" s="92"/>
    </row>
    <row r="63" spans="1:12" x14ac:dyDescent="0.25">
      <c r="A63" s="95" t="s">
        <v>138</v>
      </c>
      <c r="B63" s="96">
        <v>20920</v>
      </c>
      <c r="C63" s="97" t="s">
        <v>201</v>
      </c>
      <c r="D63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3" s="99" t="s">
        <v>47</v>
      </c>
      <c r="F63" s="99" t="s">
        <v>247</v>
      </c>
      <c r="G63" s="100">
        <v>9212</v>
      </c>
      <c r="H63" s="108">
        <v>299</v>
      </c>
      <c r="I63" s="109"/>
      <c r="J63" s="102" t="s">
        <v>134</v>
      </c>
      <c r="K63" s="92"/>
      <c r="L63" s="92"/>
    </row>
    <row r="64" spans="1:12" x14ac:dyDescent="0.25">
      <c r="A64" s="95" t="s">
        <v>138</v>
      </c>
      <c r="B64" s="96">
        <v>20928</v>
      </c>
      <c r="C64" s="97" t="s">
        <v>202</v>
      </c>
      <c r="D64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64" s="99" t="s">
        <v>47</v>
      </c>
      <c r="F64" s="99" t="s">
        <v>248</v>
      </c>
      <c r="G64" s="100">
        <v>501</v>
      </c>
      <c r="H64" s="108">
        <v>349</v>
      </c>
      <c r="I64" s="109"/>
      <c r="J64" s="102" t="s">
        <v>134</v>
      </c>
      <c r="K64" s="92"/>
      <c r="L64" s="92"/>
    </row>
    <row r="65" spans="1:12" x14ac:dyDescent="0.25">
      <c r="A65" s="95" t="s">
        <v>138</v>
      </c>
      <c r="B65" s="96">
        <v>20939</v>
      </c>
      <c r="C65" s="97" t="s">
        <v>203</v>
      </c>
      <c r="D65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0</v>
      </c>
      <c r="E65" s="99" t="s">
        <v>47</v>
      </c>
      <c r="F65" s="99" t="s">
        <v>239</v>
      </c>
      <c r="G65" s="100">
        <v>501</v>
      </c>
      <c r="H65" s="108">
        <v>350</v>
      </c>
      <c r="I65" s="109"/>
      <c r="J65" s="102" t="s">
        <v>134</v>
      </c>
      <c r="K65" s="92"/>
      <c r="L65" s="92"/>
    </row>
    <row r="66" spans="1:12" x14ac:dyDescent="0.25">
      <c r="A66" s="95" t="s">
        <v>138</v>
      </c>
      <c r="B66" s="96">
        <v>20940</v>
      </c>
      <c r="C66" s="97" t="s">
        <v>204</v>
      </c>
      <c r="D66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6" s="99" t="s">
        <v>47</v>
      </c>
      <c r="F66" s="99" t="s">
        <v>238</v>
      </c>
      <c r="G66" s="100">
        <v>9394</v>
      </c>
      <c r="H66" s="108">
        <v>400</v>
      </c>
      <c r="I66" s="109"/>
      <c r="J66" s="102" t="s">
        <v>134</v>
      </c>
      <c r="K66" s="92"/>
      <c r="L66" s="92"/>
    </row>
    <row r="67" spans="1:12" x14ac:dyDescent="0.25">
      <c r="A67" s="95" t="s">
        <v>138</v>
      </c>
      <c r="B67" s="96">
        <v>20948</v>
      </c>
      <c r="C67" s="97" t="s">
        <v>205</v>
      </c>
      <c r="D67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7" s="99" t="s">
        <v>47</v>
      </c>
      <c r="F67" s="99" t="s">
        <v>242</v>
      </c>
      <c r="G67" s="100">
        <v>9358</v>
      </c>
      <c r="H67" s="108">
        <v>350</v>
      </c>
      <c r="I67" s="109"/>
      <c r="J67" s="102" t="s">
        <v>134</v>
      </c>
      <c r="K67" s="92"/>
      <c r="L67" s="92"/>
    </row>
    <row r="68" spans="1:12" x14ac:dyDescent="0.25">
      <c r="A68" s="95" t="s">
        <v>138</v>
      </c>
      <c r="B68" s="96">
        <v>20954</v>
      </c>
      <c r="C68" s="97" t="s">
        <v>206</v>
      </c>
      <c r="D68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8" s="99" t="s">
        <v>47</v>
      </c>
      <c r="F68" s="99" t="s">
        <v>242</v>
      </c>
      <c r="G68" s="100">
        <v>9382</v>
      </c>
      <c r="H68" s="108">
        <v>349</v>
      </c>
      <c r="I68" s="109"/>
      <c r="J68" s="102" t="s">
        <v>134</v>
      </c>
      <c r="K68" s="92"/>
      <c r="L68" s="92"/>
    </row>
    <row r="69" spans="1:12" x14ac:dyDescent="0.25">
      <c r="A69" s="95" t="s">
        <v>138</v>
      </c>
      <c r="B69" s="96">
        <v>18207</v>
      </c>
      <c r="C69" s="97" t="s">
        <v>207</v>
      </c>
      <c r="D69" s="98">
        <f>IF(OR(Tabla_Gerente[[#This Row],[GRUPO]] = 501, Tabla_Gerente[[#This Row],[GRUPO]] = 503, Tabla_Gerente[[#This Row],[GRUPO]] = "", Tabla_Gerente[[#This Row],[GRUPO]] = 500, Tabla_Gerente[[#This Row],[PAGO]] &lt; 299),
    0,
    VLOOKUP(Total_Registros_Gerente, Tabulador_Gerente[], 3, TRUE)
)</f>
        <v>120</v>
      </c>
      <c r="E69" s="99" t="s">
        <v>47</v>
      </c>
      <c r="F69" s="99" t="s">
        <v>238</v>
      </c>
      <c r="G69" s="100">
        <v>9208</v>
      </c>
      <c r="H69" s="108">
        <v>349</v>
      </c>
      <c r="I69" s="109"/>
      <c r="J69" s="102" t="s">
        <v>134</v>
      </c>
      <c r="K69" s="92"/>
      <c r="L69" s="92"/>
    </row>
    <row r="70" spans="1:12" x14ac:dyDescent="0.25">
      <c r="A70" s="103" t="s">
        <v>50</v>
      </c>
      <c r="B70" s="104"/>
      <c r="C70" s="105"/>
      <c r="D70" s="106">
        <f>SUBTOTAL(109,Tabla_Gerente[COMISION])</f>
        <v>5640</v>
      </c>
      <c r="E70" s="104"/>
      <c r="F70" s="104"/>
      <c r="G70" s="104"/>
      <c r="H70" s="107"/>
      <c r="I70" s="104"/>
      <c r="J70" s="104"/>
      <c r="K70" s="93"/>
      <c r="L70" s="93"/>
    </row>
    <row r="71" spans="1:12" x14ac:dyDescent="0.25">
      <c r="A71" s="25" t="s">
        <v>13</v>
      </c>
      <c r="D71" s="39">
        <f>Sueldo_Base_Gerente</f>
        <v>1000</v>
      </c>
      <c r="E71" s="16"/>
      <c r="F71" s="15"/>
      <c r="H71" s="15"/>
      <c r="J71" s="24"/>
    </row>
    <row r="72" spans="1:12" ht="16.5" thickBot="1" x14ac:dyDescent="0.3">
      <c r="A72" s="33" t="s">
        <v>45</v>
      </c>
      <c r="B72" s="38">
        <f>IF(Total_Registros_Gerente &gt;= Premios!K5,
    VLOOKUP(Total_Registros_Gerente, Premios_Gerente[], 1, TRUE),
    0
)</f>
        <v>60</v>
      </c>
      <c r="C72" s="34"/>
      <c r="D72" s="85">
        <f>IF(Premio_Gerente &gt; 0, VLOOKUP(Premio_Gerente, Premios_Gerente[], 2, FALSE), 0)</f>
        <v>3000</v>
      </c>
      <c r="E72" s="16"/>
      <c r="F72" s="15"/>
      <c r="H72" s="15"/>
      <c r="J72" s="24"/>
    </row>
    <row r="73" spans="1:12" x14ac:dyDescent="0.25">
      <c r="A73" s="25" t="s">
        <v>46</v>
      </c>
      <c r="B73" s="18"/>
      <c r="D73" s="40">
        <f>Tabla_Gerente[[#Totals],[COMISION]] + Pago_Sueldo_Base_Gerente + Pago_Premio_Gerente</f>
        <v>9640</v>
      </c>
      <c r="E73" s="16"/>
      <c r="F73" s="15"/>
      <c r="H73" s="15"/>
      <c r="J73" s="24"/>
    </row>
    <row r="74" spans="1:12" x14ac:dyDescent="0.25">
      <c r="A74" s="27" t="s">
        <v>125</v>
      </c>
      <c r="B74" s="18"/>
      <c r="C74" s="29"/>
      <c r="D74" s="39">
        <f>_xlfn.IFNA(SUMIFS(Descuentos[DESCUENTO], Descuentos[COLABORADOR], Nombre_Gerente, Descuentos[PUESTO], Puesto_Gerente), 0)</f>
        <v>0</v>
      </c>
      <c r="E74" s="16"/>
      <c r="F74" s="15"/>
      <c r="H74" s="15"/>
      <c r="I74" s="18"/>
      <c r="K74" s="22"/>
    </row>
    <row r="75" spans="1:12" ht="16.5" thickBot="1" x14ac:dyDescent="0.3">
      <c r="A75" s="33" t="s">
        <v>24</v>
      </c>
      <c r="B75" s="34"/>
      <c r="C75" s="34"/>
      <c r="D75" s="86">
        <f>(Pago_Subtotal_Gerente * 0.05) * -1</f>
        <v>-482</v>
      </c>
      <c r="E75" s="16"/>
      <c r="F75" s="15"/>
      <c r="H75" s="15"/>
    </row>
    <row r="76" spans="1:12" ht="16.5" thickBot="1" x14ac:dyDescent="0.3">
      <c r="A76" s="35"/>
      <c r="C76" s="29"/>
      <c r="D76" s="28"/>
      <c r="E76" s="16"/>
      <c r="F76" s="15"/>
    </row>
    <row r="77" spans="1:12" ht="16.5" thickBot="1" x14ac:dyDescent="0.3">
      <c r="A77" s="33" t="s">
        <v>49</v>
      </c>
      <c r="B77" s="34"/>
      <c r="C77" s="50"/>
      <c r="D77" s="87">
        <f>Pago_Subtotal_Gerente + Descuento_Gerente + Deduccion_Gerente</f>
        <v>9158</v>
      </c>
      <c r="E77" s="16"/>
      <c r="F77" s="15"/>
    </row>
    <row r="78" spans="1:12" x14ac:dyDescent="0.25">
      <c r="A78" s="25"/>
      <c r="C78" s="59"/>
      <c r="D78" s="16"/>
      <c r="E78" s="16"/>
      <c r="F78" s="15"/>
    </row>
    <row r="79" spans="1:12" x14ac:dyDescent="0.25">
      <c r="C79" s="29"/>
      <c r="D79" s="28"/>
      <c r="E79" s="26"/>
      <c r="F79" s="26"/>
    </row>
    <row r="80" spans="1:12" ht="16.5" thickBot="1" x14ac:dyDescent="0.3">
      <c r="C80" s="37" t="s">
        <v>25</v>
      </c>
      <c r="D80" s="112" t="str" cm="1">
        <f t="array" ref="D80">NumeroATexto(Pago_Neto_Gerente)</f>
        <v>NUEVE MIL CIENTO CINCUENTA Y OCHO PESOS 00/100</v>
      </c>
      <c r="E80" s="112"/>
      <c r="F80" s="112"/>
      <c r="G80" s="112"/>
      <c r="H80" s="112"/>
      <c r="I80" s="112"/>
    </row>
    <row r="81" spans="3:9" x14ac:dyDescent="0.25">
      <c r="C81" s="27"/>
      <c r="D81" s="26"/>
      <c r="E81" s="16"/>
      <c r="F81" s="15"/>
    </row>
    <row r="82" spans="3:9" x14ac:dyDescent="0.25">
      <c r="C82" s="29"/>
      <c r="D82" s="28"/>
    </row>
    <row r="83" spans="3:9" ht="16.5" thickBot="1" x14ac:dyDescent="0.3">
      <c r="C83" s="33" t="s">
        <v>26</v>
      </c>
      <c r="D83" s="113"/>
      <c r="E83" s="113"/>
      <c r="F83" s="113"/>
      <c r="G83" s="113"/>
      <c r="H83" s="113"/>
      <c r="I83" s="113"/>
    </row>
  </sheetData>
  <sheetProtection formatCells="0" formatColumns="0" formatRows="0" insertColumns="0" insertRows="0" insertHyperlinks="0" deleteColumns="0" deleteRows="0" sort="0" autoFilter="0"/>
  <mergeCells count="4">
    <mergeCell ref="B1:D1"/>
    <mergeCell ref="B2:D2"/>
    <mergeCell ref="D80:I80"/>
    <mergeCell ref="D83:I83"/>
  </mergeCells>
  <phoneticPr fontId="6" type="noConversion"/>
  <conditionalFormatting sqref="D9:D69">
    <cfRule type="cellIs" dxfId="4" priority="9" operator="equal">
      <formula>0</formula>
    </cfRule>
  </conditionalFormatting>
  <conditionalFormatting sqref="G9:G69">
    <cfRule type="cellIs" dxfId="3" priority="1" operator="equal">
      <formula>503</formula>
    </cfRule>
    <cfRule type="cellIs" dxfId="2" priority="3" operator="equal">
      <formula>501</formula>
    </cfRule>
    <cfRule type="containsBlanks" dxfId="1" priority="18">
      <formula>LEN(TRIM(G9))=0</formula>
    </cfRule>
  </conditionalFormatting>
  <conditionalFormatting sqref="B9:B69">
    <cfRule type="duplicateValues" dxfId="0" priority="29"/>
  </conditionalFormatting>
  <dataValidations count="7">
    <dataValidation type="date" operator="greaterThan" allowBlank="1" showInputMessage="1" showErrorMessage="1" sqref="B6" xr:uid="{540C2DD8-7370-45A8-AD77-78E37F37773A}">
      <formula1>B3</formula1>
    </dataValidation>
    <dataValidation type="list" allowBlank="1" showInputMessage="1" showErrorMessage="1" sqref="B1" xr:uid="{1BC87747-5FED-4BDC-88C9-65B84367C7A6}">
      <formula1>Nombres_Gerentes</formula1>
    </dataValidation>
    <dataValidation type="list" allowBlank="1" showInputMessage="1" showErrorMessage="1" sqref="A9:A69" xr:uid="{139971A5-5A08-48C7-85D9-7351CCAB2CC9}">
      <formula1>Coordinadores_Activos</formula1>
    </dataValidation>
    <dataValidation type="list" allowBlank="1" showInputMessage="1" showErrorMessage="1" sqref="E9:E69" xr:uid="{B53405C5-63DF-49B1-880B-FC8DB23D1834}">
      <formula1>Nombres_Planteles</formula1>
    </dataValidation>
    <dataValidation type="custom" allowBlank="1" showInputMessage="1" showErrorMessage="1" sqref="G9:G69" xr:uid="{3F8C491A-E035-4535-BD64-F399089D1D18}">
      <formula1>G9&lt;&gt;500</formula1>
    </dataValidation>
    <dataValidation type="date" allowBlank="1" showInputMessage="1" showErrorMessage="1" sqref="I9:I69" xr:uid="{EB316225-9ADC-4A42-81F8-94F14CDA62C1}">
      <formula1>B3</formula1>
      <formula2>D3</formula2>
    </dataValidation>
    <dataValidation type="list" allowBlank="1" showInputMessage="1" showErrorMessage="1" sqref="J9:J69" xr:uid="{992CB76D-C832-49AB-8FCA-B9D724556946}">
      <formula1>Promotores_Activos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Tabs">
                <anchor moveWithCells="1">
                  <from>
                    <xdr:col>13</xdr:col>
                    <xdr:colOff>114300</xdr:colOff>
                    <xdr:row>0</xdr:row>
                    <xdr:rowOff>57150</xdr:rowOff>
                  </from>
                  <to>
                    <xdr:col>14</xdr:col>
                    <xdr:colOff>742950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umPagoNetoGerencia">
                <anchor moveWithCells="1">
                  <from>
                    <xdr:col>13</xdr:col>
                    <xdr:colOff>104775</xdr:colOff>
                    <xdr:row>5</xdr:row>
                    <xdr:rowOff>47625</xdr:rowOff>
                  </from>
                  <to>
                    <xdr:col>14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F5D5DE-53DD-4AB9-8F1D-E6AECBD9D442}">
          <x14:formula1>
            <xm:f>Planteles!$A$4:$A$15</xm:f>
          </x14:formula1>
          <xm:sqref>K9:K69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Premios</vt:lpstr>
      <vt:lpstr>Planteles</vt:lpstr>
      <vt:lpstr>Tabuladores</vt:lpstr>
      <vt:lpstr>Colaboradores</vt:lpstr>
      <vt:lpstr>Ejemplo Coordinacion</vt:lpstr>
      <vt:lpstr>Ejemplo Promotor</vt:lpstr>
      <vt:lpstr>GERENTE</vt:lpstr>
      <vt:lpstr>Alias_Coordinadores</vt:lpstr>
      <vt:lpstr>Alias_Gerentes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Periodo_de_pago_inicial</vt:lpstr>
      <vt:lpstr>Premio_Coordinador</vt:lpstr>
      <vt:lpstr>Premio_Gerente</vt:lpstr>
      <vt:lpstr>Premio_Promotor</vt:lpstr>
      <vt:lpstr>Promotores_Activos</vt:lpstr>
      <vt:lpstr>Promotores_de_Coordinacion_Activos</vt:lpstr>
      <vt:lpstr>Puesto_Coordinador</vt:lpstr>
      <vt:lpstr>Puesto_Gerente</vt:lpstr>
      <vt:lpstr>Puesto_Promotor</vt:lpstr>
      <vt:lpstr>Puestos</vt:lpstr>
      <vt:lpstr>Razon_Social</vt:lpstr>
      <vt:lpstr>Sueldo_Base_Coordinador</vt:lpstr>
      <vt:lpstr>Sueldo_Base_Gerente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Pablo Garcia Murillo</cp:lastModifiedBy>
  <cp:lastPrinted>2025-03-29T16:25:03Z</cp:lastPrinted>
  <dcterms:created xsi:type="dcterms:W3CDTF">2020-02-08T17:47:59Z</dcterms:created>
  <dcterms:modified xsi:type="dcterms:W3CDTF">2025-04-01T17:48:51Z</dcterms:modified>
</cp:coreProperties>
</file>