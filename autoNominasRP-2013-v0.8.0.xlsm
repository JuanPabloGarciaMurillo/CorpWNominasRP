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uanpablogarciamurillo/Code/Excel CorpW/Excel File/"/>
    </mc:Choice>
  </mc:AlternateContent>
  <xr:revisionPtr revIDLastSave="0" documentId="13_ncr:1_{C6987594-4E25-F14B-9197-1601EA365102}" xr6:coauthVersionLast="47" xr6:coauthVersionMax="47" xr10:uidLastSave="{00000000-0000-0000-0000-000000000000}"/>
  <bookViews>
    <workbookView xWindow="44540" yWindow="5500" windowWidth="45860" windowHeight="28300" tabRatio="926" activeTab="5" xr2:uid="{00000000-000D-0000-FFFF-FFFF00000000}"/>
  </bookViews>
  <sheets>
    <sheet name="Planteles" sheetId="6" r:id="rId1"/>
    <sheet name="Premios" sheetId="3" r:id="rId2"/>
    <sheet name="Cursos" sheetId="443" r:id="rId3"/>
    <sheet name="Tabuladores" sheetId="1" r:id="rId4"/>
    <sheet name="Colaboradores" sheetId="11" r:id="rId5"/>
    <sheet name="Resultados" sheetId="464" r:id="rId6"/>
    <sheet name="Dashboard" sheetId="396" r:id="rId7"/>
    <sheet name="Ejemplo Coordinacion" sheetId="7" r:id="rId8"/>
    <sheet name="Ejemplo Promotor" sheetId="8" r:id="rId9"/>
    <sheet name="FERNANDO VILLALVAZO" sheetId="5" r:id="rId10"/>
    <sheet name="ISAAC GARCIA" sheetId="466" r:id="rId11"/>
    <sheet name="JORGE RODRIGUEZ" sheetId="475" r:id="rId12"/>
    <sheet name="MIRIAM TADEO" sheetId="474" r:id="rId13"/>
    <sheet name="DAVID HERNANDEZ" sheetId="473" r:id="rId14"/>
    <sheet name="MARIANA SANCHEZ" sheetId="472" r:id="rId15"/>
    <sheet name="JOSUE SIERRA" sheetId="471" r:id="rId16"/>
    <sheet name="BRYAN CAMPOS" sheetId="470" r:id="rId17"/>
    <sheet name="JOSUE ALVAREZ" sheetId="467" r:id="rId18"/>
    <sheet name="JONATHAN MARTINEZ" sheetId="479" r:id="rId19"/>
    <sheet name="FERNANDA ORNELAS" sheetId="478" r:id="rId20"/>
    <sheet name="DANIELA LOZANO" sheetId="477" r:id="rId21"/>
    <sheet name="BETZANIA MUÑOZ" sheetId="476" r:id="rId22"/>
    <sheet name="MICHELLE APARICIO" sheetId="468" r:id="rId23"/>
    <sheet name="FRIDA RIVERA" sheetId="483" r:id="rId24"/>
    <sheet name="EVELYN VELAZQUEZ" sheetId="482" r:id="rId25"/>
    <sheet name="YADIRA VEGA" sheetId="481" r:id="rId26"/>
    <sheet name="MINA APARICIO" sheetId="480" r:id="rId27"/>
    <sheet name="YANELY HERNADEZ" sheetId="469" r:id="rId28"/>
    <sheet name="JOSE FERNÁNDEZ" sheetId="484" r:id="rId29"/>
  </sheets>
  <functionGroups builtInGroupCount="19"/>
  <externalReferences>
    <externalReference r:id="rId30"/>
  </externalReferences>
  <definedNames>
    <definedName name="_xlnm._FilterDatabase" localSheetId="9" hidden="1">'FERNANDO VILLALVAZO'!$A$7:$L$7</definedName>
    <definedName name="_xleta.COUNTIF" hidden="1" xlm="1">#NAME?</definedName>
    <definedName name="_xleta.FILTER" hidden="1" xlm="1">#NAME?</definedName>
    <definedName name="_xleta.INDEX" hidden="1" xlm="1">#NAME?</definedName>
    <definedName name="_xleta.SUMPRODUCT" hidden="1" xlm="1">#NAME?</definedName>
    <definedName name="_xleta.TEXTJOIN" hidden="1" xlm="1">#NAME?</definedName>
    <definedName name="_xleta.UPPER" hidden="1" xlm="1">#NAME?</definedName>
    <definedName name="_xleta.VLOOKUP" hidden="1" xlm="1">#NAME?</definedName>
    <definedName name="Alias_Coordinadores" localSheetId="21">Coordinadores[ALIAS]</definedName>
    <definedName name="Alias_Coordinadores" localSheetId="16">Coordinadores[ALIAS]</definedName>
    <definedName name="Alias_Coordinadores" localSheetId="20">Coordinadores[ALIAS]</definedName>
    <definedName name="Alias_Coordinadores" localSheetId="13">Coordinadores[ALIAS]</definedName>
    <definedName name="Alias_Coordinadores" localSheetId="24">Coordinadores[ALIAS]</definedName>
    <definedName name="Alias_Coordinadores" localSheetId="19">Coordinadores[ALIAS]</definedName>
    <definedName name="Alias_Coordinadores" localSheetId="23">Coordinadores[ALIAS]</definedName>
    <definedName name="Alias_Coordinadores" localSheetId="10">Coordinadores[ALIAS]</definedName>
    <definedName name="Alias_Coordinadores" localSheetId="18">Coordinadores[ALIAS]</definedName>
    <definedName name="Alias_Coordinadores" localSheetId="11">Coordinadores[ALIAS]</definedName>
    <definedName name="Alias_Coordinadores" localSheetId="28">Coordinadores[ALIAS]</definedName>
    <definedName name="Alias_Coordinadores" localSheetId="17">Coordinadores[ALIAS]</definedName>
    <definedName name="Alias_Coordinadores" localSheetId="15">Coordinadores[ALIAS]</definedName>
    <definedName name="Alias_Coordinadores" localSheetId="14">Coordinadores[ALIAS]</definedName>
    <definedName name="Alias_Coordinadores" localSheetId="22">Coordinadores[ALIAS]</definedName>
    <definedName name="Alias_Coordinadores" localSheetId="26">Coordinadores[ALIAS]</definedName>
    <definedName name="Alias_Coordinadores" localSheetId="12">Coordinadores[ALIAS]</definedName>
    <definedName name="Alias_Coordinadores" localSheetId="25">Coordinadores[ALIAS]</definedName>
    <definedName name="Alias_Coordinadores" localSheetId="27">Coordinadores[ALIAS]</definedName>
    <definedName name="Alias_Coordinadores">Coordinadores[ALIAS]</definedName>
    <definedName name="Alias_Gerentes" localSheetId="21">Gerentes[ALIAS]</definedName>
    <definedName name="Alias_Gerentes" localSheetId="16">Gerentes[ALIAS]</definedName>
    <definedName name="Alias_Gerentes" localSheetId="20">Gerentes[ALIAS]</definedName>
    <definedName name="Alias_Gerentes" localSheetId="13">Gerentes[ALIAS]</definedName>
    <definedName name="Alias_Gerentes" localSheetId="24">Gerentes[ALIAS]</definedName>
    <definedName name="Alias_Gerentes" localSheetId="19">Gerentes[ALIAS]</definedName>
    <definedName name="Alias_Gerentes" localSheetId="23">Gerentes[ALIAS]</definedName>
    <definedName name="Alias_Gerentes" localSheetId="10">Gerentes[ALIAS]</definedName>
    <definedName name="Alias_Gerentes" localSheetId="18">Gerentes[ALIAS]</definedName>
    <definedName name="Alias_Gerentes" localSheetId="11">Gerentes[ALIAS]</definedName>
    <definedName name="Alias_Gerentes" localSheetId="28">Gerentes[ALIAS]</definedName>
    <definedName name="Alias_Gerentes" localSheetId="17">Gerentes[ALIAS]</definedName>
    <definedName name="Alias_Gerentes" localSheetId="15">Gerentes[ALIAS]</definedName>
    <definedName name="Alias_Gerentes" localSheetId="14">Gerentes[ALIAS]</definedName>
    <definedName name="Alias_Gerentes" localSheetId="22">Gerentes[ALIAS]</definedName>
    <definedName name="Alias_Gerentes" localSheetId="26">Gerentes[ALIAS]</definedName>
    <definedName name="Alias_Gerentes" localSheetId="12">Gerentes[ALIAS]</definedName>
    <definedName name="Alias_Gerentes" localSheetId="25">Gerentes[ALIAS]</definedName>
    <definedName name="Alias_Gerentes" localSheetId="27">Gerentes[ALIAS]</definedName>
    <definedName name="Alias_Gerentes">Gerentes[ALIAS]</definedName>
    <definedName name="Alias_Lookup" localSheetId="21">Promotores[[ALIAS]:[COORDINACION]]</definedName>
    <definedName name="Alias_Lookup" localSheetId="16">Promotores[[ALIAS]:[COORDINACION]]</definedName>
    <definedName name="Alias_Lookup" localSheetId="20">Promotores[[ALIAS]:[COORDINACION]]</definedName>
    <definedName name="Alias_Lookup" localSheetId="13">Promotores[[ALIAS]:[COORDINACION]]</definedName>
    <definedName name="Alias_Lookup" localSheetId="24">Promotores[[ALIAS]:[COORDINACION]]</definedName>
    <definedName name="Alias_Lookup" localSheetId="19">Promotores[[ALIAS]:[COORDINACION]]</definedName>
    <definedName name="Alias_Lookup" localSheetId="23">Promotores[[ALIAS]:[COORDINACION]]</definedName>
    <definedName name="Alias_Lookup" localSheetId="10">Promotores[[ALIAS]:[COORDINACION]]</definedName>
    <definedName name="Alias_Lookup" localSheetId="18">Promotores[[ALIAS]:[COORDINACION]]</definedName>
    <definedName name="Alias_Lookup" localSheetId="11">Promotores[[ALIAS]:[COORDINACION]]</definedName>
    <definedName name="Alias_Lookup" localSheetId="28">Promotores[[ALIAS]:[COORDINACION]]</definedName>
    <definedName name="Alias_Lookup" localSheetId="17">Promotores[[ALIAS]:[COORDINACION]]</definedName>
    <definedName name="Alias_Lookup" localSheetId="15">Promotores[[ALIAS]:[COORDINACION]]</definedName>
    <definedName name="Alias_Lookup" localSheetId="14">Promotores[[ALIAS]:[COORDINACION]]</definedName>
    <definedName name="Alias_Lookup" localSheetId="22">Promotores[[ALIAS]:[COORDINACION]]</definedName>
    <definedName name="Alias_Lookup" localSheetId="26">Promotores[[ALIAS]:[COORDINACION]]</definedName>
    <definedName name="Alias_Lookup" localSheetId="12">Promotores[[ALIAS]:[COORDINACION]]</definedName>
    <definedName name="Alias_Lookup" localSheetId="25">Promotores[[ALIAS]:[COORDINACION]]</definedName>
    <definedName name="Alias_Lookup" localSheetId="27">Promotores[[ALIAS]:[COORDINACION]]</definedName>
    <definedName name="Alias_Lookup">Promotores[[ALIAS]:[COORDINACION]]</definedName>
    <definedName name="Alias_Promotores" localSheetId="21">Promotores[ALIAS]</definedName>
    <definedName name="Alias_Promotores" localSheetId="16">Promotores[ALIAS]</definedName>
    <definedName name="Alias_Promotores" localSheetId="20">Promotores[ALIAS]</definedName>
    <definedName name="Alias_Promotores" localSheetId="13">Promotores[ALIAS]</definedName>
    <definedName name="Alias_Promotores" localSheetId="24">Promotores[ALIAS]</definedName>
    <definedName name="Alias_Promotores" localSheetId="19">Promotores[ALIAS]</definedName>
    <definedName name="Alias_Promotores" localSheetId="23">Promotores[ALIAS]</definedName>
    <definedName name="Alias_Promotores" localSheetId="10">Promotores[ALIAS]</definedName>
    <definedName name="Alias_Promotores" localSheetId="18">Promotores[ALIAS]</definedName>
    <definedName name="Alias_Promotores" localSheetId="11">Promotores[ALIAS]</definedName>
    <definedName name="Alias_Promotores" localSheetId="28">Promotores[ALIAS]</definedName>
    <definedName name="Alias_Promotores" localSheetId="17">Promotores[ALIAS]</definedName>
    <definedName name="Alias_Promotores" localSheetId="15">Promotores[ALIAS]</definedName>
    <definedName name="Alias_Promotores" localSheetId="14">Promotores[ALIAS]</definedName>
    <definedName name="Alias_Promotores" localSheetId="22">Promotores[ALIAS]</definedName>
    <definedName name="Alias_Promotores" localSheetId="26">Promotores[ALIAS]</definedName>
    <definedName name="Alias_Promotores" localSheetId="12">Promotores[ALIAS]</definedName>
    <definedName name="Alias_Promotores" localSheetId="25">Promotores[ALIAS]</definedName>
    <definedName name="Alias_Promotores" localSheetId="27">Promotores[ALIAS]</definedName>
    <definedName name="Alias_Promotores">Promotores[ALIAS]</definedName>
    <definedName name="Cantidad_Con_Letra_Coordinador" localSheetId="10">'ISAAC GARCIA'!$D$46</definedName>
    <definedName name="Cantidad_Con_Letra_Coordinador" localSheetId="17">'JOSUE ALVAREZ'!$D$51</definedName>
    <definedName name="Cantidad_Con_Letra_Coordinador" localSheetId="22">'MICHELLE APARICIO'!$D$50</definedName>
    <definedName name="Cantidad_Con_Letra_Coordinador" localSheetId="27">'YANELY HERNADEZ'!$D$26</definedName>
    <definedName name="Cantidad_Con_Letra_Coordinador">'Ejemplo Coordinacion'!$D$20</definedName>
    <definedName name="Cantidad_Con_Letra_Gerente">'FERNANDO VILLALVAZO'!$D$116</definedName>
    <definedName name="Cantidad_Con_Letra_Promotor" localSheetId="21">'BETZANIA MUÑOZ'!$D$27</definedName>
    <definedName name="Cantidad_Con_Letra_Promotor" localSheetId="16">'BRYAN CAMPOS'!$D$22</definedName>
    <definedName name="Cantidad_Con_Letra_Promotor" localSheetId="20">'DANIELA LOZANO'!$D$28</definedName>
    <definedName name="Cantidad_Con_Letra_Promotor" localSheetId="13">'DAVID HERNANDEZ'!$D$24</definedName>
    <definedName name="Cantidad_Con_Letra_Promotor" localSheetId="24">'EVELYN VELAZQUEZ'!$D$28</definedName>
    <definedName name="Cantidad_Con_Letra_Promotor" localSheetId="19">'FERNANDA ORNELAS'!$D$26</definedName>
    <definedName name="Cantidad_Con_Letra_Promotor" localSheetId="23">'FRIDA RIVERA'!$D$25</definedName>
    <definedName name="Cantidad_Con_Letra_Promotor" localSheetId="18">'JONATHAN MARTINEZ'!$D$23</definedName>
    <definedName name="Cantidad_Con_Letra_Promotor" localSheetId="11">'JORGE RODRIGUEZ'!$D$23</definedName>
    <definedName name="Cantidad_Con_Letra_Promotor" localSheetId="28">'JOSE FERNÁNDEZ'!$D$25</definedName>
    <definedName name="Cantidad_Con_Letra_Promotor" localSheetId="15">'JOSUE SIERRA'!$D$23</definedName>
    <definedName name="Cantidad_Con_Letra_Promotor" localSheetId="14">'MARIANA SANCHEZ'!$D$20</definedName>
    <definedName name="Cantidad_Con_Letra_Promotor" localSheetId="26">'MINA APARICIO'!$D$25</definedName>
    <definedName name="Cantidad_Con_Letra_Promotor" localSheetId="12">'MIRIAM TADEO'!$D$23</definedName>
    <definedName name="Cantidad_Con_Letra_Promotor" localSheetId="25">'YADIRA VEGA'!$D$25</definedName>
    <definedName name="Cantidad_Con_Letra_Promotor">'Ejemplo Promotor'!$D$19</definedName>
    <definedName name="Coordinadores_Activos" localSheetId="21">Coordinadores_Gerencia_Activa[COORDINADORES]</definedName>
    <definedName name="Coordinadores_Activos" localSheetId="16">Coordinadores_Gerencia_Activa[COORDINADORES]</definedName>
    <definedName name="Coordinadores_Activos" localSheetId="20">Coordinadores_Gerencia_Activa[COORDINADORES]</definedName>
    <definedName name="Coordinadores_Activos" localSheetId="13">Coordinadores_Gerencia_Activa[COORDINADORES]</definedName>
    <definedName name="Coordinadores_Activos" localSheetId="24">Coordinadores_Gerencia_Activa[COORDINADORES]</definedName>
    <definedName name="Coordinadores_Activos" localSheetId="19">Coordinadores_Gerencia_Activa[COORDINADORES]</definedName>
    <definedName name="Coordinadores_Activos" localSheetId="23">Coordinadores_Gerencia_Activa[COORDINADORES]</definedName>
    <definedName name="Coordinadores_Activos" localSheetId="10">Coordinadores_Gerencia_Activa[COORDINADORES]</definedName>
    <definedName name="Coordinadores_Activos" localSheetId="18">Coordinadores_Gerencia_Activa[COORDINADORES]</definedName>
    <definedName name="Coordinadores_Activos" localSheetId="11">Coordinadores_Gerencia_Activa[COORDINADORES]</definedName>
    <definedName name="Coordinadores_Activos" localSheetId="28">Coordinadores_Gerencia_Activa[COORDINADORES]</definedName>
    <definedName name="Coordinadores_Activos" localSheetId="17">Coordinadores_Gerencia_Activa[COORDINADORES]</definedName>
    <definedName name="Coordinadores_Activos" localSheetId="15">Coordinadores_Gerencia_Activa[COORDINADORES]</definedName>
    <definedName name="Coordinadores_Activos" localSheetId="14">Coordinadores_Gerencia_Activa[COORDINADORES]</definedName>
    <definedName name="Coordinadores_Activos" localSheetId="22">Coordinadores_Gerencia_Activa[COORDINADORES]</definedName>
    <definedName name="Coordinadores_Activos" localSheetId="26">Coordinadores_Gerencia_Activa[COORDINADORES]</definedName>
    <definedName name="Coordinadores_Activos" localSheetId="12">Coordinadores_Gerencia_Activa[COORDINADORES]</definedName>
    <definedName name="Coordinadores_Activos" localSheetId="25">Coordinadores_Gerencia_Activa[COORDINADORES]</definedName>
    <definedName name="Coordinadores_Activos" localSheetId="27">Coordinadores_Gerencia_Activa[COORDINADORES]</definedName>
    <definedName name="Coordinadores_Activos">Coordinadores_Gerencia_Activa[COORDINADORES]</definedName>
    <definedName name="Cursos" localSheetId="21">Tabla_Cursos[CURSOS]</definedName>
    <definedName name="Cursos" localSheetId="16">Tabla_Cursos[CURSOS]</definedName>
    <definedName name="Cursos" localSheetId="20">Tabla_Cursos[CURSOS]</definedName>
    <definedName name="Cursos" localSheetId="13">Tabla_Cursos[CURSOS]</definedName>
    <definedName name="Cursos" localSheetId="24">Tabla_Cursos[CURSOS]</definedName>
    <definedName name="Cursos" localSheetId="19">Tabla_Cursos[CURSOS]</definedName>
    <definedName name="Cursos" localSheetId="23">Tabla_Cursos[CURSOS]</definedName>
    <definedName name="Cursos" localSheetId="10">Tabla_Cursos[CURSOS]</definedName>
    <definedName name="Cursos" localSheetId="18">Tabla_Cursos[CURSOS]</definedName>
    <definedName name="Cursos" localSheetId="11">Tabla_Cursos[CURSOS]</definedName>
    <definedName name="Cursos" localSheetId="28">Tabla_Cursos[CURSOS]</definedName>
    <definedName name="Cursos" localSheetId="17">Tabla_Cursos[CURSOS]</definedName>
    <definedName name="Cursos" localSheetId="15">Tabla_Cursos[CURSOS]</definedName>
    <definedName name="Cursos" localSheetId="14">Tabla_Cursos[CURSOS]</definedName>
    <definedName name="Cursos" localSheetId="22">Tabla_Cursos[CURSOS]</definedName>
    <definedName name="Cursos" localSheetId="26">Tabla_Cursos[CURSOS]</definedName>
    <definedName name="Cursos" localSheetId="12">Tabla_Cursos[CURSOS]</definedName>
    <definedName name="Cursos" localSheetId="25">Tabla_Cursos[CURSOS]</definedName>
    <definedName name="Cursos" localSheetId="27">Tabla_Cursos[CURSOS]</definedName>
    <definedName name="Cursos">Tabla_Cursos[CURSOS]</definedName>
    <definedName name="Deduccion_Coordinador" localSheetId="10">'ISAAC GARCIA'!$D$42</definedName>
    <definedName name="Deduccion_Coordinador" localSheetId="17">'JOSUE ALVAREZ'!$D$47</definedName>
    <definedName name="Deduccion_Coordinador" localSheetId="22">'MICHELLE APARICIO'!$D$46</definedName>
    <definedName name="Deduccion_Coordinador" localSheetId="27">'YANELY HERNADEZ'!$D$22</definedName>
    <definedName name="Deduccion_Coordinador">'Ejemplo Coordinacion'!$D$16</definedName>
    <definedName name="Deduccion_Gerente">'FERNANDO VILLALVAZO'!$D$111</definedName>
    <definedName name="Descuento_Coordinador" localSheetId="10">'ISAAC GARCIA'!$D$41</definedName>
    <definedName name="Descuento_Coordinador" localSheetId="17">'JOSUE ALVAREZ'!$D$46</definedName>
    <definedName name="Descuento_Coordinador" localSheetId="22">'MICHELLE APARICIO'!$D$45</definedName>
    <definedName name="Descuento_Coordinador" localSheetId="27">'YANELY HERNADEZ'!$D$21</definedName>
    <definedName name="Descuento_Coordinador">'Ejemplo Coordinacion'!$D$15</definedName>
    <definedName name="Descuento_Gerente">'FERNANDO VILLALVAZO'!$D$110</definedName>
    <definedName name="Descuento_Promotor" localSheetId="21">'BETZANIA MUÑOZ'!$D$23</definedName>
    <definedName name="Descuento_Promotor" localSheetId="16">'BRYAN CAMPOS'!$D$18</definedName>
    <definedName name="Descuento_Promotor" localSheetId="20">'DANIELA LOZANO'!$D$24</definedName>
    <definedName name="Descuento_Promotor" localSheetId="13">'DAVID HERNANDEZ'!$D$20</definedName>
    <definedName name="Descuento_Promotor" localSheetId="24">'EVELYN VELAZQUEZ'!$D$24</definedName>
    <definedName name="Descuento_Promotor" localSheetId="19">'FERNANDA ORNELAS'!$D$22</definedName>
    <definedName name="Descuento_Promotor" localSheetId="23">'FRIDA RIVERA'!$D$21</definedName>
    <definedName name="Descuento_Promotor" localSheetId="18">'JONATHAN MARTINEZ'!$D$19</definedName>
    <definedName name="Descuento_Promotor" localSheetId="11">'JORGE RODRIGUEZ'!$D$19</definedName>
    <definedName name="Descuento_Promotor" localSheetId="28">'JOSE FERNÁNDEZ'!$D$21</definedName>
    <definedName name="Descuento_Promotor" localSheetId="15">'JOSUE SIERRA'!$D$19</definedName>
    <definedName name="Descuento_Promotor" localSheetId="14">'MARIANA SANCHEZ'!$D$16</definedName>
    <definedName name="Descuento_Promotor" localSheetId="26">'MINA APARICIO'!$D$21</definedName>
    <definedName name="Descuento_Promotor" localSheetId="12">'MIRIAM TADEO'!$D$19</definedName>
    <definedName name="Descuento_Promotor" localSheetId="25">'YADIRA VEGA'!$D$21</definedName>
    <definedName name="Descuento_Promotor">'Ejemplo Promotor'!$D$15</definedName>
    <definedName name="Fecha_de_expedicion">'FERNANDO VILLALVAZO'!$B$6</definedName>
    <definedName name="FilteredPromotores">OFFSET([1]Sheet1!$Z$9, 0, 0, COUNTA([1]Sheet1!$Z:$Z), 1)</definedName>
    <definedName name="Gerencia_de_Coordinadores" localSheetId="21">Coordinadores[GERENCIA]</definedName>
    <definedName name="Gerencia_de_Coordinadores" localSheetId="16">Coordinadores[GERENCIA]</definedName>
    <definedName name="Gerencia_de_Coordinadores" localSheetId="20">Coordinadores[GERENCIA]</definedName>
    <definedName name="Gerencia_de_Coordinadores" localSheetId="13">Coordinadores[GERENCIA]</definedName>
    <definedName name="Gerencia_de_Coordinadores" localSheetId="24">Coordinadores[GERENCIA]</definedName>
    <definedName name="Gerencia_de_Coordinadores" localSheetId="19">Coordinadores[GERENCIA]</definedName>
    <definedName name="Gerencia_de_Coordinadores" localSheetId="23">Coordinadores[GERENCIA]</definedName>
    <definedName name="Gerencia_de_Coordinadores" localSheetId="10">Coordinadores[GERENCIA]</definedName>
    <definedName name="Gerencia_de_Coordinadores" localSheetId="18">Coordinadores[GERENCIA]</definedName>
    <definedName name="Gerencia_de_Coordinadores" localSheetId="11">Coordinadores[GERENCIA]</definedName>
    <definedName name="Gerencia_de_Coordinadores" localSheetId="28">Coordinadores[GERENCIA]</definedName>
    <definedName name="Gerencia_de_Coordinadores" localSheetId="17">Coordinadores[GERENCIA]</definedName>
    <definedName name="Gerencia_de_Coordinadores" localSheetId="15">Coordinadores[GERENCIA]</definedName>
    <definedName name="Gerencia_de_Coordinadores" localSheetId="14">Coordinadores[GERENCIA]</definedName>
    <definedName name="Gerencia_de_Coordinadores" localSheetId="22">Coordinadores[GERENCIA]</definedName>
    <definedName name="Gerencia_de_Coordinadores" localSheetId="26">Coordinadores[GERENCIA]</definedName>
    <definedName name="Gerencia_de_Coordinadores" localSheetId="12">Coordinadores[GERENCIA]</definedName>
    <definedName name="Gerencia_de_Coordinadores" localSheetId="25">Coordinadores[GERENCIA]</definedName>
    <definedName name="Gerencia_de_Coordinadores" localSheetId="27">Coordinadores[GERENCIA]</definedName>
    <definedName name="Gerencia_de_Coordinadores">Coordinadores[GERENCIA]</definedName>
    <definedName name="Nombre_Coordinador" localSheetId="10">'ISAAC GARCIA'!$B$1</definedName>
    <definedName name="Nombre_Coordinador" localSheetId="17">'JOSUE ALVAREZ'!$B$1</definedName>
    <definedName name="Nombre_Coordinador" localSheetId="22">'MICHELLE APARICIO'!$B$1</definedName>
    <definedName name="Nombre_Coordinador" localSheetId="27">'YANELY HERNADEZ'!$B$1</definedName>
    <definedName name="Nombre_Coordinador">'Ejemplo Coordinacion'!$B$1</definedName>
    <definedName name="Nombre_Gerente">'FERNANDO VILLALVAZO'!$B$1</definedName>
    <definedName name="Nombre_Promotor" localSheetId="21">'BETZANIA MUÑOZ'!$B$1</definedName>
    <definedName name="Nombre_Promotor" localSheetId="16">'BRYAN CAMPOS'!$B$1</definedName>
    <definedName name="Nombre_Promotor" localSheetId="20">'DANIELA LOZANO'!$B$1</definedName>
    <definedName name="Nombre_Promotor" localSheetId="13">'DAVID HERNANDEZ'!$B$1</definedName>
    <definedName name="Nombre_Promotor" localSheetId="24">'EVELYN VELAZQUEZ'!$B$1</definedName>
    <definedName name="Nombre_Promotor" localSheetId="19">'FERNANDA ORNELAS'!$B$1</definedName>
    <definedName name="Nombre_Promotor" localSheetId="23">'FRIDA RIVERA'!$B$1</definedName>
    <definedName name="Nombre_Promotor" localSheetId="18">'JONATHAN MARTINEZ'!$B$1</definedName>
    <definedName name="Nombre_Promotor" localSheetId="11">'JORGE RODRIGUEZ'!$B$1</definedName>
    <definedName name="Nombre_Promotor" localSheetId="28">'JOSE FERNÁNDEZ'!$B$1</definedName>
    <definedName name="Nombre_Promotor" localSheetId="15">'JOSUE SIERRA'!$B$1</definedName>
    <definedName name="Nombre_Promotor" localSheetId="14">'MARIANA SANCHEZ'!$B$1</definedName>
    <definedName name="Nombre_Promotor" localSheetId="26">'MINA APARICIO'!$B$1</definedName>
    <definedName name="Nombre_Promotor" localSheetId="12">'MIRIAM TADEO'!$B$1</definedName>
    <definedName name="Nombre_Promotor" localSheetId="25">'YADIRA VEGA'!$B$1</definedName>
    <definedName name="Nombre_Promotor">'Ejemplo Promotor'!$B$1</definedName>
    <definedName name="Nombres_Coordinadores" localSheetId="21">Coordinadores[NOMBRE]</definedName>
    <definedName name="Nombres_Coordinadores" localSheetId="16">Coordinadores[NOMBRE]</definedName>
    <definedName name="Nombres_Coordinadores" localSheetId="20">Coordinadores[NOMBRE]</definedName>
    <definedName name="Nombres_Coordinadores" localSheetId="13">Coordinadores[NOMBRE]</definedName>
    <definedName name="Nombres_Coordinadores" localSheetId="24">Coordinadores[NOMBRE]</definedName>
    <definedName name="Nombres_Coordinadores" localSheetId="19">Coordinadores[NOMBRE]</definedName>
    <definedName name="Nombres_Coordinadores" localSheetId="23">Coordinadores[NOMBRE]</definedName>
    <definedName name="Nombres_Coordinadores" localSheetId="10">Coordinadores[NOMBRE]</definedName>
    <definedName name="Nombres_Coordinadores" localSheetId="18">Coordinadores[NOMBRE]</definedName>
    <definedName name="Nombres_Coordinadores" localSheetId="11">Coordinadores[NOMBRE]</definedName>
    <definedName name="Nombres_Coordinadores" localSheetId="28">Coordinadores[NOMBRE]</definedName>
    <definedName name="Nombres_Coordinadores" localSheetId="17">Coordinadores[NOMBRE]</definedName>
    <definedName name="Nombres_Coordinadores" localSheetId="15">Coordinadores[NOMBRE]</definedName>
    <definedName name="Nombres_Coordinadores" localSheetId="14">Coordinadores[NOMBRE]</definedName>
    <definedName name="Nombres_Coordinadores" localSheetId="22">Coordinadores[NOMBRE]</definedName>
    <definedName name="Nombres_Coordinadores" localSheetId="26">Coordinadores[NOMBRE]</definedName>
    <definedName name="Nombres_Coordinadores" localSheetId="12">Coordinadores[NOMBRE]</definedName>
    <definedName name="Nombres_Coordinadores" localSheetId="25">Coordinadores[NOMBRE]</definedName>
    <definedName name="Nombres_Coordinadores" localSheetId="27">Coordinadores[NOMBRE]</definedName>
    <definedName name="Nombres_Coordinadores">Coordinadores[NOMBRE]</definedName>
    <definedName name="Nombres_Gerentes" localSheetId="21">Gerentes[NOMBRE]</definedName>
    <definedName name="Nombres_Gerentes" localSheetId="16">Gerentes[NOMBRE]</definedName>
    <definedName name="Nombres_Gerentes" localSheetId="20">Gerentes[NOMBRE]</definedName>
    <definedName name="Nombres_Gerentes" localSheetId="13">Gerentes[NOMBRE]</definedName>
    <definedName name="Nombres_Gerentes" localSheetId="24">Gerentes[NOMBRE]</definedName>
    <definedName name="Nombres_Gerentes" localSheetId="19">Gerentes[NOMBRE]</definedName>
    <definedName name="Nombres_Gerentes" localSheetId="23">Gerentes[NOMBRE]</definedName>
    <definedName name="Nombres_Gerentes" localSheetId="10">Gerentes[NOMBRE]</definedName>
    <definedName name="Nombres_Gerentes" localSheetId="18">Gerentes[NOMBRE]</definedName>
    <definedName name="Nombres_Gerentes" localSheetId="11">Gerentes[NOMBRE]</definedName>
    <definedName name="Nombres_Gerentes" localSheetId="28">Gerentes[NOMBRE]</definedName>
    <definedName name="Nombres_Gerentes" localSheetId="17">Gerentes[NOMBRE]</definedName>
    <definedName name="Nombres_Gerentes" localSheetId="15">Gerentes[NOMBRE]</definedName>
    <definedName name="Nombres_Gerentes" localSheetId="14">Gerentes[NOMBRE]</definedName>
    <definedName name="Nombres_Gerentes" localSheetId="22">Gerentes[NOMBRE]</definedName>
    <definedName name="Nombres_Gerentes" localSheetId="26">Gerentes[NOMBRE]</definedName>
    <definedName name="Nombres_Gerentes" localSheetId="12">Gerentes[NOMBRE]</definedName>
    <definedName name="Nombres_Gerentes" localSheetId="25">Gerentes[NOMBRE]</definedName>
    <definedName name="Nombres_Gerentes" localSheetId="27">Gerentes[NOMBRE]</definedName>
    <definedName name="Nombres_Gerentes">Gerentes[NOMBRE]</definedName>
    <definedName name="Nombres_Planteles" localSheetId="21">Planteles[NOMBRE]</definedName>
    <definedName name="Nombres_Planteles" localSheetId="16">Planteles[NOMBRE]</definedName>
    <definedName name="Nombres_Planteles" localSheetId="20">Planteles[NOMBRE]</definedName>
    <definedName name="Nombres_Planteles" localSheetId="13">Planteles[NOMBRE]</definedName>
    <definedName name="Nombres_Planteles" localSheetId="24">Planteles[NOMBRE]</definedName>
    <definedName name="Nombres_Planteles" localSheetId="19">Planteles[NOMBRE]</definedName>
    <definedName name="Nombres_Planteles" localSheetId="23">Planteles[NOMBRE]</definedName>
    <definedName name="Nombres_Planteles" localSheetId="10">Planteles[NOMBRE]</definedName>
    <definedName name="Nombres_Planteles" localSheetId="18">Planteles[NOMBRE]</definedName>
    <definedName name="Nombres_Planteles" localSheetId="11">Planteles[NOMBRE]</definedName>
    <definedName name="Nombres_Planteles" localSheetId="28">Planteles[NOMBRE]</definedName>
    <definedName name="Nombres_Planteles" localSheetId="17">Planteles[NOMBRE]</definedName>
    <definedName name="Nombres_Planteles" localSheetId="15">Planteles[NOMBRE]</definedName>
    <definedName name="Nombres_Planteles" localSheetId="14">Planteles[NOMBRE]</definedName>
    <definedName name="Nombres_Planteles" localSheetId="22">Planteles[NOMBRE]</definedName>
    <definedName name="Nombres_Planteles" localSheetId="26">Planteles[NOMBRE]</definedName>
    <definedName name="Nombres_Planteles" localSheetId="12">Planteles[NOMBRE]</definedName>
    <definedName name="Nombres_Planteles" localSheetId="25">Planteles[NOMBRE]</definedName>
    <definedName name="Nombres_Planteles" localSheetId="27">Planteles[NOMBRE]</definedName>
    <definedName name="Nombres_Planteles">Planteles[NOMBRE]</definedName>
    <definedName name="Nombres_Promotores" localSheetId="21">Promotores[NOMBRE]</definedName>
    <definedName name="Nombres_Promotores" localSheetId="16">Promotores[NOMBRE]</definedName>
    <definedName name="Nombres_Promotores" localSheetId="20">Promotores[NOMBRE]</definedName>
    <definedName name="Nombres_Promotores" localSheetId="13">Promotores[NOMBRE]</definedName>
    <definedName name="Nombres_Promotores" localSheetId="24">Promotores[NOMBRE]</definedName>
    <definedName name="Nombres_Promotores" localSheetId="19">Promotores[NOMBRE]</definedName>
    <definedName name="Nombres_Promotores" localSheetId="23">Promotores[NOMBRE]</definedName>
    <definedName name="Nombres_Promotores" localSheetId="10">Promotores[NOMBRE]</definedName>
    <definedName name="Nombres_Promotores" localSheetId="18">Promotores[NOMBRE]</definedName>
    <definedName name="Nombres_Promotores" localSheetId="11">Promotores[NOMBRE]</definedName>
    <definedName name="Nombres_Promotores" localSheetId="28">Promotores[NOMBRE]</definedName>
    <definedName name="Nombres_Promotores" localSheetId="17">Promotores[NOMBRE]</definedName>
    <definedName name="Nombres_Promotores" localSheetId="15">Promotores[NOMBRE]</definedName>
    <definedName name="Nombres_Promotores" localSheetId="14">Promotores[NOMBRE]</definedName>
    <definedName name="Nombres_Promotores" localSheetId="22">Promotores[NOMBRE]</definedName>
    <definedName name="Nombres_Promotores" localSheetId="26">Promotores[NOMBRE]</definedName>
    <definedName name="Nombres_Promotores" localSheetId="12">Promotores[NOMBRE]</definedName>
    <definedName name="Nombres_Promotores" localSheetId="25">Promotores[NOMBRE]</definedName>
    <definedName name="Nombres_Promotores" localSheetId="27">Promotores[NOMBRE]</definedName>
    <definedName name="Nombres_Promotores">Promotores[NOMBRE]</definedName>
    <definedName name="Numero_de_semana">'FERNANDO VILLALVAZO'!$B$5</definedName>
    <definedName name="Pago_Neto_Coordinador" localSheetId="10">'ISAAC GARCIA'!$D$44</definedName>
    <definedName name="Pago_Neto_Coordinador" localSheetId="17">'JOSUE ALVAREZ'!$D$49</definedName>
    <definedName name="Pago_Neto_Coordinador" localSheetId="22">'MICHELLE APARICIO'!$D$48</definedName>
    <definedName name="Pago_Neto_Coordinador" localSheetId="27">'YANELY HERNADEZ'!$D$24</definedName>
    <definedName name="Pago_Neto_Coordinador">'Ejemplo Coordinacion'!$D$18</definedName>
    <definedName name="Pago_Neto_Gerente">'FERNANDO VILLALVAZO'!$D$113</definedName>
    <definedName name="Pago_Neto_Promotor" localSheetId="21">'BETZANIA MUÑOZ'!$D$25</definedName>
    <definedName name="Pago_Neto_Promotor" localSheetId="16">'BRYAN CAMPOS'!$D$20</definedName>
    <definedName name="Pago_Neto_Promotor" localSheetId="20">'DANIELA LOZANO'!$D$26</definedName>
    <definedName name="Pago_Neto_Promotor" localSheetId="13">'DAVID HERNANDEZ'!$D$22</definedName>
    <definedName name="Pago_Neto_Promotor" localSheetId="24">'EVELYN VELAZQUEZ'!$D$26</definedName>
    <definedName name="Pago_Neto_Promotor" localSheetId="19">'FERNANDA ORNELAS'!$D$24</definedName>
    <definedName name="Pago_Neto_Promotor" localSheetId="23">'FRIDA RIVERA'!$D$23</definedName>
    <definedName name="Pago_Neto_Promotor" localSheetId="18">'JONATHAN MARTINEZ'!$D$21</definedName>
    <definedName name="Pago_Neto_Promotor" localSheetId="11">'JORGE RODRIGUEZ'!$D$21</definedName>
    <definedName name="Pago_Neto_Promotor" localSheetId="28">'JOSE FERNÁNDEZ'!$D$23</definedName>
    <definedName name="Pago_Neto_Promotor" localSheetId="15">'JOSUE SIERRA'!$D$21</definedName>
    <definedName name="Pago_Neto_Promotor" localSheetId="14">'MARIANA SANCHEZ'!$D$18</definedName>
    <definedName name="Pago_Neto_Promotor" localSheetId="26">'MINA APARICIO'!$D$23</definedName>
    <definedName name="Pago_Neto_Promotor" localSheetId="12">'MIRIAM TADEO'!$D$21</definedName>
    <definedName name="Pago_Neto_Promotor" localSheetId="25">'YADIRA VEGA'!$D$23</definedName>
    <definedName name="Pago_Neto_Promotor">'Ejemplo Promotor'!$D$17</definedName>
    <definedName name="Pago_Premio_Coordinador" localSheetId="10">'ISAAC GARCIA'!$D$39</definedName>
    <definedName name="Pago_Premio_Coordinador" localSheetId="17">'JOSUE ALVAREZ'!$D$44</definedName>
    <definedName name="Pago_Premio_Coordinador" localSheetId="22">'MICHELLE APARICIO'!$D$43</definedName>
    <definedName name="Pago_Premio_Coordinador" localSheetId="27">'YANELY HERNADEZ'!$D$19</definedName>
    <definedName name="Pago_Premio_Coordinador">'Ejemplo Coordinacion'!$D$13</definedName>
    <definedName name="Pago_Premio_Gerente">'FERNANDO VILLALVAZO'!$D$108</definedName>
    <definedName name="Pago_Premio_Promotor" localSheetId="21">'BETZANIA MUÑOZ'!$D$21</definedName>
    <definedName name="Pago_Premio_Promotor" localSheetId="16">'BRYAN CAMPOS'!$D$16</definedName>
    <definedName name="Pago_Premio_Promotor" localSheetId="20">'DANIELA LOZANO'!$D$22</definedName>
    <definedName name="Pago_Premio_Promotor" localSheetId="13">'DAVID HERNANDEZ'!$D$18</definedName>
    <definedName name="Pago_Premio_Promotor" localSheetId="24">'EVELYN VELAZQUEZ'!$D$22</definedName>
    <definedName name="Pago_Premio_Promotor" localSheetId="19">'FERNANDA ORNELAS'!$D$20</definedName>
    <definedName name="Pago_Premio_Promotor" localSheetId="23">'FRIDA RIVERA'!$D$19</definedName>
    <definedName name="Pago_Premio_Promotor" localSheetId="18">'JONATHAN MARTINEZ'!$D$17</definedName>
    <definedName name="Pago_Premio_Promotor" localSheetId="11">'JORGE RODRIGUEZ'!$D$17</definedName>
    <definedName name="Pago_Premio_Promotor" localSheetId="28">'JOSE FERNÁNDEZ'!$D$19</definedName>
    <definedName name="Pago_Premio_Promotor" localSheetId="15">'JOSUE SIERRA'!$D$17</definedName>
    <definedName name="Pago_Premio_Promotor" localSheetId="14">'MARIANA SANCHEZ'!$D$14</definedName>
    <definedName name="Pago_Premio_Promotor" localSheetId="26">'MINA APARICIO'!$D$19</definedName>
    <definedName name="Pago_Premio_Promotor" localSheetId="12">'MIRIAM TADEO'!$D$17</definedName>
    <definedName name="Pago_Premio_Promotor" localSheetId="25">'YADIRA VEGA'!$D$19</definedName>
    <definedName name="Pago_Premio_Promotor">'Ejemplo Promotor'!$D$13</definedName>
    <definedName name="Pago_Subtotal_Coordinador" localSheetId="10">'ISAAC GARCIA'!$D$40</definedName>
    <definedName name="Pago_Subtotal_Coordinador" localSheetId="17">'JOSUE ALVAREZ'!$D$45</definedName>
    <definedName name="Pago_Subtotal_Coordinador" localSheetId="22">'MICHELLE APARICIO'!$D$44</definedName>
    <definedName name="Pago_Subtotal_Coordinador" localSheetId="27">'YANELY HERNADEZ'!$D$20</definedName>
    <definedName name="Pago_Subtotal_Coordinador">'Ejemplo Coordinacion'!$D$14</definedName>
    <definedName name="Pago_Subtotal_Gerente">'FERNANDO VILLALVAZO'!$D$109</definedName>
    <definedName name="Pago_Subtotal_Promotor" localSheetId="21">'BETZANIA MUÑOZ'!$D$22</definedName>
    <definedName name="Pago_Subtotal_Promotor" localSheetId="16">'BRYAN CAMPOS'!$D$17</definedName>
    <definedName name="Pago_Subtotal_Promotor" localSheetId="20">'DANIELA LOZANO'!$D$23</definedName>
    <definedName name="Pago_Subtotal_Promotor" localSheetId="13">'DAVID HERNANDEZ'!$D$19</definedName>
    <definedName name="Pago_Subtotal_Promotor" localSheetId="24">'EVELYN VELAZQUEZ'!$D$23</definedName>
    <definedName name="Pago_Subtotal_Promotor" localSheetId="19">'FERNANDA ORNELAS'!$D$21</definedName>
    <definedName name="Pago_Subtotal_Promotor" localSheetId="23">'FRIDA RIVERA'!$D$20</definedName>
    <definedName name="Pago_Subtotal_Promotor" localSheetId="18">'JONATHAN MARTINEZ'!$D$18</definedName>
    <definedName name="Pago_Subtotal_Promotor" localSheetId="11">'JORGE RODRIGUEZ'!$D$18</definedName>
    <definedName name="Pago_Subtotal_Promotor" localSheetId="28">'JOSE FERNÁNDEZ'!$D$20</definedName>
    <definedName name="Pago_Subtotal_Promotor" localSheetId="15">'JOSUE SIERRA'!$D$18</definedName>
    <definedName name="Pago_Subtotal_Promotor" localSheetId="14">'MARIANA SANCHEZ'!$D$15</definedName>
    <definedName name="Pago_Subtotal_Promotor" localSheetId="26">'MINA APARICIO'!$D$20</definedName>
    <definedName name="Pago_Subtotal_Promotor" localSheetId="12">'MIRIAM TADEO'!$D$18</definedName>
    <definedName name="Pago_Subtotal_Promotor" localSheetId="25">'YADIRA VEGA'!$D$20</definedName>
    <definedName name="Pago_Subtotal_Promotor">'Ejemplo Promotor'!$D$14</definedName>
    <definedName name="Pago_Sueldo_Base_Coordinador" localSheetId="10">'ISAAC GARCIA'!$D$38</definedName>
    <definedName name="Pago_Sueldo_Base_Coordinador" localSheetId="17">'JOSUE ALVAREZ'!$D$43</definedName>
    <definedName name="Pago_Sueldo_Base_Coordinador" localSheetId="22">'MICHELLE APARICIO'!$D$42</definedName>
    <definedName name="Pago_Sueldo_Base_Coordinador" localSheetId="27">'YANELY HERNADEZ'!$D$18</definedName>
    <definedName name="Pago_Sueldo_Base_Coordinador">'Ejemplo Coordinacion'!$D$12</definedName>
    <definedName name="Pago_Sueldo_Base_Gerente">'FERNANDO VILLALVAZO'!$D$107</definedName>
    <definedName name="Pago_Sueldo_Base_Promotor" localSheetId="21">'BETZANIA MUÑOZ'!$D$20</definedName>
    <definedName name="Pago_Sueldo_Base_Promotor" localSheetId="16">'BRYAN CAMPOS'!$D$15</definedName>
    <definedName name="Pago_Sueldo_Base_Promotor" localSheetId="20">'DANIELA LOZANO'!$D$21</definedName>
    <definedName name="Pago_Sueldo_Base_Promotor" localSheetId="13">'DAVID HERNANDEZ'!$D$17</definedName>
    <definedName name="Pago_Sueldo_Base_Promotor" localSheetId="24">'EVELYN VELAZQUEZ'!$D$21</definedName>
    <definedName name="Pago_Sueldo_Base_Promotor" localSheetId="19">'FERNANDA ORNELAS'!$D$19</definedName>
    <definedName name="Pago_Sueldo_Base_Promotor" localSheetId="23">'FRIDA RIVERA'!$D$18</definedName>
    <definedName name="Pago_Sueldo_Base_Promotor" localSheetId="18">'JONATHAN MARTINEZ'!$D$16</definedName>
    <definedName name="Pago_Sueldo_Base_Promotor" localSheetId="11">'JORGE RODRIGUEZ'!$D$16</definedName>
    <definedName name="Pago_Sueldo_Base_Promotor" localSheetId="28">'JOSE FERNÁNDEZ'!$D$18</definedName>
    <definedName name="Pago_Sueldo_Base_Promotor" localSheetId="15">'JOSUE SIERRA'!$D$16</definedName>
    <definedName name="Pago_Sueldo_Base_Promotor" localSheetId="14">'MARIANA SANCHEZ'!$D$13</definedName>
    <definedName name="Pago_Sueldo_Base_Promotor" localSheetId="26">'MINA APARICIO'!$D$18</definedName>
    <definedName name="Pago_Sueldo_Base_Promotor" localSheetId="12">'MIRIAM TADEO'!$D$16</definedName>
    <definedName name="Pago_Sueldo_Base_Promotor" localSheetId="25">'YADIRA VEGA'!$D$18</definedName>
    <definedName name="Pago_Sueldo_Base_Promotor">'Ejemplo Promotor'!$D$12</definedName>
    <definedName name="Periodo_de_pago_final">'FERNANDO VILLALVAZO'!$D$3</definedName>
    <definedName name="Periodo_De_Pago_Final_Gerente">'FERNANDO VILLALVAZO'!$D$3</definedName>
    <definedName name="Periodo_de_pago_inicial">'FERNANDO VILLALVAZO'!$B$3</definedName>
    <definedName name="Periodo_De_Pago_Inicial_Gerente">'FERNANDO VILLALVAZO'!$B$3</definedName>
    <definedName name="Premio_Coordinador" localSheetId="10">'ISAAC GARCIA'!$B$39</definedName>
    <definedName name="Premio_Coordinador" localSheetId="17">'JOSUE ALVAREZ'!$B$44</definedName>
    <definedName name="Premio_Coordinador" localSheetId="22">'MICHELLE APARICIO'!$B$43</definedName>
    <definedName name="Premio_Coordinador" localSheetId="27">'YANELY HERNADEZ'!$B$19</definedName>
    <definedName name="Premio_Coordinador">'Ejemplo Coordinacion'!$B$13</definedName>
    <definedName name="Premio_Gerente">'FERNANDO VILLALVAZO'!$B$108</definedName>
    <definedName name="Premio_Promotor" localSheetId="21">'BETZANIA MUÑOZ'!$B$21</definedName>
    <definedName name="Premio_Promotor" localSheetId="16">'BRYAN CAMPOS'!$B$16</definedName>
    <definedName name="Premio_Promotor" localSheetId="20">'DANIELA LOZANO'!$B$22</definedName>
    <definedName name="Premio_Promotor" localSheetId="13">'DAVID HERNANDEZ'!$B$18</definedName>
    <definedName name="Premio_Promotor" localSheetId="24">'EVELYN VELAZQUEZ'!$B$22</definedName>
    <definedName name="Premio_Promotor" localSheetId="19">'FERNANDA ORNELAS'!$B$20</definedName>
    <definedName name="Premio_Promotor" localSheetId="23">'FRIDA RIVERA'!$B$19</definedName>
    <definedName name="Premio_Promotor" localSheetId="18">'JONATHAN MARTINEZ'!$B$17</definedName>
    <definedName name="Premio_Promotor" localSheetId="11">'JORGE RODRIGUEZ'!$B$17</definedName>
    <definedName name="Premio_Promotor" localSheetId="28">'JOSE FERNÁNDEZ'!$B$19</definedName>
    <definedName name="Premio_Promotor" localSheetId="15">'JOSUE SIERRA'!$B$17</definedName>
    <definedName name="Premio_Promotor" localSheetId="14">'MARIANA SANCHEZ'!$B$14</definedName>
    <definedName name="Premio_Promotor" localSheetId="26">'MINA APARICIO'!$B$19</definedName>
    <definedName name="Premio_Promotor" localSheetId="12">'MIRIAM TADEO'!$B$17</definedName>
    <definedName name="Premio_Promotor" localSheetId="25">'YADIRA VEGA'!$B$19</definedName>
    <definedName name="Premio_Promotor">'Ejemplo Promotor'!$B$13</definedName>
    <definedName name="Promotores_Activos">#REF!</definedName>
    <definedName name="Puesto_Coordinador" localSheetId="10">'ISAAC GARCIA'!$G$1</definedName>
    <definedName name="Puesto_Coordinador" localSheetId="17">'JOSUE ALVAREZ'!$G$1</definedName>
    <definedName name="Puesto_Coordinador" localSheetId="22">'MICHELLE APARICIO'!$G$1</definedName>
    <definedName name="Puesto_Coordinador" localSheetId="27">'YANELY HERNADEZ'!$G$1</definedName>
    <definedName name="Puesto_Coordinador">'Ejemplo Coordinacion'!$G$1</definedName>
    <definedName name="Puesto_Gerente">'FERNANDO VILLALVAZO'!$G$1</definedName>
    <definedName name="Puesto_Promotor" localSheetId="21">'BETZANIA MUÑOZ'!$G$1</definedName>
    <definedName name="Puesto_Promotor" localSheetId="16">'BRYAN CAMPOS'!$G$1</definedName>
    <definedName name="Puesto_Promotor" localSheetId="20">'DANIELA LOZANO'!$G$1</definedName>
    <definedName name="Puesto_Promotor" localSheetId="13">'DAVID HERNANDEZ'!$G$1</definedName>
    <definedName name="Puesto_Promotor" localSheetId="24">'EVELYN VELAZQUEZ'!$G$1</definedName>
    <definedName name="Puesto_Promotor" localSheetId="19">'FERNANDA ORNELAS'!$G$1</definedName>
    <definedName name="Puesto_Promotor" localSheetId="23">'FRIDA RIVERA'!$G$1</definedName>
    <definedName name="Puesto_Promotor" localSheetId="18">'JONATHAN MARTINEZ'!$G$1</definedName>
    <definedName name="Puesto_Promotor" localSheetId="11">'JORGE RODRIGUEZ'!$G$1</definedName>
    <definedName name="Puesto_Promotor" localSheetId="28">'JOSE FERNÁNDEZ'!$G$1</definedName>
    <definedName name="Puesto_Promotor" localSheetId="15">'JOSUE SIERRA'!$G$1</definedName>
    <definedName name="Puesto_Promotor" localSheetId="14">'MARIANA SANCHEZ'!$G$1</definedName>
    <definedName name="Puesto_Promotor" localSheetId="26">'MINA APARICIO'!$G$1</definedName>
    <definedName name="Puesto_Promotor" localSheetId="12">'MIRIAM TADEO'!$G$1</definedName>
    <definedName name="Puesto_Promotor" localSheetId="25">'YADIRA VEGA'!$G$1</definedName>
    <definedName name="Puesto_Promotor">'Ejemplo Promotor'!$G$1</definedName>
    <definedName name="Puestos" localSheetId="21">Sueldo_Base_Por_Puesto[PUESTO]</definedName>
    <definedName name="Puestos" localSheetId="16">Sueldo_Base_Por_Puesto[PUESTO]</definedName>
    <definedName name="Puestos" localSheetId="20">Sueldo_Base_Por_Puesto[PUESTO]</definedName>
    <definedName name="Puestos" localSheetId="13">Sueldo_Base_Por_Puesto[PUESTO]</definedName>
    <definedName name="Puestos" localSheetId="24">Sueldo_Base_Por_Puesto[PUESTO]</definedName>
    <definedName name="Puestos" localSheetId="19">Sueldo_Base_Por_Puesto[PUESTO]</definedName>
    <definedName name="Puestos" localSheetId="23">Sueldo_Base_Por_Puesto[PUESTO]</definedName>
    <definedName name="Puestos" localSheetId="10">Sueldo_Base_Por_Puesto[PUESTO]</definedName>
    <definedName name="Puestos" localSheetId="18">Sueldo_Base_Por_Puesto[PUESTO]</definedName>
    <definedName name="Puestos" localSheetId="11">Sueldo_Base_Por_Puesto[PUESTO]</definedName>
    <definedName name="Puestos" localSheetId="28">Sueldo_Base_Por_Puesto[PUESTO]</definedName>
    <definedName name="Puestos" localSheetId="17">Sueldo_Base_Por_Puesto[PUESTO]</definedName>
    <definedName name="Puestos" localSheetId="15">Sueldo_Base_Por_Puesto[PUESTO]</definedName>
    <definedName name="Puestos" localSheetId="14">Sueldo_Base_Por_Puesto[PUESTO]</definedName>
    <definedName name="Puestos" localSheetId="22">Sueldo_Base_Por_Puesto[PUESTO]</definedName>
    <definedName name="Puestos" localSheetId="26">Sueldo_Base_Por_Puesto[PUESTO]</definedName>
    <definedName name="Puestos" localSheetId="12">Sueldo_Base_Por_Puesto[PUESTO]</definedName>
    <definedName name="Puestos" localSheetId="25">Sueldo_Base_Por_Puesto[PUESTO]</definedName>
    <definedName name="Puestos" localSheetId="27">Sueldo_Base_Por_Puesto[PUESTO]</definedName>
    <definedName name="Puestos">Sueldo_Base_Por_Puesto[PUESTO]</definedName>
    <definedName name="Razon_Social">'FERNANDO VILLALVAZO'!$B$2</definedName>
    <definedName name="Razones_Sociales" localSheetId="21">Tabla_Razones_Sociales[RAZON SOCIAL]</definedName>
    <definedName name="Razones_Sociales" localSheetId="16">Tabla_Razones_Sociales[RAZON SOCIAL]</definedName>
    <definedName name="Razones_Sociales" localSheetId="20">Tabla_Razones_Sociales[RAZON SOCIAL]</definedName>
    <definedName name="Razones_Sociales" localSheetId="13">Tabla_Razones_Sociales[RAZON SOCIAL]</definedName>
    <definedName name="Razones_Sociales" localSheetId="24">Tabla_Razones_Sociales[RAZON SOCIAL]</definedName>
    <definedName name="Razones_Sociales" localSheetId="19">Tabla_Razones_Sociales[RAZON SOCIAL]</definedName>
    <definedName name="Razones_Sociales" localSheetId="23">Tabla_Razones_Sociales[RAZON SOCIAL]</definedName>
    <definedName name="Razones_Sociales" localSheetId="10">Tabla_Razones_Sociales[RAZON SOCIAL]</definedName>
    <definedName name="Razones_Sociales" localSheetId="18">Tabla_Razones_Sociales[RAZON SOCIAL]</definedName>
    <definedName name="Razones_Sociales" localSheetId="11">Tabla_Razones_Sociales[RAZON SOCIAL]</definedName>
    <definedName name="Razones_Sociales" localSheetId="28">Tabla_Razones_Sociales[RAZON SOCIAL]</definedName>
    <definedName name="Razones_Sociales" localSheetId="17">Tabla_Razones_Sociales[RAZON SOCIAL]</definedName>
    <definedName name="Razones_Sociales" localSheetId="15">Tabla_Razones_Sociales[RAZON SOCIAL]</definedName>
    <definedName name="Razones_Sociales" localSheetId="14">Tabla_Razones_Sociales[RAZON SOCIAL]</definedName>
    <definedName name="Razones_Sociales" localSheetId="22">Tabla_Razones_Sociales[RAZON SOCIAL]</definedName>
    <definedName name="Razones_Sociales" localSheetId="26">Tabla_Razones_Sociales[RAZON SOCIAL]</definedName>
    <definedName name="Razones_Sociales" localSheetId="12">Tabla_Razones_Sociales[RAZON SOCIAL]</definedName>
    <definedName name="Razones_Sociales" localSheetId="25">Tabla_Razones_Sociales[RAZON SOCIAL]</definedName>
    <definedName name="Razones_Sociales" localSheetId="27">Tabla_Razones_Sociales[RAZON SOCIAL]</definedName>
    <definedName name="Razones_Sociales">Tabla_Razones_Sociales[RAZON SOCIAL]</definedName>
    <definedName name="Sueldo_Base_Coordinador">Tabuladores!$M$5</definedName>
    <definedName name="Sueldo_Base_Gerente">Tabuladores!$M$4</definedName>
    <definedName name="Total_De_La_Gerencia">'FERNANDO VILLALVAZO'!$J$4</definedName>
    <definedName name="Total_Registros_Coordinador" localSheetId="10">'ISAAC GARCIA'!$B$4</definedName>
    <definedName name="Total_Registros_Coordinador" localSheetId="17">'JOSUE ALVAREZ'!$B$4</definedName>
    <definedName name="Total_Registros_Coordinador" localSheetId="22">'MICHELLE APARICIO'!$B$4</definedName>
    <definedName name="Total_Registros_Coordinador" localSheetId="27">'YANELY HERNADEZ'!$B$4</definedName>
    <definedName name="Total_Registros_Coordinador">'Ejemplo Coordinacion'!$B$4</definedName>
    <definedName name="Total_Registros_Gerente">'FERNANDO VILLALVAZO'!$B$4</definedName>
    <definedName name="Total_Registros_Promotor" localSheetId="21">'BETZANIA MUÑOZ'!$B$4</definedName>
    <definedName name="Total_Registros_Promotor" localSheetId="16">'BRYAN CAMPOS'!$B$4</definedName>
    <definedName name="Total_Registros_Promotor" localSheetId="20">'DANIELA LOZANO'!$B$4</definedName>
    <definedName name="Total_Registros_Promotor" localSheetId="13">'DAVID HERNANDEZ'!$B$4</definedName>
    <definedName name="Total_Registros_Promotor" localSheetId="24">'EVELYN VELAZQUEZ'!$B$4</definedName>
    <definedName name="Total_Registros_Promotor" localSheetId="19">'FERNANDA ORNELAS'!$B$4</definedName>
    <definedName name="Total_Registros_Promotor" localSheetId="23">'FRIDA RIVERA'!$B$4</definedName>
    <definedName name="Total_Registros_Promotor" localSheetId="18">'JONATHAN MARTINEZ'!$B$4</definedName>
    <definedName name="Total_Registros_Promotor" localSheetId="11">'JORGE RODRIGUEZ'!$B$4</definedName>
    <definedName name="Total_Registros_Promotor" localSheetId="28">'JOSE FERNÁNDEZ'!$B$4</definedName>
    <definedName name="Total_Registros_Promotor" localSheetId="15">'JOSUE SIERRA'!$B$4</definedName>
    <definedName name="Total_Registros_Promotor" localSheetId="14">'MARIANA SANCHEZ'!$B$4</definedName>
    <definedName name="Total_Registros_Promotor" localSheetId="26">'MINA APARICIO'!$B$4</definedName>
    <definedName name="Total_Registros_Promotor" localSheetId="12">'MIRIAM TADEO'!$B$4</definedName>
    <definedName name="Total_Registros_Promotor" localSheetId="25">'YADIRA VEGA'!$B$4</definedName>
    <definedName name="Total_Registros_Promotor">'Ejemplo Promotor'!$B$4</definedName>
  </definedNames>
  <calcPr calcId="191029"/>
  <pivotCaches>
    <pivotCache cacheId="1211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484" l="1"/>
  <c r="H15" i="484"/>
  <c r="H14" i="484"/>
  <c r="D14" i="484" s="1"/>
  <c r="H13" i="484"/>
  <c r="D13" i="484" s="1"/>
  <c r="H12" i="484"/>
  <c r="D12" i="484" s="1"/>
  <c r="H11" i="484"/>
  <c r="D11" i="484" s="1"/>
  <c r="H10" i="484"/>
  <c r="D10" i="484" s="1"/>
  <c r="H9" i="484"/>
  <c r="D9" i="484" s="1"/>
  <c r="D21" i="484"/>
  <c r="D18" i="484"/>
  <c r="B5" i="484"/>
  <c r="H15" i="483"/>
  <c r="D15" i="483" s="1"/>
  <c r="H14" i="483"/>
  <c r="D14" i="483" s="1"/>
  <c r="H13" i="483"/>
  <c r="D13" i="483" s="1"/>
  <c r="H12" i="483"/>
  <c r="D12" i="483" s="1"/>
  <c r="H11" i="483"/>
  <c r="D11" i="483" s="1"/>
  <c r="H10" i="483"/>
  <c r="D10" i="483" s="1"/>
  <c r="H9" i="483"/>
  <c r="D9" i="483" s="1"/>
  <c r="H18" i="482"/>
  <c r="D18" i="482" s="1"/>
  <c r="H17" i="482"/>
  <c r="D17" i="482" s="1"/>
  <c r="H16" i="482"/>
  <c r="D16" i="482" s="1"/>
  <c r="H15" i="482"/>
  <c r="D15" i="482" s="1"/>
  <c r="H14" i="482"/>
  <c r="D14" i="482" s="1"/>
  <c r="H13" i="482"/>
  <c r="D13" i="482" s="1"/>
  <c r="H12" i="482"/>
  <c r="D12" i="482" s="1"/>
  <c r="H11" i="482"/>
  <c r="D11" i="482" s="1"/>
  <c r="H10" i="482"/>
  <c r="D10" i="482" s="1"/>
  <c r="H9" i="482"/>
  <c r="D9" i="482" s="1"/>
  <c r="H15" i="481"/>
  <c r="D15" i="481" s="1"/>
  <c r="H14" i="481"/>
  <c r="D14" i="481" s="1"/>
  <c r="H13" i="481"/>
  <c r="D13" i="481" s="1"/>
  <c r="H12" i="481"/>
  <c r="D12" i="481" s="1"/>
  <c r="H11" i="481"/>
  <c r="D11" i="481" s="1"/>
  <c r="H10" i="481"/>
  <c r="D10" i="481" s="1"/>
  <c r="H9" i="481"/>
  <c r="H15" i="480"/>
  <c r="D15" i="480" s="1"/>
  <c r="H14" i="480"/>
  <c r="D14" i="480" s="1"/>
  <c r="H13" i="480"/>
  <c r="D13" i="480" s="1"/>
  <c r="H12" i="480"/>
  <c r="D12" i="480" s="1"/>
  <c r="H11" i="480"/>
  <c r="D11" i="480" s="1"/>
  <c r="H10" i="480"/>
  <c r="H9" i="480"/>
  <c r="D9" i="480" s="1"/>
  <c r="D21" i="483"/>
  <c r="D18" i="483"/>
  <c r="B5" i="483"/>
  <c r="D24" i="482"/>
  <c r="D21" i="482"/>
  <c r="B5" i="482"/>
  <c r="D21" i="481"/>
  <c r="D18" i="481"/>
  <c r="B5" i="481"/>
  <c r="D21" i="480"/>
  <c r="D18" i="480"/>
  <c r="B5" i="480"/>
  <c r="H13" i="479"/>
  <c r="D13" i="479" s="1"/>
  <c r="H12" i="479"/>
  <c r="D12" i="479" s="1"/>
  <c r="H11" i="479"/>
  <c r="D11" i="479" s="1"/>
  <c r="H10" i="479"/>
  <c r="D10" i="479" s="1"/>
  <c r="H9" i="479"/>
  <c r="H16" i="478"/>
  <c r="D16" i="478" s="1"/>
  <c r="H15" i="478"/>
  <c r="D15" i="478" s="1"/>
  <c r="H14" i="478"/>
  <c r="D14" i="478" s="1"/>
  <c r="H13" i="478"/>
  <c r="D13" i="478" s="1"/>
  <c r="H12" i="478"/>
  <c r="D12" i="478" s="1"/>
  <c r="H11" i="478"/>
  <c r="D11" i="478" s="1"/>
  <c r="H10" i="478"/>
  <c r="D10" i="478" s="1"/>
  <c r="H9" i="478"/>
  <c r="D9" i="478" s="1"/>
  <c r="H18" i="477"/>
  <c r="D18" i="477" s="1"/>
  <c r="H17" i="477"/>
  <c r="D17" i="477" s="1"/>
  <c r="H16" i="477"/>
  <c r="D16" i="477" s="1"/>
  <c r="H15" i="477"/>
  <c r="D15" i="477" s="1"/>
  <c r="H14" i="477"/>
  <c r="D14" i="477" s="1"/>
  <c r="H13" i="477"/>
  <c r="D13" i="477" s="1"/>
  <c r="H12" i="477"/>
  <c r="D12" i="477" s="1"/>
  <c r="H11" i="477"/>
  <c r="H10" i="477"/>
  <c r="D10" i="477" s="1"/>
  <c r="H9" i="477"/>
  <c r="D9" i="477" s="1"/>
  <c r="H17" i="476"/>
  <c r="D17" i="476" s="1"/>
  <c r="H16" i="476"/>
  <c r="D16" i="476" s="1"/>
  <c r="H15" i="476"/>
  <c r="D15" i="476" s="1"/>
  <c r="H14" i="476"/>
  <c r="D14" i="476" s="1"/>
  <c r="H13" i="476"/>
  <c r="D13" i="476" s="1"/>
  <c r="H12" i="476"/>
  <c r="D12" i="476" s="1"/>
  <c r="H11" i="476"/>
  <c r="H10" i="476"/>
  <c r="D10" i="476" s="1"/>
  <c r="H9" i="476"/>
  <c r="D9" i="476" s="1"/>
  <c r="D19" i="479"/>
  <c r="D16" i="479"/>
  <c r="B5" i="479"/>
  <c r="D22" i="478"/>
  <c r="D19" i="478"/>
  <c r="B5" i="478"/>
  <c r="D24" i="477"/>
  <c r="D21" i="477"/>
  <c r="B5" i="477"/>
  <c r="D23" i="476"/>
  <c r="D20" i="476"/>
  <c r="B5" i="476"/>
  <c r="H13" i="475"/>
  <c r="D13" i="475" s="1"/>
  <c r="H12" i="475"/>
  <c r="D12" i="475" s="1"/>
  <c r="H11" i="475"/>
  <c r="D11" i="475" s="1"/>
  <c r="H10" i="475"/>
  <c r="D10" i="475" s="1"/>
  <c r="H9" i="475"/>
  <c r="D9" i="475" s="1"/>
  <c r="H13" i="474"/>
  <c r="D13" i="474" s="1"/>
  <c r="H12" i="474"/>
  <c r="D12" i="474" s="1"/>
  <c r="H11" i="474"/>
  <c r="D11" i="474" s="1"/>
  <c r="H10" i="474"/>
  <c r="D10" i="474" s="1"/>
  <c r="H9" i="474"/>
  <c r="D9" i="474" s="1"/>
  <c r="H14" i="473"/>
  <c r="D14" i="473" s="1"/>
  <c r="H13" i="473"/>
  <c r="D13" i="473" s="1"/>
  <c r="H12" i="473"/>
  <c r="D12" i="473" s="1"/>
  <c r="H11" i="473"/>
  <c r="D11" i="473" s="1"/>
  <c r="H10" i="473"/>
  <c r="D10" i="473" s="1"/>
  <c r="H9" i="473"/>
  <c r="H10" i="472"/>
  <c r="D10" i="472" s="1"/>
  <c r="H9" i="472"/>
  <c r="H13" i="471"/>
  <c r="D13" i="471" s="1"/>
  <c r="H12" i="471"/>
  <c r="D12" i="471" s="1"/>
  <c r="H11" i="471"/>
  <c r="D11" i="471" s="1"/>
  <c r="H10" i="471"/>
  <c r="D10" i="471" s="1"/>
  <c r="H9" i="471"/>
  <c r="H12" i="470"/>
  <c r="H11" i="470"/>
  <c r="D11" i="470" s="1"/>
  <c r="H10" i="470"/>
  <c r="D10" i="470" s="1"/>
  <c r="H9" i="470"/>
  <c r="D9" i="470" s="1"/>
  <c r="D19" i="475"/>
  <c r="D16" i="475"/>
  <c r="B5" i="475"/>
  <c r="D19" i="474"/>
  <c r="D16" i="474"/>
  <c r="B5" i="474"/>
  <c r="D20" i="473"/>
  <c r="D17" i="473"/>
  <c r="B5" i="473"/>
  <c r="D16" i="472"/>
  <c r="D13" i="472"/>
  <c r="B5" i="472"/>
  <c r="D19" i="471"/>
  <c r="D16" i="471"/>
  <c r="B5" i="471"/>
  <c r="D18" i="470"/>
  <c r="D15" i="470"/>
  <c r="B5" i="470"/>
  <c r="H15" i="469"/>
  <c r="H14" i="469"/>
  <c r="H13" i="469"/>
  <c r="D13" i="469" s="1"/>
  <c r="H12" i="469"/>
  <c r="D12" i="469" s="1"/>
  <c r="H11" i="469"/>
  <c r="H10" i="469"/>
  <c r="H9" i="469"/>
  <c r="H39" i="468"/>
  <c r="H38" i="468"/>
  <c r="H37" i="468"/>
  <c r="D37" i="468" s="1"/>
  <c r="H36" i="468"/>
  <c r="H35" i="468"/>
  <c r="H34" i="468"/>
  <c r="H33" i="468"/>
  <c r="H32" i="468"/>
  <c r="H31" i="468"/>
  <c r="H30" i="468"/>
  <c r="H29" i="468"/>
  <c r="D29" i="468" s="1"/>
  <c r="H28" i="468"/>
  <c r="H27" i="468"/>
  <c r="H26" i="468"/>
  <c r="H25" i="468"/>
  <c r="H24" i="468"/>
  <c r="H23" i="468"/>
  <c r="H22" i="468"/>
  <c r="H21" i="468"/>
  <c r="H20" i="468"/>
  <c r="H19" i="468"/>
  <c r="H18" i="468"/>
  <c r="H17" i="468"/>
  <c r="D17" i="468" s="1"/>
  <c r="H16" i="468"/>
  <c r="H15" i="468"/>
  <c r="H14" i="468"/>
  <c r="H13" i="468"/>
  <c r="H12" i="468"/>
  <c r="H11" i="468"/>
  <c r="H10" i="468"/>
  <c r="D10" i="468" s="1"/>
  <c r="H9" i="468"/>
  <c r="H40" i="467"/>
  <c r="H39" i="467"/>
  <c r="H38" i="467"/>
  <c r="H37" i="467"/>
  <c r="H36" i="467"/>
  <c r="H35" i="467"/>
  <c r="D35" i="467" s="1"/>
  <c r="H34" i="467"/>
  <c r="H33" i="467"/>
  <c r="H32" i="467"/>
  <c r="H31" i="467"/>
  <c r="H30" i="467"/>
  <c r="H29" i="467"/>
  <c r="H28" i="467"/>
  <c r="H27" i="467"/>
  <c r="H26" i="467"/>
  <c r="H25" i="467"/>
  <c r="D25" i="467" s="1"/>
  <c r="H24" i="467"/>
  <c r="H23" i="467"/>
  <c r="H22" i="467"/>
  <c r="H21" i="467"/>
  <c r="D21" i="467" s="1"/>
  <c r="H20" i="467"/>
  <c r="H19" i="467"/>
  <c r="H18" i="467"/>
  <c r="D18" i="467" s="1"/>
  <c r="H17" i="467"/>
  <c r="H16" i="467"/>
  <c r="H15" i="467"/>
  <c r="H14" i="467"/>
  <c r="H13" i="467"/>
  <c r="H12" i="467"/>
  <c r="H11" i="467"/>
  <c r="H10" i="467"/>
  <c r="H9" i="467"/>
  <c r="H30" i="466"/>
  <c r="H29" i="466"/>
  <c r="H28" i="466"/>
  <c r="H27" i="466"/>
  <c r="H26" i="466"/>
  <c r="H25" i="466"/>
  <c r="H24" i="466"/>
  <c r="H23" i="466"/>
  <c r="H22" i="466"/>
  <c r="H21" i="466"/>
  <c r="D21" i="466" s="1"/>
  <c r="H20" i="466"/>
  <c r="H19" i="466"/>
  <c r="H18" i="466"/>
  <c r="H17" i="466"/>
  <c r="H16" i="466"/>
  <c r="H15" i="466"/>
  <c r="D15" i="466" s="1"/>
  <c r="H14" i="466"/>
  <c r="H35" i="466"/>
  <c r="H34" i="466"/>
  <c r="H33" i="466"/>
  <c r="D33" i="466" s="1"/>
  <c r="H32" i="466"/>
  <c r="H31" i="466"/>
  <c r="D31" i="466" s="1"/>
  <c r="H12" i="466"/>
  <c r="H11" i="466"/>
  <c r="H10" i="466"/>
  <c r="H9" i="466"/>
  <c r="D9" i="466" s="1"/>
  <c r="H13" i="466"/>
  <c r="D13" i="466" s="1"/>
  <c r="D21" i="469"/>
  <c r="D18" i="469"/>
  <c r="B5" i="469"/>
  <c r="D45" i="468"/>
  <c r="D42" i="468"/>
  <c r="B5" i="468"/>
  <c r="D46" i="467"/>
  <c r="D43" i="467"/>
  <c r="B5" i="467"/>
  <c r="D41" i="466"/>
  <c r="D38" i="466"/>
  <c r="B5" i="466"/>
  <c r="B4" i="473" l="1"/>
  <c r="B18" i="473" s="1"/>
  <c r="B4" i="484"/>
  <c r="B19" i="484" s="1"/>
  <c r="B4" i="481"/>
  <c r="B19" i="481" s="1"/>
  <c r="B4" i="477"/>
  <c r="B22" i="477" s="1"/>
  <c r="B4" i="480"/>
  <c r="B19" i="480" s="1"/>
  <c r="B4" i="472"/>
  <c r="B14" i="472" s="1"/>
  <c r="D14" i="472" s="1"/>
  <c r="D10" i="480"/>
  <c r="D16" i="480" s="1"/>
  <c r="D16" i="484"/>
  <c r="B4" i="478"/>
  <c r="B20" i="478" s="1"/>
  <c r="B4" i="482"/>
  <c r="B22" i="482" s="1"/>
  <c r="D9" i="481"/>
  <c r="D16" i="481" s="1"/>
  <c r="D11" i="477"/>
  <c r="D19" i="477" s="1"/>
  <c r="D19" i="482"/>
  <c r="D16" i="483"/>
  <c r="D14" i="474"/>
  <c r="B4" i="479"/>
  <c r="B17" i="479" s="1"/>
  <c r="D9" i="479"/>
  <c r="D14" i="479" s="1"/>
  <c r="B4" i="476"/>
  <c r="B21" i="476" s="1"/>
  <c r="D14" i="475"/>
  <c r="D11" i="476"/>
  <c r="D18" i="476" s="1"/>
  <c r="B4" i="483"/>
  <c r="B19" i="483" s="1"/>
  <c r="D17" i="478"/>
  <c r="B4" i="475"/>
  <c r="B17" i="475" s="1"/>
  <c r="B4" i="470"/>
  <c r="B16" i="470" s="1"/>
  <c r="D16" i="470" s="1"/>
  <c r="B4" i="471"/>
  <c r="B17" i="471" s="1"/>
  <c r="D9" i="473"/>
  <c r="D15" i="473" s="1"/>
  <c r="B4" i="466" a="1"/>
  <c r="B4" i="466" s="1"/>
  <c r="D27" i="466" s="1"/>
  <c r="B4" i="467" a="1"/>
  <c r="B4" i="467" s="1"/>
  <c r="D19" i="467" s="1"/>
  <c r="B4" i="469" a="1"/>
  <c r="B4" i="469" s="1"/>
  <c r="D14" i="469" s="1"/>
  <c r="D9" i="472"/>
  <c r="D11" i="472" s="1"/>
  <c r="B4" i="468" a="1"/>
  <c r="B4" i="468" s="1"/>
  <c r="D30" i="468" s="1"/>
  <c r="D12" i="470"/>
  <c r="D13" i="470" s="1"/>
  <c r="D10" i="466"/>
  <c r="D9" i="471"/>
  <c r="D14" i="471" s="1"/>
  <c r="B4" i="474"/>
  <c r="B17" i="474" s="1"/>
  <c r="D17" i="474" s="1"/>
  <c r="B4" i="8"/>
  <c r="D110" i="5"/>
  <c r="D15" i="472" l="1"/>
  <c r="D18" i="472" s="1"/>
  <c r="D18" i="474"/>
  <c r="D21" i="474" s="1"/>
  <c r="D17" i="470"/>
  <c r="D20" i="470" s="1"/>
  <c r="D28" i="468"/>
  <c r="D22" i="466"/>
  <c r="D36" i="467"/>
  <c r="D35" i="466"/>
  <c r="D19" i="466"/>
  <c r="B19" i="469"/>
  <c r="D19" i="469" s="1"/>
  <c r="D10" i="467"/>
  <c r="D11" i="469"/>
  <c r="D28" i="466"/>
  <c r="D15" i="469"/>
  <c r="D24" i="466"/>
  <c r="B44" i="467"/>
  <c r="D44" i="467" s="1"/>
  <c r="D38" i="467"/>
  <c r="D12" i="466"/>
  <c r="D12" i="467"/>
  <c r="D30" i="466"/>
  <c r="D29" i="467"/>
  <c r="D28" i="467"/>
  <c r="D18" i="466"/>
  <c r="D23" i="466"/>
  <c r="D32" i="467"/>
  <c r="D14" i="467"/>
  <c r="D13" i="467"/>
  <c r="D24" i="467"/>
  <c r="D30" i="467"/>
  <c r="D32" i="466"/>
  <c r="D11" i="466"/>
  <c r="D14" i="466"/>
  <c r="D11" i="467"/>
  <c r="D10" i="469"/>
  <c r="D18" i="468"/>
  <c r="D13" i="468"/>
  <c r="D22" i="467"/>
  <c r="B43" i="468"/>
  <c r="D43" i="468" s="1"/>
  <c r="D34" i="466"/>
  <c r="B39" i="466"/>
  <c r="D39" i="466" s="1"/>
  <c r="D14" i="468"/>
  <c r="D33" i="468"/>
  <c r="D25" i="466"/>
  <c r="D39" i="467"/>
  <c r="D20" i="467"/>
  <c r="D26" i="467"/>
  <c r="D16" i="466"/>
  <c r="D17" i="466"/>
  <c r="D24" i="468"/>
  <c r="D16" i="467"/>
  <c r="D15" i="467"/>
  <c r="D20" i="466"/>
  <c r="D34" i="468"/>
  <c r="D34" i="467"/>
  <c r="D31" i="467"/>
  <c r="D9" i="469"/>
  <c r="D33" i="467"/>
  <c r="D40" i="467"/>
  <c r="D9" i="467"/>
  <c r="D29" i="466"/>
  <c r="D26" i="466"/>
  <c r="D37" i="467"/>
  <c r="D27" i="467"/>
  <c r="D17" i="467"/>
  <c r="D23" i="467"/>
  <c r="D32" i="468"/>
  <c r="D27" i="468"/>
  <c r="D31" i="468"/>
  <c r="D15" i="468"/>
  <c r="D20" i="468"/>
  <c r="D21" i="468"/>
  <c r="D11" i="468"/>
  <c r="D12" i="468"/>
  <c r="D39" i="468"/>
  <c r="D35" i="468"/>
  <c r="D25" i="468"/>
  <c r="D38" i="468"/>
  <c r="D23" i="468"/>
  <c r="D9" i="468"/>
  <c r="D19" i="468"/>
  <c r="D22" i="468"/>
  <c r="D36" i="468"/>
  <c r="D26" i="468"/>
  <c r="D16" i="468"/>
  <c r="D15" i="7"/>
  <c r="B4" i="7" a="1"/>
  <c r="B4" i="7" s="1"/>
  <c r="B4" i="5" a="1"/>
  <c r="B4" i="5" s="1"/>
  <c r="D22" i="482" s="1"/>
  <c r="D23" i="482" s="1"/>
  <c r="D26" i="482" s="1"/>
  <c r="D9" i="8"/>
  <c r="H9" i="8"/>
  <c r="D21" i="472" a="1"/>
  <c r="D24" i="474" a="1"/>
  <c r="D23" i="470" a="1"/>
  <c r="D29" i="482" a="1"/>
  <c r="D21" i="472" l="1"/>
  <c r="D24" i="474"/>
  <c r="D23" i="470"/>
  <c r="D16" i="469"/>
  <c r="D20" i="469" s="1"/>
  <c r="D19" i="480"/>
  <c r="D20" i="480" s="1"/>
  <c r="D23" i="480" s="1"/>
  <c r="D17" i="471"/>
  <c r="D18" i="471" s="1"/>
  <c r="D21" i="471" s="1"/>
  <c r="D18" i="473"/>
  <c r="D19" i="473" s="1"/>
  <c r="D22" i="473" s="1"/>
  <c r="D17" i="479"/>
  <c r="D18" i="479" s="1"/>
  <c r="D21" i="479" s="1"/>
  <c r="D19" i="483"/>
  <c r="D20" i="483" s="1"/>
  <c r="D23" i="483" s="1"/>
  <c r="D19" i="484"/>
  <c r="D20" i="484" s="1"/>
  <c r="D23" i="484" s="1"/>
  <c r="D21" i="476"/>
  <c r="D22" i="476" s="1"/>
  <c r="D25" i="476" s="1"/>
  <c r="D19" i="481"/>
  <c r="D20" i="481" s="1"/>
  <c r="D23" i="481" s="1"/>
  <c r="D20" i="478"/>
  <c r="D21" i="478" s="1"/>
  <c r="D24" i="478" s="1"/>
  <c r="D17" i="475"/>
  <c r="D18" i="475" s="1"/>
  <c r="D21" i="475" s="1"/>
  <c r="J1" i="480"/>
  <c r="J1" i="475"/>
  <c r="J1" i="470"/>
  <c r="J1" i="484"/>
  <c r="J1" i="478"/>
  <c r="J1" i="482"/>
  <c r="J1" i="472"/>
  <c r="J1" i="474"/>
  <c r="J1" i="477"/>
  <c r="J1" i="471"/>
  <c r="J1" i="481"/>
  <c r="J1" i="479"/>
  <c r="J1" i="483"/>
  <c r="J1" i="473"/>
  <c r="J1" i="476"/>
  <c r="D22" i="477"/>
  <c r="D23" i="477" s="1"/>
  <c r="D26" i="477" s="1"/>
  <c r="D29" i="482"/>
  <c r="D41" i="467"/>
  <c r="D45" i="467" s="1"/>
  <c r="D47" i="467" s="1"/>
  <c r="D49" i="467" s="1"/>
  <c r="D36" i="466"/>
  <c r="D40" i="466" s="1"/>
  <c r="D42" i="466" s="1"/>
  <c r="D44" i="466" s="1"/>
  <c r="D40" i="468"/>
  <c r="D44" i="468" s="1"/>
  <c r="D46" i="468" s="1"/>
  <c r="D48" i="468" s="1"/>
  <c r="D22" i="469"/>
  <c r="D24" i="469" s="1"/>
  <c r="J1" i="467"/>
  <c r="J1" i="469"/>
  <c r="J1" i="466"/>
  <c r="J1" i="468"/>
  <c r="D102" i="5"/>
  <c r="D105" i="5"/>
  <c r="D100" i="5"/>
  <c r="D104" i="5"/>
  <c r="D101" i="5"/>
  <c r="D103" i="5"/>
  <c r="D36" i="5"/>
  <c r="D35" i="5"/>
  <c r="D31" i="5"/>
  <c r="D34" i="5"/>
  <c r="D32" i="5"/>
  <c r="D30" i="5"/>
  <c r="D33" i="5"/>
  <c r="D27" i="5"/>
  <c r="D28" i="5"/>
  <c r="D29" i="5"/>
  <c r="D77" i="5"/>
  <c r="D78" i="5"/>
  <c r="D26" i="5"/>
  <c r="D58" i="5"/>
  <c r="D76" i="5"/>
  <c r="D59" i="5"/>
  <c r="D75" i="5"/>
  <c r="D73" i="5"/>
  <c r="D74" i="5"/>
  <c r="D53" i="5"/>
  <c r="D57" i="5"/>
  <c r="D54" i="5"/>
  <c r="D55" i="5"/>
  <c r="D52" i="5"/>
  <c r="D56" i="5"/>
  <c r="D93" i="5"/>
  <c r="D51" i="5"/>
  <c r="D92" i="5"/>
  <c r="D94" i="5"/>
  <c r="D91" i="5"/>
  <c r="D95" i="5"/>
  <c r="D88" i="5"/>
  <c r="D90" i="5"/>
  <c r="D98" i="5"/>
  <c r="D89" i="5"/>
  <c r="D97" i="5"/>
  <c r="D99" i="5"/>
  <c r="D49" i="5"/>
  <c r="D96" i="5"/>
  <c r="D47" i="5"/>
  <c r="D46" i="5"/>
  <c r="D48" i="5"/>
  <c r="D50" i="5"/>
  <c r="D86" i="5"/>
  <c r="D43" i="5"/>
  <c r="D87" i="5"/>
  <c r="D85" i="5"/>
  <c r="D44" i="5"/>
  <c r="D45" i="5"/>
  <c r="D80" i="5"/>
  <c r="D82" i="5"/>
  <c r="D79" i="5"/>
  <c r="D81" i="5"/>
  <c r="D84" i="5"/>
  <c r="D83" i="5"/>
  <c r="D72" i="5"/>
  <c r="D67" i="5"/>
  <c r="D68" i="5"/>
  <c r="D70" i="5"/>
  <c r="D71" i="5"/>
  <c r="D69" i="5"/>
  <c r="D61" i="5"/>
  <c r="D65" i="5"/>
  <c r="D66" i="5"/>
  <c r="D62" i="5"/>
  <c r="D63" i="5"/>
  <c r="D40" i="5"/>
  <c r="D38" i="5"/>
  <c r="D41" i="5"/>
  <c r="D39" i="5"/>
  <c r="D60" i="5"/>
  <c r="D42" i="5"/>
  <c r="D37" i="5"/>
  <c r="D24" i="5"/>
  <c r="D25" i="5"/>
  <c r="D21" i="5"/>
  <c r="D22" i="5"/>
  <c r="D23" i="5"/>
  <c r="D15" i="5"/>
  <c r="D16" i="5"/>
  <c r="D18" i="5"/>
  <c r="D20" i="5"/>
  <c r="D19" i="5"/>
  <c r="D17" i="5"/>
  <c r="D9" i="5"/>
  <c r="D10" i="5"/>
  <c r="D64" i="5"/>
  <c r="D14" i="5"/>
  <c r="D11" i="5"/>
  <c r="D12" i="5"/>
  <c r="D13" i="5"/>
  <c r="J1" i="5"/>
  <c r="H9" i="7"/>
  <c r="D9" i="7" s="1"/>
  <c r="B3" i="5"/>
  <c r="D3" i="5"/>
  <c r="D107" i="5"/>
  <c r="D15" i="8"/>
  <c r="D12" i="8"/>
  <c r="D10" i="8"/>
  <c r="B5" i="8"/>
  <c r="B13" i="8"/>
  <c r="D13" i="8" s="1"/>
  <c r="D12" i="7"/>
  <c r="B5" i="7"/>
  <c r="B13" i="7"/>
  <c r="D13" i="7" s="1"/>
  <c r="S4" i="1"/>
  <c r="B17" i="3"/>
  <c r="B16" i="3"/>
  <c r="B15" i="3"/>
  <c r="B14" i="3"/>
  <c r="B13" i="3"/>
  <c r="D26" i="480" a="1"/>
  <c r="D24" i="471" a="1"/>
  <c r="D25" i="473" a="1"/>
  <c r="D24" i="479" a="1"/>
  <c r="D26" i="483" a="1"/>
  <c r="D26" i="484" a="1"/>
  <c r="D29" i="477" a="1"/>
  <c r="D28" i="476" a="1"/>
  <c r="D26" i="481" a="1"/>
  <c r="D27" i="478" a="1"/>
  <c r="D24" i="475" a="1"/>
  <c r="D47" i="466" a="1"/>
  <c r="D51" i="468" a="1"/>
  <c r="D52" i="467" a="1"/>
  <c r="D27" i="469" a="1"/>
  <c r="D24" i="475" l="1"/>
  <c r="D27" i="478"/>
  <c r="D26" i="481"/>
  <c r="D28" i="476"/>
  <c r="D29" i="477"/>
  <c r="D26" i="484"/>
  <c r="D26" i="483"/>
  <c r="D24" i="479"/>
  <c r="D25" i="473"/>
  <c r="D24" i="471"/>
  <c r="D26" i="480"/>
  <c r="D47" i="466"/>
  <c r="D27" i="469"/>
  <c r="D52" i="467"/>
  <c r="D51" i="468"/>
  <c r="D106" i="5"/>
  <c r="D10" i="7"/>
  <c r="D14" i="7" s="1"/>
  <c r="D14" i="8"/>
  <c r="D17" i="8" s="1"/>
  <c r="B108" i="5"/>
  <c r="D108" i="5" s="1"/>
  <c r="J1" i="8"/>
  <c r="J1" i="7"/>
  <c r="D20" i="8" a="1"/>
  <c r="D20" i="8" l="1"/>
  <c r="D109" i="5"/>
  <c r="D16" i="7"/>
  <c r="D18" i="7" s="1"/>
  <c r="D21" i="7" a="1"/>
  <c r="D21" i="7" l="1"/>
  <c r="D111" i="5"/>
  <c r="D113" i="5" s="1"/>
  <c r="D116" i="5" a="1"/>
  <c r="D116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<sst xmlns="http://schemas.openxmlformats.org/spreadsheetml/2006/main" count="2534" uniqueCount="335">
  <si>
    <t>PROMOTORES</t>
  </si>
  <si>
    <t>PAGO</t>
  </si>
  <si>
    <t xml:space="preserve">REGISTROS </t>
  </si>
  <si>
    <t>GERENTES</t>
  </si>
  <si>
    <t xml:space="preserve">TOTAL DE LA GERENCIA </t>
  </si>
  <si>
    <t>REGISTROS</t>
  </si>
  <si>
    <t>COORDINADOR</t>
  </si>
  <si>
    <t>PROMOTOR</t>
  </si>
  <si>
    <t>Promotor</t>
  </si>
  <si>
    <t>COORDINADORES</t>
  </si>
  <si>
    <t>15</t>
  </si>
  <si>
    <t>30</t>
  </si>
  <si>
    <t>40</t>
  </si>
  <si>
    <t>SUELDO BASE</t>
  </si>
  <si>
    <t>Coordinador</t>
  </si>
  <si>
    <t>Gerente</t>
  </si>
  <si>
    <t>TOTAL DE LA GERENCIA</t>
  </si>
  <si>
    <t>TOTAL DE REGISTROS:</t>
  </si>
  <si>
    <t>CREDENCIAL</t>
  </si>
  <si>
    <t xml:space="preserve">NOMBRE DEL ALUMNO </t>
  </si>
  <si>
    <t>GRUPO</t>
  </si>
  <si>
    <t xml:space="preserve">TS PLANTEL </t>
  </si>
  <si>
    <t xml:space="preserve">TS CREDENCIAL </t>
  </si>
  <si>
    <t>AWL TONALA</t>
  </si>
  <si>
    <t>DEDUCCION</t>
  </si>
  <si>
    <t>CANTIDAD CON LETRA:</t>
  </si>
  <si>
    <t>NOMBRE Y FIRMA:</t>
  </si>
  <si>
    <t>FECHA DE EXPEDICION:</t>
  </si>
  <si>
    <t>EMPLEADO</t>
  </si>
  <si>
    <t>PERIODO DEL PAGO DEL</t>
  </si>
  <si>
    <t>AL</t>
  </si>
  <si>
    <t>RAZON SOCIAL</t>
  </si>
  <si>
    <t>NUMERO DE SEMANA</t>
  </si>
  <si>
    <t>PLANTEL</t>
  </si>
  <si>
    <t>COMISION</t>
  </si>
  <si>
    <t>AWL TLAQUEPAQUE</t>
  </si>
  <si>
    <t>UDN TLAQUEPAQUE</t>
  </si>
  <si>
    <t>UDN TONALA</t>
  </si>
  <si>
    <t>UI PARIAN</t>
  </si>
  <si>
    <t>UI MARIANO OTERO</t>
  </si>
  <si>
    <t>VIRTUAL</t>
  </si>
  <si>
    <t>OBLATOS</t>
  </si>
  <si>
    <t>INDEPENDENCIA</t>
  </si>
  <si>
    <t>ONLINE</t>
  </si>
  <si>
    <t>TRANSITO</t>
  </si>
  <si>
    <t>PREMIO</t>
  </si>
  <si>
    <t>SUBTOTAL</t>
  </si>
  <si>
    <t>AWL LEON</t>
  </si>
  <si>
    <t>TOTAL DE LA COORDINACION</t>
  </si>
  <si>
    <t>PAGO NETO</t>
  </si>
  <si>
    <t>TOTAL COMISION</t>
  </si>
  <si>
    <t>INSCRIPCION</t>
  </si>
  <si>
    <t>MIN</t>
  </si>
  <si>
    <t>MAX</t>
  </si>
  <si>
    <t>TOTAL GERENCIA</t>
  </si>
  <si>
    <t>COLUMNA</t>
  </si>
  <si>
    <t>13</t>
  </si>
  <si>
    <t>0</t>
  </si>
  <si>
    <t>TOTAL REGISTROS GERENCIA</t>
  </si>
  <si>
    <t>Coordinadores</t>
  </si>
  <si>
    <t>Gerentes</t>
  </si>
  <si>
    <t>Promotores</t>
  </si>
  <si>
    <t>&gt;</t>
  </si>
  <si>
    <t>Planteles</t>
  </si>
  <si>
    <t>CURSO</t>
  </si>
  <si>
    <t>FECHA</t>
  </si>
  <si>
    <t>JOSUE SIERRA</t>
  </si>
  <si>
    <t>JONATHAN MARTINEZ</t>
  </si>
  <si>
    <t>BETZANIA MUÑOZ</t>
  </si>
  <si>
    <t>FERNANDO VILLALVAZO</t>
  </si>
  <si>
    <t>EVELYN VELAZQUEZ</t>
  </si>
  <si>
    <t>MICHELLE APARICIO</t>
  </si>
  <si>
    <t>FRIDA RIVERA</t>
  </si>
  <si>
    <t>MIRIAM TADEO</t>
  </si>
  <si>
    <t>DAVID HERNANDEZ</t>
  </si>
  <si>
    <t>MARIANA SANCHEZ</t>
  </si>
  <si>
    <t>ISAAC GARCIA</t>
  </si>
  <si>
    <t>JOSUE ALVAREZ</t>
  </si>
  <si>
    <t>FERNANDO VILLALVAZO HINOJOSA</t>
  </si>
  <si>
    <t>DIANA MICHELLE APARICIO PÉREZ</t>
  </si>
  <si>
    <t>JOSUE OMAR ALVAREZ MATA</t>
  </si>
  <si>
    <t>GERARDO ISAAC GARCIA DE LA CRUZ</t>
  </si>
  <si>
    <t xml:space="preserve">YANELY HERNADEZ VEGA </t>
  </si>
  <si>
    <t>DAVID EMILIANO HERNANDEZ GARCIA</t>
  </si>
  <si>
    <t>BRYAN JATHZIEL CAMPOS VALENCIA</t>
  </si>
  <si>
    <t>JOSUE OSVALDO SIORDIA SIERRA</t>
  </si>
  <si>
    <t>MARIANA GUTIERREZ SANCHEZ</t>
  </si>
  <si>
    <t>JORGE ALBERTO RODRIGUEZ TORRES</t>
  </si>
  <si>
    <t>MIRIAM SARAHI TADEO SANCHEZ</t>
  </si>
  <si>
    <t>JOSE GABRIEL FERNÁNDEZ GOCHE</t>
  </si>
  <si>
    <t>FRIDA BERENICE CHACON RIVERA</t>
  </si>
  <si>
    <t>YADIRA HERNANDEZ VEGA</t>
  </si>
  <si>
    <t>EVELYN CAROLINA VELAZQUEZ RAMOS</t>
  </si>
  <si>
    <t>MINA CAREY APARICIO PÉREZ</t>
  </si>
  <si>
    <t>DANIELA ALEJANDRA MARTINEZ LOZANO</t>
  </si>
  <si>
    <t>BETZANIA GUADALUPE MUÑOZ MARQUEZ</t>
  </si>
  <si>
    <t>ANA FERNANADA ORNELAS DEL REAL</t>
  </si>
  <si>
    <t>JONATHAN FRANCISCO LOPEZ MARTINEZ</t>
  </si>
  <si>
    <t>NOMBRE</t>
  </si>
  <si>
    <t>ALIAS</t>
  </si>
  <si>
    <t>GERENCIA</t>
  </si>
  <si>
    <t>COORDINACION</t>
  </si>
  <si>
    <t>YANELY HERNADEZ</t>
  </si>
  <si>
    <t>JOSE FERNÁNDEZ</t>
  </si>
  <si>
    <t>BRYAN CAMPOS</t>
  </si>
  <si>
    <t>JORGE RODRIGUEZ</t>
  </si>
  <si>
    <t>MINA APARICIO</t>
  </si>
  <si>
    <t>YADIRA VEGA</t>
  </si>
  <si>
    <t>DANIELA LOZANO</t>
  </si>
  <si>
    <t>UI 16 DE SEPTIEMBRE</t>
  </si>
  <si>
    <t>NOMBRE DEL ALUMNO</t>
  </si>
  <si>
    <t>JOSUE ALVAREZ (P)</t>
  </si>
  <si>
    <t>MICHELLE APARICIO (P)</t>
  </si>
  <si>
    <t>YANELY HERNADEZ (P)</t>
  </si>
  <si>
    <t>ISAAC GARCIA (P)</t>
  </si>
  <si>
    <t>FERNANDO VILLALVAZO (P)</t>
  </si>
  <si>
    <t>PUESTO</t>
  </si>
  <si>
    <t>GERENTE</t>
  </si>
  <si>
    <t>Sueldos Base</t>
  </si>
  <si>
    <t>COLABORADOR</t>
  </si>
  <si>
    <t>DESCUENTO</t>
  </si>
  <si>
    <t xml:space="preserve"> </t>
  </si>
  <si>
    <t>CONCEPTO</t>
  </si>
  <si>
    <t>PAGO SUELDOS BASE COORDINACION</t>
  </si>
  <si>
    <t>ENRIQUE OJEDA</t>
  </si>
  <si>
    <t>HUGO PACHECO</t>
  </si>
  <si>
    <t>DAMIAN BRAVO</t>
  </si>
  <si>
    <t>EFRAIN CORTES</t>
  </si>
  <si>
    <t>PEDRO MORA HERNANDEZ</t>
  </si>
  <si>
    <t>PEDRO MORA</t>
  </si>
  <si>
    <t>OLIVIA PACHECO GUTIERREZ</t>
  </si>
  <si>
    <t>OLIVIA PACHECO</t>
  </si>
  <si>
    <t xml:space="preserve">MARIANA PACHECO GUTIERREZ </t>
  </si>
  <si>
    <t>MARIANA PACHECO</t>
  </si>
  <si>
    <t>OLIVIA PACHECO (P)</t>
  </si>
  <si>
    <t>MARIANA PACHECO (P)</t>
  </si>
  <si>
    <t>PEDRO MORA (P)</t>
  </si>
  <si>
    <t>JUAN ENRIQUE OJEDA RAZO</t>
  </si>
  <si>
    <t>HUGO PACHECO GUTIERREZ</t>
  </si>
  <si>
    <t>DAMIAN BRAVO GUERRERO</t>
  </si>
  <si>
    <t>EFRAIN CORTES RANGEL</t>
  </si>
  <si>
    <t>EUNICE RAMOS MORALES</t>
  </si>
  <si>
    <t>LIZBETH RAMOS MORALES</t>
  </si>
  <si>
    <t xml:space="preserve">FATIMA HERNANDEZ </t>
  </si>
  <si>
    <t xml:space="preserve">MIGUEL RODRIGUEZ </t>
  </si>
  <si>
    <t>MIGUEL RODRIGUEZ</t>
  </si>
  <si>
    <t>FATIMA HERNANDEZ</t>
  </si>
  <si>
    <t xml:space="preserve">RAMON MORENO ESQUIVEL </t>
  </si>
  <si>
    <t>RAMON TALA</t>
  </si>
  <si>
    <t>VERONICA CHAVEZ</t>
  </si>
  <si>
    <t>RAMON MORENO ESQUIVEL</t>
  </si>
  <si>
    <t>DANIELA MURILLO DE ANDA</t>
  </si>
  <si>
    <t>DANIELA MURILLO</t>
  </si>
  <si>
    <t>RAMON TALA (P)</t>
  </si>
  <si>
    <t>VERONICA CHAVEZ (P)</t>
  </si>
  <si>
    <t>DANIELA MURILLO (P)</t>
  </si>
  <si>
    <t>MICHELLE ANSELXO</t>
  </si>
  <si>
    <t>JOSE NAVARRO</t>
  </si>
  <si>
    <t>JORGE ORTEGA</t>
  </si>
  <si>
    <t>DANIELA JAUREGUI</t>
  </si>
  <si>
    <t>ABRIL LOPEZ</t>
  </si>
  <si>
    <t>ANDREA ESQUEDA</t>
  </si>
  <si>
    <t>JANETH CORONA</t>
  </si>
  <si>
    <t>IRVING ARAUJO</t>
  </si>
  <si>
    <t>GUIDO MURILLO</t>
  </si>
  <si>
    <t>JORGE GARCIA ESTRADA</t>
  </si>
  <si>
    <t>JORGE GARCIA</t>
  </si>
  <si>
    <t>COSTO POR REGISTRO</t>
  </si>
  <si>
    <t>ANTONIO ORTEGA</t>
  </si>
  <si>
    <t>ARNULFO MACIAS</t>
  </si>
  <si>
    <t>JUAN ESTRADA</t>
  </si>
  <si>
    <t>VERONICA CHAVEZ ACOSTA</t>
  </si>
  <si>
    <t>ALEXA MICHELLE ANZALDO MEZA</t>
  </si>
  <si>
    <t>ALEXA ANZALDO</t>
  </si>
  <si>
    <t>JOSE ALFONSO NAVARRO CUEVAS</t>
  </si>
  <si>
    <t>JOSE ANTONIO ORTEGA HARO</t>
  </si>
  <si>
    <t>JORGE ARTURO ORTEGA HARO</t>
  </si>
  <si>
    <t>DANIELA MONSERRAT JÁUREGUI NEAVE</t>
  </si>
  <si>
    <t>MARTHA PATRICIA LOPEZ JIMENEZ</t>
  </si>
  <si>
    <t>MARTHA LOPEZ</t>
  </si>
  <si>
    <t>ANDREA PRISCILIA ESQUEDA ALANIZ</t>
  </si>
  <si>
    <t>JANETH CORONA AGUILAR</t>
  </si>
  <si>
    <t>ARNULFO ADAIR MACIAS CABRAL</t>
  </si>
  <si>
    <t>IRVING GILBERTO ARAUJO RAMIREZ</t>
  </si>
  <si>
    <t>GUIDO RENE MURILLO CORDOVA</t>
  </si>
  <si>
    <t>JUAN PABLO ESTRADA SANTIAGO</t>
  </si>
  <si>
    <t>FERNANDA ORNELAS</t>
  </si>
  <si>
    <t>RAMON TALA (C)</t>
  </si>
  <si>
    <t>FERNANDO VILLALVAZO (C)</t>
  </si>
  <si>
    <t>PEDRO MORA (C)</t>
  </si>
  <si>
    <t>EUNICE MORALES</t>
  </si>
  <si>
    <t>YANISSE TORRES</t>
  </si>
  <si>
    <t>PEDRO GUTIERREZ</t>
  </si>
  <si>
    <t>LIZBETH MORALES</t>
  </si>
  <si>
    <t>PEDRO MORA GUTIERREZ</t>
  </si>
  <si>
    <t>AJUSTES</t>
  </si>
  <si>
    <t>TS PLANTEL</t>
  </si>
  <si>
    <t>TS CREDENCIAL</t>
  </si>
  <si>
    <t>Ajustes</t>
  </si>
  <si>
    <t>Tablas de apoyo</t>
  </si>
  <si>
    <t>Alumno 1</t>
  </si>
  <si>
    <t>Alumno 2</t>
  </si>
  <si>
    <t>Alumno 3</t>
  </si>
  <si>
    <t>Alumno 4</t>
  </si>
  <si>
    <t>Alumno 5</t>
  </si>
  <si>
    <t>Alumno 6</t>
  </si>
  <si>
    <t>Alumno 7</t>
  </si>
  <si>
    <t>Alumno 8</t>
  </si>
  <si>
    <t>Alumno 9</t>
  </si>
  <si>
    <t>Alumno 10</t>
  </si>
  <si>
    <t>Alumno 11</t>
  </si>
  <si>
    <t>Alumno 12</t>
  </si>
  <si>
    <t>Alumno 13</t>
  </si>
  <si>
    <t>Alumno 14</t>
  </si>
  <si>
    <t>Alumno 15</t>
  </si>
  <si>
    <t>Alumno 16</t>
  </si>
  <si>
    <t>Alumno 17</t>
  </si>
  <si>
    <t>Alumno 18</t>
  </si>
  <si>
    <t>Alumno 19</t>
  </si>
  <si>
    <t>Alumno 20</t>
  </si>
  <si>
    <t>Alumno 21</t>
  </si>
  <si>
    <t>Alumno 22</t>
  </si>
  <si>
    <t>Alumno 23</t>
  </si>
  <si>
    <t>Alumno 24</t>
  </si>
  <si>
    <t>Alumno 25</t>
  </si>
  <si>
    <t>Alumno 26</t>
  </si>
  <si>
    <t>Alumno 27</t>
  </si>
  <si>
    <t>Alumno 28</t>
  </si>
  <si>
    <t>Alumno 29</t>
  </si>
  <si>
    <t>Alumno 30</t>
  </si>
  <si>
    <t>Alumno 31</t>
  </si>
  <si>
    <t>Alumno 32</t>
  </si>
  <si>
    <t>Alumno 33</t>
  </si>
  <si>
    <t>Alumno 34</t>
  </si>
  <si>
    <t>Alumno 35</t>
  </si>
  <si>
    <t>Alumno 36</t>
  </si>
  <si>
    <t>Alumno 37</t>
  </si>
  <si>
    <t>Alumno 38</t>
  </si>
  <si>
    <t>Alumno 39</t>
  </si>
  <si>
    <t>Alumno 40</t>
  </si>
  <si>
    <t>Alumno 41</t>
  </si>
  <si>
    <t>Alumno 42</t>
  </si>
  <si>
    <t>Alumno 43</t>
  </si>
  <si>
    <t>Alumno 44</t>
  </si>
  <si>
    <t>Alumno 45</t>
  </si>
  <si>
    <t>Alumno 46</t>
  </si>
  <si>
    <t>Alumno 47</t>
  </si>
  <si>
    <t>Alumno 48</t>
  </si>
  <si>
    <t>Grand Total</t>
  </si>
  <si>
    <t>.</t>
  </si>
  <si>
    <t>Alumno 49</t>
  </si>
  <si>
    <t>Alumno 50</t>
  </si>
  <si>
    <t>Alumno 51</t>
  </si>
  <si>
    <t>Alumno 52</t>
  </si>
  <si>
    <t>Alumno 53</t>
  </si>
  <si>
    <t>Alumno 54</t>
  </si>
  <si>
    <t>Alumno 55</t>
  </si>
  <si>
    <t>Alumno 56</t>
  </si>
  <si>
    <t>Alumno 57</t>
  </si>
  <si>
    <t>Alumno 58</t>
  </si>
  <si>
    <t>Alumno 59</t>
  </si>
  <si>
    <t>Alumno 60</t>
  </si>
  <si>
    <t>Alumno 61</t>
  </si>
  <si>
    <t>Alumno 62</t>
  </si>
  <si>
    <t>Alumno 63</t>
  </si>
  <si>
    <t>Alumno 64</t>
  </si>
  <si>
    <t>Alumno 65</t>
  </si>
  <si>
    <t>Alumno 66</t>
  </si>
  <si>
    <t>Alumno 67</t>
  </si>
  <si>
    <t>Alumno 68</t>
  </si>
  <si>
    <t>Alumno 69</t>
  </si>
  <si>
    <t>Alumno 70</t>
  </si>
  <si>
    <t>Alumno 71</t>
  </si>
  <si>
    <t>Alumno 72</t>
  </si>
  <si>
    <t>Alumno 73</t>
  </si>
  <si>
    <t>Alumno 74</t>
  </si>
  <si>
    <t>Alumno 75</t>
  </si>
  <si>
    <t>Alumno 76</t>
  </si>
  <si>
    <t>Alumno 77</t>
  </si>
  <si>
    <t>Alumno 78</t>
  </si>
  <si>
    <t>Alumno 79</t>
  </si>
  <si>
    <t>Alumno 80</t>
  </si>
  <si>
    <t>Alumno 81</t>
  </si>
  <si>
    <t>Alumno 82</t>
  </si>
  <si>
    <t>Alumno 83</t>
  </si>
  <si>
    <t>Alumno 84</t>
  </si>
  <si>
    <t>Alumno 85</t>
  </si>
  <si>
    <t>Alumno 86</t>
  </si>
  <si>
    <t>Alumno 87</t>
  </si>
  <si>
    <t>Alumno 88</t>
  </si>
  <si>
    <t>Alumno 89</t>
  </si>
  <si>
    <t>Alumno 90</t>
  </si>
  <si>
    <t>Alumno 91</t>
  </si>
  <si>
    <t>Alumno 92</t>
  </si>
  <si>
    <t>Alumno 93</t>
  </si>
  <si>
    <t>Alumno 94</t>
  </si>
  <si>
    <t>Alumno 95</t>
  </si>
  <si>
    <t>Alumno 96</t>
  </si>
  <si>
    <t>Alumno 97</t>
  </si>
  <si>
    <t>Ventas por Coordinacion</t>
  </si>
  <si>
    <t>Ventas de Coordiacion por Plantel</t>
  </si>
  <si>
    <t>Ventas Por Plantel</t>
  </si>
  <si>
    <t>Ventas por Curso</t>
  </si>
  <si>
    <t>TECNOLOGIA EN ACCION SC</t>
  </si>
  <si>
    <t>CENTRO EDUCATIVO Y MEDIOS ACADEMICOS SC</t>
  </si>
  <si>
    <t>EDUCACION ACADEMICA Y VANGUARDISTA SC</t>
  </si>
  <si>
    <t>VANGUARDIA EN EDUCACION E INFORMATICA SC</t>
  </si>
  <si>
    <t>CENTRO DE EDUCACION DE CALIDAD TOTAL SC</t>
  </si>
  <si>
    <t>CENTRO TECNOLOGICO Y LENGUAS EXTRANJERAS</t>
  </si>
  <si>
    <t>Razones Sociales</t>
  </si>
  <si>
    <t>Cursos</t>
  </si>
  <si>
    <t>INGLES</t>
  </si>
  <si>
    <t>UNIVERSIDAD</t>
  </si>
  <si>
    <t>SECUNDARIA</t>
  </si>
  <si>
    <t>COLBACH</t>
  </si>
  <si>
    <t>ENF AUX</t>
  </si>
  <si>
    <t>EXCEL</t>
  </si>
  <si>
    <t>EXU</t>
  </si>
  <si>
    <t>PREPA</t>
  </si>
  <si>
    <t>EXU LINEA</t>
  </si>
  <si>
    <t>MARKETING</t>
  </si>
  <si>
    <t>INICIO</t>
  </si>
  <si>
    <t>INGLES AVANZADO</t>
  </si>
  <si>
    <t>CURSOS</t>
  </si>
  <si>
    <t>Ventas por Promotor</t>
  </si>
  <si>
    <t>Resultados</t>
  </si>
  <si>
    <t>Ventas por Plantel</t>
  </si>
  <si>
    <t>Ventas por Plantel por Curso</t>
  </si>
  <si>
    <t>Ventas de Cursos por Plantel</t>
  </si>
  <si>
    <t>Row Labels</t>
  </si>
  <si>
    <t>Filtrar Planteles</t>
  </si>
  <si>
    <t>Filtrar Cursos</t>
  </si>
  <si>
    <t>Filtrar Promotores</t>
  </si>
  <si>
    <t>Filtrar Coordinadores</t>
  </si>
  <si>
    <t>Ventas de Coordinacion por Plantel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</si>
</sst>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.00_-;\-&quot;$&quot;* #,##0.00_-;_-&quot;$&quot;* &quot;-&quot;??_-;_-@"/>
    <numFmt numFmtId="167" formatCode="_-[$$-80A]* #,##0.00_-;\-[$$-80A]* #,##0.00_-;_-[$$-80A]* &quot;-&quot;??_-;_-@"/>
    <numFmt numFmtId="168" formatCode="[$-1540A]dd\-mmm\-yy"/>
    <numFmt numFmtId="169" formatCode="[$-F800]dddd\,\ mmmm\ dd\,\ yyyy"/>
    <numFmt numFmtId="170" formatCode="[$]dddd\,\ d\ mmmm\ yyyy;@" x16r2:formatCode16="[$-en-MX,1]dddd\,\ d\ mmmm\ yyyy;@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thick">
        <color theme="4" tint="0.499984740745262"/>
      </bottom>
      <diagonal/>
    </border>
  </borders>
  <cellStyleXfs count="4">
    <xf numFmtId="0" fontId="0" fillId="0" borderId="0"/>
    <xf numFmtId="165" fontId="2" fillId="0" borderId="0" applyFont="0" applyFill="0" applyBorder="0" applyAlignment="0" applyProtection="0"/>
    <xf numFmtId="0" fontId="8" fillId="0" borderId="4" applyNumberFormat="0" applyFill="0" applyAlignment="0" applyProtection="0"/>
    <xf numFmtId="0" fontId="17" fillId="0" borderId="6" applyNumberFormat="0" applyFill="0" applyAlignment="0" applyProtection="0"/>
  </cellStyleXfs>
  <cellXfs count="139">
    <xf numFmtId="0" fontId="0" fillId="0" borderId="0" xfId="0"/>
    <xf numFmtId="0" fontId="3" fillId="0" borderId="0" xfId="0" applyFont="1"/>
    <xf numFmtId="165" fontId="3" fillId="0" borderId="0" xfId="1" applyFont="1" applyFill="1" applyBorder="1"/>
    <xf numFmtId="165" fontId="4" fillId="0" borderId="0" xfId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65" fontId="3" fillId="0" borderId="0" xfId="1" applyFont="1" applyFill="1" applyBorder="1" applyAlignment="1"/>
    <xf numFmtId="0" fontId="4" fillId="0" borderId="0" xfId="0" applyFont="1"/>
    <xf numFmtId="0" fontId="4" fillId="0" borderId="0" xfId="0" applyFont="1" applyAlignment="1">
      <alignment vertical="center"/>
    </xf>
    <xf numFmtId="165" fontId="4" fillId="0" borderId="0" xfId="1" applyFont="1" applyFill="1" applyBorder="1" applyAlignment="1"/>
    <xf numFmtId="165" fontId="4" fillId="0" borderId="0" xfId="1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3" fillId="0" borderId="0" xfId="0" applyFont="1" applyAlignment="1">
      <alignment vertical="center" wrapText="1"/>
    </xf>
    <xf numFmtId="164" fontId="3" fillId="0" borderId="0" xfId="0" applyNumberFormat="1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vertical="center"/>
    </xf>
    <xf numFmtId="0" fontId="5" fillId="0" borderId="0" xfId="0" applyFont="1" applyAlignment="1">
      <alignment wrapText="1"/>
    </xf>
    <xf numFmtId="166" fontId="5" fillId="0" borderId="0" xfId="0" applyNumberFormat="1" applyFont="1"/>
    <xf numFmtId="166" fontId="5" fillId="0" borderId="0" xfId="0" applyNumberFormat="1" applyFont="1" applyAlignment="1">
      <alignment vertical="center"/>
    </xf>
    <xf numFmtId="168" fontId="5" fillId="0" borderId="0" xfId="0" applyNumberFormat="1" applyFont="1"/>
    <xf numFmtId="0" fontId="6" fillId="0" borderId="0" xfId="0" applyFont="1" applyAlignment="1">
      <alignment horizontal="right"/>
    </xf>
    <xf numFmtId="166" fontId="6" fillId="0" borderId="0" xfId="0" applyNumberFormat="1" applyFont="1" applyAlignment="1">
      <alignment vertical="center"/>
    </xf>
    <xf numFmtId="0" fontId="6" fillId="0" borderId="0" xfId="0" applyFont="1" applyAlignment="1">
      <alignment horizontal="right" vertical="center"/>
    </xf>
    <xf numFmtId="16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/>
    <xf numFmtId="0" fontId="6" fillId="0" borderId="2" xfId="0" applyFont="1" applyBorder="1" applyAlignment="1">
      <alignment horizontal="right"/>
    </xf>
    <xf numFmtId="0" fontId="5" fillId="0" borderId="2" xfId="0" applyFont="1" applyBorder="1"/>
    <xf numFmtId="0" fontId="5" fillId="0" borderId="0" xfId="0" applyFont="1" applyAlignment="1">
      <alignment horizontal="right"/>
    </xf>
    <xf numFmtId="166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2" xfId="0" applyFont="1" applyBorder="1" applyAlignment="1">
      <alignment horizontal="center"/>
    </xf>
    <xf numFmtId="44" fontId="6" fillId="0" borderId="0" xfId="0" applyNumberFormat="1" applyFont="1" applyAlignment="1">
      <alignment vertical="center"/>
    </xf>
    <xf numFmtId="44" fontId="6" fillId="0" borderId="0" xfId="0" applyNumberFormat="1" applyFont="1" applyAlignment="1">
      <alignment horizontal="center" vertical="center"/>
    </xf>
    <xf numFmtId="165" fontId="0" fillId="0" borderId="0" xfId="1" applyFont="1"/>
    <xf numFmtId="0" fontId="5" fillId="0" borderId="0" xfId="0" applyFont="1" applyAlignment="1">
      <alignment horizontal="right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3" xfId="0" applyFont="1" applyBorder="1" applyAlignment="1">
      <alignment horizontal="right"/>
    </xf>
    <xf numFmtId="44" fontId="6" fillId="0" borderId="2" xfId="1" applyNumberFormat="1" applyFont="1" applyBorder="1" applyAlignment="1">
      <alignment horizontal="center" vertical="center"/>
    </xf>
    <xf numFmtId="164" fontId="6" fillId="0" borderId="2" xfId="0" applyNumberFormat="1" applyFont="1" applyBorder="1" applyAlignment="1">
      <alignment vertical="center"/>
    </xf>
    <xf numFmtId="167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vertical="center"/>
    </xf>
    <xf numFmtId="166" fontId="10" fillId="0" borderId="0" xfId="0" applyNumberFormat="1" applyFont="1" applyAlignment="1">
      <alignment horizontal="center" vertical="center"/>
    </xf>
    <xf numFmtId="0" fontId="8" fillId="0" borderId="4" xfId="2"/>
    <xf numFmtId="0" fontId="8" fillId="0" borderId="4" xfId="2" applyAlignment="1">
      <alignment horizontal="center"/>
    </xf>
    <xf numFmtId="0" fontId="8" fillId="0" borderId="0" xfId="2" applyBorder="1"/>
    <xf numFmtId="164" fontId="4" fillId="0" borderId="0" xfId="0" applyNumberFormat="1" applyFont="1" applyAlignment="1">
      <alignment vertical="center"/>
    </xf>
    <xf numFmtId="0" fontId="3" fillId="0" borderId="0" xfId="0" applyFont="1" applyAlignment="1">
      <alignment horizontal="center"/>
    </xf>
    <xf numFmtId="0" fontId="8" fillId="0" borderId="4" xfId="2" applyAlignment="1">
      <alignment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165" fontId="5" fillId="0" borderId="0" xfId="1" applyFont="1" applyAlignment="1">
      <alignment horizontal="center"/>
    </xf>
    <xf numFmtId="44" fontId="6" fillId="0" borderId="0" xfId="1" applyNumberFormat="1" applyFont="1" applyAlignment="1">
      <alignment vertical="center"/>
    </xf>
    <xf numFmtId="165" fontId="3" fillId="0" borderId="0" xfId="1" applyFont="1"/>
    <xf numFmtId="0" fontId="11" fillId="0" borderId="0" xfId="2" applyFont="1" applyBorder="1"/>
    <xf numFmtId="0" fontId="11" fillId="0" borderId="0" xfId="2" applyFont="1" applyBorder="1" applyAlignment="1">
      <alignment horizontal="center"/>
    </xf>
    <xf numFmtId="165" fontId="5" fillId="0" borderId="2" xfId="1" applyFont="1" applyBorder="1" applyAlignment="1">
      <alignment horizontal="center" vertical="center"/>
    </xf>
    <xf numFmtId="44" fontId="6" fillId="0" borderId="2" xfId="0" applyNumberFormat="1" applyFont="1" applyBorder="1" applyAlignment="1">
      <alignment horizontal="center" vertical="center"/>
    </xf>
    <xf numFmtId="44" fontId="6" fillId="0" borderId="2" xfId="1" applyNumberFormat="1" applyFont="1" applyBorder="1" applyAlignment="1" applyProtection="1">
      <alignment horizontal="center" vertical="center"/>
    </xf>
    <xf numFmtId="44" fontId="6" fillId="2" borderId="1" xfId="1" applyNumberFormat="1" applyFont="1" applyFill="1" applyBorder="1" applyAlignment="1" applyProtection="1">
      <alignment horizontal="center" vertical="center"/>
    </xf>
    <xf numFmtId="0" fontId="6" fillId="0" borderId="2" xfId="0" applyFont="1" applyBorder="1" applyAlignment="1">
      <alignment horizontal="center"/>
    </xf>
    <xf numFmtId="0" fontId="5" fillId="0" borderId="3" xfId="0" applyFont="1" applyBorder="1" applyAlignment="1" applyProtection="1">
      <alignment vertical="center"/>
      <protection locked="0"/>
    </xf>
    <xf numFmtId="165" fontId="5" fillId="0" borderId="2" xfId="1" applyFont="1" applyBorder="1" applyProtection="1"/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166" fontId="6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Alignment="1">
      <alignment horizontal="right" wrapText="1"/>
    </xf>
    <xf numFmtId="49" fontId="5" fillId="0" borderId="0" xfId="0" applyNumberFormat="1" applyFont="1" applyAlignment="1">
      <alignment vertical="center"/>
    </xf>
    <xf numFmtId="0" fontId="6" fillId="0" borderId="3" xfId="0" applyFont="1" applyBorder="1" applyAlignment="1">
      <alignment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/>
    </xf>
    <xf numFmtId="0" fontId="6" fillId="0" borderId="2" xfId="0" applyFont="1" applyBorder="1" applyAlignment="1">
      <alignment horizontal="center" wrapText="1"/>
    </xf>
    <xf numFmtId="165" fontId="5" fillId="0" borderId="2" xfId="1" applyFont="1" applyBorder="1" applyAlignment="1" applyProtection="1">
      <alignment wrapText="1"/>
    </xf>
    <xf numFmtId="0" fontId="5" fillId="0" borderId="0" xfId="0" applyFont="1" applyAlignment="1">
      <alignment horizontal="center" vertical="center" wrapText="1"/>
    </xf>
    <xf numFmtId="0" fontId="5" fillId="3" borderId="0" xfId="0" applyFont="1" applyFill="1"/>
    <xf numFmtId="0" fontId="5" fillId="3" borderId="0" xfId="0" applyFont="1" applyFill="1" applyAlignment="1">
      <alignment wrapText="1"/>
    </xf>
    <xf numFmtId="0" fontId="5" fillId="4" borderId="0" xfId="0" applyFont="1" applyFill="1"/>
    <xf numFmtId="49" fontId="0" fillId="0" borderId="0" xfId="0" applyNumberFormat="1" applyAlignment="1">
      <alignment horizontal="left"/>
    </xf>
    <xf numFmtId="169" fontId="5" fillId="0" borderId="3" xfId="0" applyNumberFormat="1" applyFont="1" applyBorder="1"/>
    <xf numFmtId="169" fontId="5" fillId="0" borderId="3" xfId="0" applyNumberFormat="1" applyFont="1" applyBorder="1" applyAlignment="1" applyProtection="1">
      <alignment vertical="center"/>
      <protection locked="0"/>
    </xf>
    <xf numFmtId="169" fontId="5" fillId="0" borderId="3" xfId="0" applyNumberFormat="1" applyFont="1" applyBorder="1" applyAlignment="1">
      <alignment vertical="center"/>
    </xf>
    <xf numFmtId="170" fontId="5" fillId="0" borderId="3" xfId="0" applyNumberFormat="1" applyFont="1" applyBorder="1" applyProtection="1">
      <protection locked="0"/>
    </xf>
    <xf numFmtId="170" fontId="5" fillId="0" borderId="3" xfId="0" applyNumberFormat="1" applyFont="1" applyBorder="1" applyAlignment="1" applyProtection="1">
      <alignment vertical="center"/>
      <protection locked="0"/>
    </xf>
    <xf numFmtId="170" fontId="5" fillId="0" borderId="3" xfId="0" applyNumberFormat="1" applyFont="1" applyBorder="1" applyAlignment="1">
      <alignment vertical="center"/>
    </xf>
    <xf numFmtId="170" fontId="5" fillId="0" borderId="0" xfId="0" applyNumberFormat="1" applyFont="1" applyAlignment="1">
      <alignment horizontal="center" vertical="center"/>
    </xf>
    <xf numFmtId="170" fontId="5" fillId="0" borderId="3" xfId="0" applyNumberFormat="1" applyFont="1" applyBorder="1"/>
    <xf numFmtId="170" fontId="5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66" fontId="4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0" fontId="15" fillId="0" borderId="5" xfId="0" applyFont="1" applyBorder="1"/>
    <xf numFmtId="0" fontId="16" fillId="0" borderId="0" xfId="0" applyFont="1"/>
    <xf numFmtId="166" fontId="5" fillId="0" borderId="0" xfId="0" applyNumberFormat="1" applyFont="1" applyAlignment="1" applyProtection="1">
      <alignment horizontal="center" vertical="center"/>
      <protection locked="0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6" fontId="6" fillId="0" borderId="2" xfId="0" applyNumberFormat="1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0" xfId="0" applyFont="1" applyFill="1" applyAlignment="1">
      <alignment vertical="center"/>
    </xf>
    <xf numFmtId="0" fontId="5" fillId="0" borderId="0" xfId="0" applyFont="1" applyFill="1" applyAlignment="1">
      <alignment horizontal="center"/>
    </xf>
    <xf numFmtId="167" fontId="5" fillId="0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right" vertical="center"/>
    </xf>
    <xf numFmtId="165" fontId="5" fillId="0" borderId="0" xfId="1" applyFont="1" applyFill="1" applyAlignment="1">
      <alignment horizontal="center"/>
    </xf>
    <xf numFmtId="170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65" fontId="5" fillId="0" borderId="0" xfId="0" applyNumberFormat="1" applyFont="1" applyFill="1" applyAlignment="1">
      <alignment horizontal="center"/>
    </xf>
    <xf numFmtId="166" fontId="5" fillId="0" borderId="0" xfId="0" applyNumberFormat="1" applyFont="1" applyFill="1" applyAlignment="1">
      <alignment horizontal="center"/>
    </xf>
    <xf numFmtId="170" fontId="5" fillId="0" borderId="0" xfId="0" applyNumberFormat="1" applyFont="1" applyFill="1" applyAlignment="1">
      <alignment horizontal="center"/>
    </xf>
    <xf numFmtId="0" fontId="0" fillId="0" borderId="0" xfId="0" applyNumberFormat="1"/>
    <xf numFmtId="0" fontId="18" fillId="0" borderId="4" xfId="2" applyFont="1"/>
    <xf numFmtId="0" fontId="19" fillId="0" borderId="6" xfId="3" applyFont="1"/>
    <xf numFmtId="166" fontId="5" fillId="0" borderId="0" xfId="0" applyNumberFormat="1" applyFont="1" applyAlignment="1" applyProtection="1">
      <alignment horizontal="center" vertical="center"/>
    </xf>
  </cellXfs>
  <cellStyles count="4">
    <cellStyle name="Currency" xfId="1" builtinId="4"/>
    <cellStyle name="Heading 1" xfId="2" builtinId="16"/>
    <cellStyle name="Heading 2" xfId="3" builtinId="17"/>
    <cellStyle name="Normal" xfId="0" builtinId="0"/>
  </cellStyles>
  <dxfs count="8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[$-F800]dddd\,\ mmmm\ dd\,\ 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family val="2"/>
      </font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ck">
          <color theme="4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CC99FF"/>
      <color rgb="FFCCCCFF"/>
      <color rgb="FFDA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[autoNominasRP-2013-v0.8.0.xlsm]Resultados!Ventas por Coordinacion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Coordinacion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Resultados!$B$4:$B$5</c:f>
              <c:strCache>
                <c:ptCount val="1"/>
                <c:pt idx="0">
                  <c:v>ISAAC GARCIA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89F-7548-ABBA-1AED5ED1B55F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89F-7548-ABBA-1AED5ED1B5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Resultados!$B$6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9F-7548-ABBA-1AED5ED1B55F}"/>
            </c:ext>
          </c:extLst>
        </c:ser>
        <c:ser>
          <c:idx val="1"/>
          <c:order val="1"/>
          <c:tx>
            <c:strRef>
              <c:f>Resultados!$C$4:$C$5</c:f>
              <c:strCache>
                <c:ptCount val="1"/>
                <c:pt idx="0">
                  <c:v>JOSUE ALVAREZ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Resultados!$C$6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BB0-F147-93CE-F3603A05091D}"/>
            </c:ext>
          </c:extLst>
        </c:ser>
        <c:ser>
          <c:idx val="2"/>
          <c:order val="2"/>
          <c:tx>
            <c:strRef>
              <c:f>Resultados!$D$4:$D$5</c:f>
              <c:strCache>
                <c:ptCount val="1"/>
                <c:pt idx="0">
                  <c:v>MICHELLE APARICIO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Resultados!$D$6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BB0-F147-93CE-F3603A05091D}"/>
            </c:ext>
          </c:extLst>
        </c:ser>
        <c:ser>
          <c:idx val="3"/>
          <c:order val="3"/>
          <c:tx>
            <c:strRef>
              <c:f>Resultados!$E$4:$E$5</c:f>
              <c:strCache>
                <c:ptCount val="1"/>
                <c:pt idx="0">
                  <c:v>YANELY HERNADEZ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Resultados!$E$6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BB0-F147-93CE-F3603A050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488400"/>
        <c:axId val="1234490112"/>
      </c:barChart>
      <c:catAx>
        <c:axId val="1234488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4490112"/>
        <c:crosses val="autoZero"/>
        <c:auto val="1"/>
        <c:lblAlgn val="ctr"/>
        <c:lblOffset val="100"/>
        <c:noMultiLvlLbl val="0"/>
      </c:catAx>
      <c:valAx>
        <c:axId val="12344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48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[autoNominasRP-2013-v0.8.0.xlsm]Resultados!Ventas de Coordinacion por Plantel</c:name>
    <c:fmtId val="0"/>
  </c:pivotSource>
  <c:chart>
    <c:title>
      <c:tx>
        <c:strRef>
          <c:f>Resultados!$A$58</c:f>
          <c:strCache>
            <c:ptCount val="1"/>
            <c:pt idx="0">
              <c:v>Ventas de Coordiacion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</c:pivotFmt>
      <c:pivotFmt>
        <c:idx val="19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</c:pivotFmt>
      <c:pivotFmt>
        <c:idx val="20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21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25"/>
        <c:spPr>
          <a:solidFill>
            <a:schemeClr val="accent6">
              <a:lumMod val="80000"/>
            </a:schemeClr>
          </a:solidFill>
          <a:ln>
            <a:noFill/>
          </a:ln>
          <a:effectLst/>
        </c:spPr>
      </c:pivotFmt>
      <c:pivotFmt>
        <c:idx val="26"/>
        <c:spPr>
          <a:solidFill>
            <a:schemeClr val="accent5">
              <a:lumMod val="80000"/>
            </a:schemeClr>
          </a:solidFill>
          <a:ln>
            <a:noFill/>
          </a:ln>
          <a:effectLst/>
        </c:spPr>
      </c:pivotFmt>
      <c:pivotFmt>
        <c:idx val="27"/>
        <c:spPr>
          <a:solidFill>
            <a:schemeClr val="accent4">
              <a:lumMod val="8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Resultados!$A$58</c:f>
              <c:strCache>
                <c:ptCount val="1"/>
                <c:pt idx="0">
                  <c:v>AWL TLAQUEPAQUE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0-9A4A-8F69-9895659707B9}"/>
            </c:ext>
          </c:extLst>
        </c:ser>
        <c:ser>
          <c:idx val="1"/>
          <c:order val="1"/>
          <c:tx>
            <c:strRef>
              <c:f>Resultados!$A$58</c:f>
              <c:strCache>
                <c:ptCount val="1"/>
                <c:pt idx="0">
                  <c:v>AWL TONALA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50-9A4A-8F69-9895659707B9}"/>
            </c:ext>
          </c:extLst>
        </c:ser>
        <c:ser>
          <c:idx val="2"/>
          <c:order val="2"/>
          <c:tx>
            <c:strRef>
              <c:f>Resultados!$A$58</c:f>
              <c:strCache>
                <c:ptCount val="1"/>
                <c:pt idx="0">
                  <c:v>INDEPENDENCIA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10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50-9A4A-8F69-9895659707B9}"/>
            </c:ext>
          </c:extLst>
        </c:ser>
        <c:ser>
          <c:idx val="3"/>
          <c:order val="3"/>
          <c:tx>
            <c:strRef>
              <c:f>Resultados!$A$58</c:f>
              <c:strCache>
                <c:ptCount val="1"/>
                <c:pt idx="0">
                  <c:v>OBLATOS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50-9A4A-8F69-9895659707B9}"/>
            </c:ext>
          </c:extLst>
        </c:ser>
        <c:ser>
          <c:idx val="4"/>
          <c:order val="4"/>
          <c:tx>
            <c:strRef>
              <c:f>Resultados!$A$58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650-9A4A-8F69-9895659707B9}"/>
            </c:ext>
          </c:extLst>
        </c:ser>
        <c:ser>
          <c:idx val="5"/>
          <c:order val="5"/>
          <c:tx>
            <c:strRef>
              <c:f>Resultados!$A$58</c:f>
              <c:strCache>
                <c:ptCount val="1"/>
                <c:pt idx="0">
                  <c:v>TRANSITO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0</c:v>
                </c:pt>
                <c:pt idx="1">
                  <c:v>9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650-9A4A-8F69-9895659707B9}"/>
            </c:ext>
          </c:extLst>
        </c:ser>
        <c:ser>
          <c:idx val="6"/>
          <c:order val="6"/>
          <c:tx>
            <c:strRef>
              <c:f>Resultados!$A$58</c:f>
              <c:strCache>
                <c:ptCount val="1"/>
                <c:pt idx="0">
                  <c:v>UDN TLAQUEPAQUE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0</c:v>
                </c:pt>
                <c:pt idx="1">
                  <c:v>8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650-9A4A-8F69-9895659707B9}"/>
            </c:ext>
          </c:extLst>
        </c:ser>
        <c:ser>
          <c:idx val="7"/>
          <c:order val="7"/>
          <c:tx>
            <c:strRef>
              <c:f>Resultados!$A$58</c:f>
              <c:strCache>
                <c:ptCount val="1"/>
                <c:pt idx="0">
                  <c:v>UDN TONALA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650-9A4A-8F69-9895659707B9}"/>
            </c:ext>
          </c:extLst>
        </c:ser>
        <c:ser>
          <c:idx val="8"/>
          <c:order val="8"/>
          <c:tx>
            <c:strRef>
              <c:f>Resultados!$A$58</c:f>
              <c:strCache>
                <c:ptCount val="1"/>
                <c:pt idx="0">
                  <c:v>UI 16 DE SEPTIEMBRE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650-9A4A-8F69-9895659707B9}"/>
            </c:ext>
          </c:extLst>
        </c:ser>
        <c:ser>
          <c:idx val="9"/>
          <c:order val="9"/>
          <c:tx>
            <c:strRef>
              <c:f>Resultados!$A$58</c:f>
              <c:strCache>
                <c:ptCount val="1"/>
                <c:pt idx="0">
                  <c:v>UI MARIANO OTERO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650-9A4A-8F69-9895659707B9}"/>
            </c:ext>
          </c:extLst>
        </c:ser>
        <c:ser>
          <c:idx val="10"/>
          <c:order val="10"/>
          <c:tx>
            <c:strRef>
              <c:f>Resultados!$A$58</c:f>
              <c:strCache>
                <c:ptCount val="1"/>
                <c:pt idx="0">
                  <c:v>UI PARIAN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650-9A4A-8F69-9895659707B9}"/>
            </c:ext>
          </c:extLst>
        </c:ser>
        <c:ser>
          <c:idx val="11"/>
          <c:order val="11"/>
          <c:tx>
            <c:strRef>
              <c:f>Resultados!$A$58</c:f>
              <c:strCache>
                <c:ptCount val="1"/>
                <c:pt idx="0">
                  <c:v>VIRTUAL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Resultados!$A$58</c:f>
              <c:strCache>
                <c:ptCount val="4"/>
                <c:pt idx="0">
                  <c:v>ISAAC GARCIA</c:v>
                </c:pt>
                <c:pt idx="1">
                  <c:v>JOSUE ALVAREZ</c:v>
                </c:pt>
                <c:pt idx="2">
                  <c:v>MICHELLE APARICIO</c:v>
                </c:pt>
                <c:pt idx="3">
                  <c:v>YANELY HERNADEZ</c:v>
                </c:pt>
              </c:strCache>
            </c:strRef>
          </c:cat>
          <c:val>
            <c:numRef>
              <c:f>Resultados!$A$58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650-9A4A-8F69-989565970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821776"/>
        <c:axId val="1234805568"/>
      </c:barChart>
      <c:catAx>
        <c:axId val="123482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05568"/>
        <c:crosses val="autoZero"/>
        <c:auto val="1"/>
        <c:lblAlgn val="ctr"/>
        <c:lblOffset val="100"/>
        <c:noMultiLvlLbl val="0"/>
      </c:catAx>
      <c:valAx>
        <c:axId val="12348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2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[autoNominasRP-2013-v0.8.0.xlsm]Resultados!Ventas por Plante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Plantel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Resultados!$C$14:$C$15</c:f>
              <c:strCache>
                <c:ptCount val="1"/>
                <c:pt idx="0">
                  <c:v>AWL TONALA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BF1-3C47-9BED-CEF97821343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F1-3C47-9BED-CEF978213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Resultados!$C$16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6A-8245-9F61-D38A30D11A1F}"/>
            </c:ext>
          </c:extLst>
        </c:ser>
        <c:ser>
          <c:idx val="2"/>
          <c:order val="2"/>
          <c:tx>
            <c:strRef>
              <c:f>Resultados!$D$14:$D$15</c:f>
              <c:strCache>
                <c:ptCount val="1"/>
                <c:pt idx="0">
                  <c:v>INDEPENDENCIA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BF1-3C47-9BED-CEF978213433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BF1-3C47-9BED-CEF978213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Resultados!$D$16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6A-8245-9F61-D38A30D11A1F}"/>
            </c:ext>
          </c:extLst>
        </c:ser>
        <c:ser>
          <c:idx val="3"/>
          <c:order val="3"/>
          <c:tx>
            <c:strRef>
              <c:f>Resultados!$E$14:$E$15</c:f>
              <c:strCache>
                <c:ptCount val="1"/>
                <c:pt idx="0">
                  <c:v>OBLATOS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BF1-3C47-9BED-CEF97821343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F1-3C47-9BED-CEF978213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Resultados!$E$16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6A-8245-9F61-D38A30D11A1F}"/>
            </c:ext>
          </c:extLst>
        </c:ser>
        <c:ser>
          <c:idx val="4"/>
          <c:order val="4"/>
          <c:tx>
            <c:strRef>
              <c:f>Resultados!$F$14:$F$15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BF1-3C47-9BED-CEF97821343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BF1-3C47-9BED-CEF978213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Resultados!$F$16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6A-8245-9F61-D38A30D11A1F}"/>
            </c:ext>
          </c:extLst>
        </c:ser>
        <c:ser>
          <c:idx val="5"/>
          <c:order val="5"/>
          <c:tx>
            <c:strRef>
              <c:f>Resultados!$G$14:$G$15</c:f>
              <c:strCache>
                <c:ptCount val="1"/>
                <c:pt idx="0">
                  <c:v>TRANSITO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BF1-3C47-9BED-CEF97821343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F1-3C47-9BED-CEF978213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Resultados!$G$16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6A-8245-9F61-D38A30D11A1F}"/>
            </c:ext>
          </c:extLst>
        </c:ser>
        <c:ser>
          <c:idx val="6"/>
          <c:order val="6"/>
          <c:tx>
            <c:strRef>
              <c:f>Resultados!$H$14:$H$15</c:f>
              <c:strCache>
                <c:ptCount val="1"/>
                <c:pt idx="0">
                  <c:v>UDN TLAQUEPAQUE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Resultados!$H$16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6A-8245-9F61-D38A30D11A1F}"/>
            </c:ext>
          </c:extLst>
        </c:ser>
        <c:ser>
          <c:idx val="7"/>
          <c:order val="7"/>
          <c:tx>
            <c:strRef>
              <c:f>Resultados!$I$14:$I$15</c:f>
              <c:strCache>
                <c:ptCount val="1"/>
                <c:pt idx="0">
                  <c:v>UDN TONALA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BF1-3C47-9BED-CEF97821343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F1-3C47-9BED-CEF978213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Resultados!$I$16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6A-8245-9F61-D38A30D11A1F}"/>
            </c:ext>
          </c:extLst>
        </c:ser>
        <c:ser>
          <c:idx val="8"/>
          <c:order val="8"/>
          <c:tx>
            <c:strRef>
              <c:f>Resultados!$J$14:$J$15</c:f>
              <c:strCache>
                <c:ptCount val="1"/>
                <c:pt idx="0">
                  <c:v>UI 16 DE SEPTIEMBRE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BF1-3C47-9BED-CEF97821343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BF1-3C47-9BED-CEF978213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Resultados!$J$16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6A-8245-9F61-D38A30D11A1F}"/>
            </c:ext>
          </c:extLst>
        </c:ser>
        <c:ser>
          <c:idx val="9"/>
          <c:order val="9"/>
          <c:tx>
            <c:strRef>
              <c:f>Resultados!$K$14:$K$15</c:f>
              <c:strCache>
                <c:ptCount val="1"/>
                <c:pt idx="0">
                  <c:v>UI MARIANO OTERO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BF1-3C47-9BED-CEF97821343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BF1-3C47-9BED-CEF978213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Resultados!$K$16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6A-8245-9F61-D38A30D11A1F}"/>
            </c:ext>
          </c:extLst>
        </c:ser>
        <c:ser>
          <c:idx val="10"/>
          <c:order val="10"/>
          <c:tx>
            <c:strRef>
              <c:f>Resultados!$L$14:$L$15</c:f>
              <c:strCache>
                <c:ptCount val="1"/>
                <c:pt idx="0">
                  <c:v>UI PARIAN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BF1-3C47-9BED-CEF97821343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BF1-3C47-9BED-CEF978213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Resultados!$L$16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A-8245-9F61-D38A30D11A1F}"/>
            </c:ext>
          </c:extLst>
        </c:ser>
        <c:ser>
          <c:idx val="11"/>
          <c:order val="11"/>
          <c:tx>
            <c:strRef>
              <c:f>Resultados!$M$14:$M$15</c:f>
              <c:strCache>
                <c:ptCount val="1"/>
                <c:pt idx="0">
                  <c:v>VIRTUAL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BF1-3C47-9BED-CEF97821343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BF1-3C47-9BED-CEF978213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Resultados!$M$16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A-8245-9F61-D38A30D11A1F}"/>
            </c:ext>
          </c:extLst>
        </c:ser>
        <c:ser>
          <c:idx val="0"/>
          <c:order val="0"/>
          <c:tx>
            <c:strRef>
              <c:f>Resultados!$B$14:$B$15</c:f>
              <c:strCache>
                <c:ptCount val="1"/>
                <c:pt idx="0">
                  <c:v>AWL TLAQUEPAQUE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6113-8642-BF50-6F34DD538634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113-8642-BF50-6F34DD5386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E-EA4A-B82E-70AFE99D6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0484080"/>
        <c:axId val="1590485792"/>
      </c:barChart>
      <c:valAx>
        <c:axId val="15904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Ventas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4080"/>
        <c:crosses val="autoZero"/>
        <c:crossBetween val="between"/>
      </c:valAx>
      <c:catAx>
        <c:axId val="1590484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5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[autoNominasRP-2013-v0.8.0.xlsm]Resultados!Ventas por Curso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Curso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Resultados!$B$19:$B$20</c:f>
              <c:strCache>
                <c:ptCount val="1"/>
                <c:pt idx="0">
                  <c:v>INGLES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DD6E-A44C-BF9C-EFF288FDEE9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6E-A44C-BF9C-EFF288FDE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Resultados!$B$21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E-A44C-BF9C-EFF288FDEE90}"/>
            </c:ext>
          </c:extLst>
        </c:ser>
        <c:ser>
          <c:idx val="1"/>
          <c:order val="1"/>
          <c:tx>
            <c:strRef>
              <c:f>Resultados!$C$19:$C$20</c:f>
              <c:strCache>
                <c:ptCount val="1"/>
                <c:pt idx="0">
                  <c:v>UNIVERSIDAD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DD6E-A44C-BF9C-EFF288FDEE9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6E-A44C-BF9C-EFF288FDE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Resultados!$C$21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6E-A44C-BF9C-EFF288FDEE90}"/>
            </c:ext>
          </c:extLst>
        </c:ser>
        <c:ser>
          <c:idx val="2"/>
          <c:order val="2"/>
          <c:tx>
            <c:strRef>
              <c:f>Resultados!$D$19:$D$20</c:f>
              <c:strCache>
                <c:ptCount val="1"/>
                <c:pt idx="0">
                  <c:v>SECUNDARIA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DD6E-A44C-BF9C-EFF288FDEE9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D6E-A44C-BF9C-EFF288FDE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Resultados!$D$21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6E-A44C-BF9C-EFF288FDEE90}"/>
            </c:ext>
          </c:extLst>
        </c:ser>
        <c:ser>
          <c:idx val="3"/>
          <c:order val="3"/>
          <c:tx>
            <c:strRef>
              <c:f>Resultados!$E$19:$E$20</c:f>
              <c:strCache>
                <c:ptCount val="1"/>
                <c:pt idx="0">
                  <c:v>COLBACH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DD6E-A44C-BF9C-EFF288FDEE9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6E-A44C-BF9C-EFF288FDE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Resultados!$E$21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6E-A44C-BF9C-EFF288FDEE90}"/>
            </c:ext>
          </c:extLst>
        </c:ser>
        <c:ser>
          <c:idx val="4"/>
          <c:order val="4"/>
          <c:tx>
            <c:strRef>
              <c:f>Resultados!$F$19:$F$20</c:f>
              <c:strCache>
                <c:ptCount val="1"/>
                <c:pt idx="0">
                  <c:v>ENF AUX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DD6E-A44C-BF9C-EFF288FDEE9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6E-A44C-BF9C-EFF288FDE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Resultados!$F$21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6E-A44C-BF9C-EFF288FDEE90}"/>
            </c:ext>
          </c:extLst>
        </c:ser>
        <c:ser>
          <c:idx val="5"/>
          <c:order val="5"/>
          <c:tx>
            <c:strRef>
              <c:f>Resultados!$G$19:$G$20</c:f>
              <c:strCache>
                <c:ptCount val="1"/>
                <c:pt idx="0">
                  <c:v>EXCEL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DD6E-A44C-BF9C-EFF288FDEE9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6E-A44C-BF9C-EFF288FDE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Resultados!$G$21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6E-A44C-BF9C-EFF288FDEE90}"/>
            </c:ext>
          </c:extLst>
        </c:ser>
        <c:ser>
          <c:idx val="6"/>
          <c:order val="6"/>
          <c:tx>
            <c:strRef>
              <c:f>Resultados!$H$19:$H$20</c:f>
              <c:strCache>
                <c:ptCount val="1"/>
                <c:pt idx="0">
                  <c:v>EXU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99-0244-9B4E-B1CD8BF973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Resultados!$H$21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67-294C-BC21-AE1A8A9D95C8}"/>
            </c:ext>
          </c:extLst>
        </c:ser>
        <c:ser>
          <c:idx val="7"/>
          <c:order val="7"/>
          <c:tx>
            <c:strRef>
              <c:f>Resultados!$I$19:$I$20</c:f>
              <c:strCache>
                <c:ptCount val="1"/>
                <c:pt idx="0">
                  <c:v>PREPA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99-0244-9B4E-B1CD8BF973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Resultados!$I$21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67-294C-BC21-AE1A8A9D95C8}"/>
            </c:ext>
          </c:extLst>
        </c:ser>
        <c:ser>
          <c:idx val="8"/>
          <c:order val="8"/>
          <c:tx>
            <c:strRef>
              <c:f>Resultados!$J$19:$J$20</c:f>
              <c:strCache>
                <c:ptCount val="1"/>
                <c:pt idx="0">
                  <c:v>EXU LINEA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99-0244-9B4E-B1CD8BF973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Resultados!$J$21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067-294C-BC21-AE1A8A9D95C8}"/>
            </c:ext>
          </c:extLst>
        </c:ser>
        <c:ser>
          <c:idx val="9"/>
          <c:order val="9"/>
          <c:tx>
            <c:strRef>
              <c:f>Resultados!$K$19:$K$20</c:f>
              <c:strCache>
                <c:ptCount val="1"/>
                <c:pt idx="0">
                  <c:v>INGLES AVANZADO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99-0244-9B4E-B1CD8BF973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Resultados!$K$21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067-294C-BC21-AE1A8A9D95C8}"/>
            </c:ext>
          </c:extLst>
        </c:ser>
        <c:ser>
          <c:idx val="10"/>
          <c:order val="10"/>
          <c:tx>
            <c:strRef>
              <c:f>Resultados!$L$19:$L$20</c:f>
              <c:strCache>
                <c:ptCount val="1"/>
                <c:pt idx="0">
                  <c:v>MARKETING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99-0244-9B4E-B1CD8BF973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Resultados!$L$21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067-294C-BC21-AE1A8A9D95C8}"/>
            </c:ext>
          </c:extLst>
        </c:ser>
        <c:ser>
          <c:idx val="11"/>
          <c:order val="11"/>
          <c:tx>
            <c:strRef>
              <c:f>Resultados!$M$19:$M$20</c:f>
              <c:strCache>
                <c:ptCount val="1"/>
                <c:pt idx="0">
                  <c:v>INICIO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99-0244-9B4E-B1CD8BF973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Resultados!$M$21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067-294C-BC21-AE1A8A9D9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3186064"/>
        <c:axId val="1893187776"/>
      </c:barChart>
      <c:catAx>
        <c:axId val="189318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7776"/>
        <c:crosses val="autoZero"/>
        <c:auto val="1"/>
        <c:lblAlgn val="ctr"/>
        <c:lblOffset val="100"/>
        <c:noMultiLvlLbl val="0"/>
      </c:catAx>
      <c:valAx>
        <c:axId val="18931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Ventas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[autoNominasRP-2013-v0.8.0.xlsm]Resultados!Venta de Cursos por Plantel</c:name>
    <c:fmtId val="0"/>
  </c:pivotSource>
  <c:chart>
    <c:title>
      <c:tx>
        <c:strRef>
          <c:f>Resultados!$A$41</c:f>
          <c:strCache>
            <c:ptCount val="1"/>
            <c:pt idx="0">
              <c:v>Ventas de Cursos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Resultados!$A$41</c:f>
              <c:strCache>
                <c:ptCount val="1"/>
                <c:pt idx="0">
                  <c:v>AWL TLAQUEPAQUE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7-734E-A66E-12B8F4F6B972}"/>
            </c:ext>
          </c:extLst>
        </c:ser>
        <c:ser>
          <c:idx val="1"/>
          <c:order val="1"/>
          <c:tx>
            <c:strRef>
              <c:f>Resultados!$A$41</c:f>
              <c:strCache>
                <c:ptCount val="1"/>
                <c:pt idx="0">
                  <c:v>AWL TONALA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B17-734E-A66E-12B8F4F6B972}"/>
            </c:ext>
          </c:extLst>
        </c:ser>
        <c:ser>
          <c:idx val="2"/>
          <c:order val="2"/>
          <c:tx>
            <c:strRef>
              <c:f>Resultados!$A$41</c:f>
              <c:strCache>
                <c:ptCount val="1"/>
                <c:pt idx="0">
                  <c:v>INDEPENDENCIA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B17-734E-A66E-12B8F4F6B972}"/>
            </c:ext>
          </c:extLst>
        </c:ser>
        <c:ser>
          <c:idx val="3"/>
          <c:order val="3"/>
          <c:tx>
            <c:strRef>
              <c:f>Resultados!$A$41</c:f>
              <c:strCache>
                <c:ptCount val="1"/>
                <c:pt idx="0">
                  <c:v>OBLATOS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B17-734E-A66E-12B8F4F6B972}"/>
            </c:ext>
          </c:extLst>
        </c:ser>
        <c:ser>
          <c:idx val="4"/>
          <c:order val="4"/>
          <c:tx>
            <c:strRef>
              <c:f>Resultados!$A$41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B17-734E-A66E-12B8F4F6B972}"/>
            </c:ext>
          </c:extLst>
        </c:ser>
        <c:ser>
          <c:idx val="5"/>
          <c:order val="5"/>
          <c:tx>
            <c:strRef>
              <c:f>Resultados!$A$41</c:f>
              <c:strCache>
                <c:ptCount val="1"/>
                <c:pt idx="0">
                  <c:v>TRANSITO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B17-734E-A66E-12B8F4F6B972}"/>
            </c:ext>
          </c:extLst>
        </c:ser>
        <c:ser>
          <c:idx val="6"/>
          <c:order val="6"/>
          <c:tx>
            <c:strRef>
              <c:f>Resultados!$A$41</c:f>
              <c:strCache>
                <c:ptCount val="1"/>
                <c:pt idx="0">
                  <c:v>UDN TLAQUEPAQUE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4C-1C4D-9AA4-B0954802615F}"/>
            </c:ext>
          </c:extLst>
        </c:ser>
        <c:ser>
          <c:idx val="7"/>
          <c:order val="7"/>
          <c:tx>
            <c:strRef>
              <c:f>Resultados!$A$41</c:f>
              <c:strCache>
                <c:ptCount val="1"/>
                <c:pt idx="0">
                  <c:v>UDN TONALA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4C-1C4D-9AA4-B0954802615F}"/>
            </c:ext>
          </c:extLst>
        </c:ser>
        <c:ser>
          <c:idx val="8"/>
          <c:order val="8"/>
          <c:tx>
            <c:strRef>
              <c:f>Resultados!$A$41</c:f>
              <c:strCache>
                <c:ptCount val="1"/>
                <c:pt idx="0">
                  <c:v>UI 16 DE SEPTIEMBRE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4C-1C4D-9AA4-B0954802615F}"/>
            </c:ext>
          </c:extLst>
        </c:ser>
        <c:ser>
          <c:idx val="9"/>
          <c:order val="9"/>
          <c:tx>
            <c:strRef>
              <c:f>Resultados!$A$41</c:f>
              <c:strCache>
                <c:ptCount val="1"/>
                <c:pt idx="0">
                  <c:v>UI MARIANO OTERO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4C-1C4D-9AA4-B0954802615F}"/>
            </c:ext>
          </c:extLst>
        </c:ser>
        <c:ser>
          <c:idx val="10"/>
          <c:order val="10"/>
          <c:tx>
            <c:strRef>
              <c:f>Resultados!$A$41</c:f>
              <c:strCache>
                <c:ptCount val="1"/>
                <c:pt idx="0">
                  <c:v>UI PARIAN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4C-1C4D-9AA4-B0954802615F}"/>
            </c:ext>
          </c:extLst>
        </c:ser>
        <c:ser>
          <c:idx val="11"/>
          <c:order val="11"/>
          <c:tx>
            <c:strRef>
              <c:f>Resultados!$A$41</c:f>
              <c:strCache>
                <c:ptCount val="1"/>
                <c:pt idx="0">
                  <c:v>VIRTUAL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Resultados!$A$41</c:f>
              <c:strCache>
                <c:ptCount val="12"/>
                <c:pt idx="0">
                  <c:v>INGLES</c:v>
                </c:pt>
                <c:pt idx="1">
                  <c:v>UNIVERSIDAD</c:v>
                </c:pt>
                <c:pt idx="2">
                  <c:v>SECUNDARIA</c:v>
                </c:pt>
                <c:pt idx="3">
                  <c:v>COLBACH</c:v>
                </c:pt>
                <c:pt idx="4">
                  <c:v>ENF AUX</c:v>
                </c:pt>
                <c:pt idx="5">
                  <c:v>EXCEL</c:v>
                </c:pt>
                <c:pt idx="6">
                  <c:v>EXU</c:v>
                </c:pt>
                <c:pt idx="7">
                  <c:v>PREPA</c:v>
                </c:pt>
                <c:pt idx="8">
                  <c:v>EXU LINEA</c:v>
                </c:pt>
                <c:pt idx="9">
                  <c:v>INGLES AVANZADO</c:v>
                </c:pt>
                <c:pt idx="10">
                  <c:v>MARKETING</c:v>
                </c:pt>
                <c:pt idx="11">
                  <c:v>INICIO</c:v>
                </c:pt>
              </c:strCache>
            </c:strRef>
          </c:cat>
          <c:val>
            <c:numRef>
              <c:f>Resultados!$A$41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4C-1C4D-9AA4-B09548026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784096"/>
        <c:axId val="1234785808"/>
      </c:barChart>
      <c:catAx>
        <c:axId val="12347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5808"/>
        <c:crosses val="autoZero"/>
        <c:auto val="1"/>
        <c:lblAlgn val="ctr"/>
        <c:lblOffset val="100"/>
        <c:noMultiLvlLbl val="0"/>
      </c:catAx>
      <c:valAx>
        <c:axId val="12347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4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[autoNominasRP-2013-v0.8.0.xlsm]Resultados!Venta_por_Plantel_por_Curso</c:name>
    <c:fmtId val="0"/>
  </c:pivotSource>
  <c:chart>
    <c:title>
      <c:tx>
        <c:strRef>
          <c:f>Resultados!$A$24</c:f>
          <c:strCache>
            <c:ptCount val="1"/>
            <c:pt idx="0">
              <c:v>Ventas por Plantel por Curso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Resultados!$A$24</c:f>
              <c:strCache>
                <c:ptCount val="1"/>
                <c:pt idx="0">
                  <c:v>UNIVERSIDAD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AE-6F46-B8AF-6597B5C707F1}"/>
            </c:ext>
          </c:extLst>
        </c:ser>
        <c:ser>
          <c:idx val="2"/>
          <c:order val="2"/>
          <c:tx>
            <c:strRef>
              <c:f>Resultados!$A$24</c:f>
              <c:strCache>
                <c:ptCount val="1"/>
                <c:pt idx="0">
                  <c:v>SECUNDARIA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AE-6F46-B8AF-6597B5C707F1}"/>
            </c:ext>
          </c:extLst>
        </c:ser>
        <c:ser>
          <c:idx val="3"/>
          <c:order val="3"/>
          <c:tx>
            <c:strRef>
              <c:f>Resultados!$A$24</c:f>
              <c:strCache>
                <c:ptCount val="1"/>
                <c:pt idx="0">
                  <c:v>COLBACH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AE-6F46-B8AF-6597B5C707F1}"/>
            </c:ext>
          </c:extLst>
        </c:ser>
        <c:ser>
          <c:idx val="4"/>
          <c:order val="4"/>
          <c:tx>
            <c:strRef>
              <c:f>Resultados!$A$24</c:f>
              <c:strCache>
                <c:ptCount val="1"/>
                <c:pt idx="0">
                  <c:v>ENF AUX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AE-6F46-B8AF-6597B5C707F1}"/>
            </c:ext>
          </c:extLst>
        </c:ser>
        <c:ser>
          <c:idx val="5"/>
          <c:order val="5"/>
          <c:tx>
            <c:strRef>
              <c:f>Resultados!$A$24</c:f>
              <c:strCache>
                <c:ptCount val="1"/>
                <c:pt idx="0">
                  <c:v>EXCEL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AE-6F46-B8AF-6597B5C707F1}"/>
            </c:ext>
          </c:extLst>
        </c:ser>
        <c:ser>
          <c:idx val="6"/>
          <c:order val="6"/>
          <c:tx>
            <c:strRef>
              <c:f>Resultados!$A$24</c:f>
              <c:strCache>
                <c:ptCount val="1"/>
                <c:pt idx="0">
                  <c:v>EXU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7AE-6F46-B8AF-6597B5C707F1}"/>
            </c:ext>
          </c:extLst>
        </c:ser>
        <c:ser>
          <c:idx val="7"/>
          <c:order val="7"/>
          <c:tx>
            <c:strRef>
              <c:f>Resultados!$A$24</c:f>
              <c:strCache>
                <c:ptCount val="1"/>
                <c:pt idx="0">
                  <c:v>PREPA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7AE-6F46-B8AF-6597B5C707F1}"/>
            </c:ext>
          </c:extLst>
        </c:ser>
        <c:ser>
          <c:idx val="8"/>
          <c:order val="8"/>
          <c:tx>
            <c:strRef>
              <c:f>Resultados!$A$24</c:f>
              <c:strCache>
                <c:ptCount val="1"/>
                <c:pt idx="0">
                  <c:v>EXU LINEA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7AE-6F46-B8AF-6597B5C707F1}"/>
            </c:ext>
          </c:extLst>
        </c:ser>
        <c:ser>
          <c:idx val="9"/>
          <c:order val="9"/>
          <c:tx>
            <c:strRef>
              <c:f>Resultados!$A$24</c:f>
              <c:strCache>
                <c:ptCount val="1"/>
                <c:pt idx="0">
                  <c:v>INGLES AVANZADO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7AE-6F46-B8AF-6597B5C707F1}"/>
            </c:ext>
          </c:extLst>
        </c:ser>
        <c:ser>
          <c:idx val="10"/>
          <c:order val="10"/>
          <c:tx>
            <c:strRef>
              <c:f>Resultados!$A$24</c:f>
              <c:strCache>
                <c:ptCount val="1"/>
                <c:pt idx="0">
                  <c:v>MARKETING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7AE-6F46-B8AF-6597B5C707F1}"/>
            </c:ext>
          </c:extLst>
        </c:ser>
        <c:ser>
          <c:idx val="11"/>
          <c:order val="11"/>
          <c:tx>
            <c:strRef>
              <c:f>Resultados!$A$24</c:f>
              <c:strCache>
                <c:ptCount val="1"/>
                <c:pt idx="0">
                  <c:v>INICIO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7AE-6F46-B8AF-6597B5C707F1}"/>
            </c:ext>
          </c:extLst>
        </c:ser>
        <c:ser>
          <c:idx val="0"/>
          <c:order val="0"/>
          <c:tx>
            <c:strRef>
              <c:f>Resultados!$A$24</c:f>
              <c:strCache>
                <c:ptCount val="1"/>
                <c:pt idx="0">
                  <c:v>INGLES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Resultados!$A$24</c:f>
              <c:strCache>
                <c:ptCount val="12"/>
                <c:pt idx="0">
                  <c:v>AWL TLAQUEPAQUE</c:v>
                </c:pt>
                <c:pt idx="1">
                  <c:v>AWL TONALA</c:v>
                </c:pt>
                <c:pt idx="2">
                  <c:v>INDEPENDENCIA</c:v>
                </c:pt>
                <c:pt idx="3">
                  <c:v>OBLATOS</c:v>
                </c:pt>
                <c:pt idx="4">
                  <c:v>ONLINE</c:v>
                </c:pt>
                <c:pt idx="5">
                  <c:v>TRANSITO</c:v>
                </c:pt>
                <c:pt idx="6">
                  <c:v>UDN TLAQUEPAQUE</c:v>
                </c:pt>
                <c:pt idx="7">
                  <c:v>UDN TONALA</c:v>
                </c:pt>
                <c:pt idx="8">
                  <c:v>UI 16 DE SEPTIEMBRE</c:v>
                </c:pt>
                <c:pt idx="9">
                  <c:v>UI MARIANO OTERO</c:v>
                </c:pt>
                <c:pt idx="10">
                  <c:v>UI PARIAN</c:v>
                </c:pt>
                <c:pt idx="11">
                  <c:v>VIRTUAL</c:v>
                </c:pt>
              </c:strCache>
            </c:strRef>
          </c:cat>
          <c:val>
            <c:numRef>
              <c:f>Resultados!$A$24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E-6F46-B8AF-6597B5C70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2894512"/>
        <c:axId val="1893344112"/>
      </c:barChart>
      <c:catAx>
        <c:axId val="189289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344112"/>
        <c:crosses val="autoZero"/>
        <c:auto val="1"/>
        <c:lblAlgn val="ctr"/>
        <c:lblOffset val="100"/>
        <c:noMultiLvlLbl val="0"/>
      </c:catAx>
      <c:valAx>
        <c:axId val="189334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28945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[autoNominasRP-2013-v0.8.0.xlsm]Resultados!Ventas_por_Promotor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Promotor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Resultados!$B$9:$B$10</c:f>
              <c:strCache>
                <c:ptCount val="1"/>
                <c:pt idx="0">
                  <c:v>BETZANIA MUÑOZ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Resultados!$B$11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97-1D4F-AE2F-85A4FC22E6EE}"/>
            </c:ext>
          </c:extLst>
        </c:ser>
        <c:ser>
          <c:idx val="1"/>
          <c:order val="1"/>
          <c:tx>
            <c:strRef>
              <c:f>Resultados!$C$9:$C$10</c:f>
              <c:strCache>
                <c:ptCount val="1"/>
                <c:pt idx="0">
                  <c:v>BRYAN CAMPOS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Resultados!$C$11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97-1D4F-AE2F-85A4FC22E6EE}"/>
            </c:ext>
          </c:extLst>
        </c:ser>
        <c:ser>
          <c:idx val="2"/>
          <c:order val="2"/>
          <c:tx>
            <c:strRef>
              <c:f>Resultados!$D$9:$D$10</c:f>
              <c:strCache>
                <c:ptCount val="1"/>
                <c:pt idx="0">
                  <c:v>DANIELA LOZANO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Resultados!$D$11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97-1D4F-AE2F-85A4FC22E6EE}"/>
            </c:ext>
          </c:extLst>
        </c:ser>
        <c:ser>
          <c:idx val="3"/>
          <c:order val="3"/>
          <c:tx>
            <c:strRef>
              <c:f>Resultados!$E$9:$E$10</c:f>
              <c:strCache>
                <c:ptCount val="1"/>
                <c:pt idx="0">
                  <c:v>DAVID HERNANDEZ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Resultados!$E$11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97-1D4F-AE2F-85A4FC22E6EE}"/>
            </c:ext>
          </c:extLst>
        </c:ser>
        <c:ser>
          <c:idx val="4"/>
          <c:order val="4"/>
          <c:tx>
            <c:strRef>
              <c:f>Resultados!$F$9:$F$10</c:f>
              <c:strCache>
                <c:ptCount val="1"/>
                <c:pt idx="0">
                  <c:v>EVELYN VELAZQUEZ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Resultados!$F$11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97-1D4F-AE2F-85A4FC22E6EE}"/>
            </c:ext>
          </c:extLst>
        </c:ser>
        <c:ser>
          <c:idx val="5"/>
          <c:order val="5"/>
          <c:tx>
            <c:strRef>
              <c:f>Resultados!$G$9:$G$10</c:f>
              <c:strCache>
                <c:ptCount val="1"/>
                <c:pt idx="0">
                  <c:v>FERNANDA ORNELAS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Resultados!$G$11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97-1D4F-AE2F-85A4FC22E6EE}"/>
            </c:ext>
          </c:extLst>
        </c:ser>
        <c:ser>
          <c:idx val="6"/>
          <c:order val="6"/>
          <c:tx>
            <c:strRef>
              <c:f>Resultados!$H$9:$H$10</c:f>
              <c:strCache>
                <c:ptCount val="1"/>
                <c:pt idx="0">
                  <c:v>FRIDA RIVERA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Resultados!$H$11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97-1D4F-AE2F-85A4FC22E6EE}"/>
            </c:ext>
          </c:extLst>
        </c:ser>
        <c:ser>
          <c:idx val="7"/>
          <c:order val="7"/>
          <c:tx>
            <c:strRef>
              <c:f>Resultados!$I$9:$I$10</c:f>
              <c:strCache>
                <c:ptCount val="1"/>
                <c:pt idx="0">
                  <c:v>JONATHAN MARTINEZ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Resultados!$I$11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97-1D4F-AE2F-85A4FC22E6EE}"/>
            </c:ext>
          </c:extLst>
        </c:ser>
        <c:ser>
          <c:idx val="8"/>
          <c:order val="8"/>
          <c:tx>
            <c:strRef>
              <c:f>Resultados!$J$9:$J$10</c:f>
              <c:strCache>
                <c:ptCount val="1"/>
                <c:pt idx="0">
                  <c:v>JORGE RODRIGUEZ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Resultados!$J$11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97-1D4F-AE2F-85A4FC22E6EE}"/>
            </c:ext>
          </c:extLst>
        </c:ser>
        <c:ser>
          <c:idx val="9"/>
          <c:order val="9"/>
          <c:tx>
            <c:strRef>
              <c:f>Resultados!$K$9:$K$10</c:f>
              <c:strCache>
                <c:ptCount val="1"/>
                <c:pt idx="0">
                  <c:v>JOSE FERNÁNDEZ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Resultados!$K$11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97-1D4F-AE2F-85A4FC22E6EE}"/>
            </c:ext>
          </c:extLst>
        </c:ser>
        <c:ser>
          <c:idx val="10"/>
          <c:order val="10"/>
          <c:tx>
            <c:strRef>
              <c:f>Resultados!$L$9:$L$10</c:f>
              <c:strCache>
                <c:ptCount val="1"/>
                <c:pt idx="0">
                  <c:v>JOSUE SIERRA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Resultados!$L$11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97-1D4F-AE2F-85A4FC22E6EE}"/>
            </c:ext>
          </c:extLst>
        </c:ser>
        <c:ser>
          <c:idx val="11"/>
          <c:order val="11"/>
          <c:tx>
            <c:strRef>
              <c:f>Resultados!$M$9:$M$10</c:f>
              <c:strCache>
                <c:ptCount val="1"/>
                <c:pt idx="0">
                  <c:v>MARIANA SANCHEZ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97-1D4F-AE2F-85A4FC22E6EE}"/>
            </c:ext>
          </c:extLst>
        </c:ser>
        <c:ser>
          <c:idx val="12"/>
          <c:order val="12"/>
          <c:tx>
            <c:strRef>
              <c:f>Resultados!$N$9:$N$10</c:f>
              <c:strCache>
                <c:ptCount val="1"/>
                <c:pt idx="0">
                  <c:v>MINA APARICIO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EF97-1D4F-AE2F-85A4FC22E6E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F97-1D4F-AE2F-85A4FC22E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Resultados!$N$11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97-1D4F-AE2F-85A4FC22E6EE}"/>
            </c:ext>
          </c:extLst>
        </c:ser>
        <c:ser>
          <c:idx val="13"/>
          <c:order val="13"/>
          <c:tx>
            <c:strRef>
              <c:f>Resultados!$O$9:$O$10</c:f>
              <c:strCache>
                <c:ptCount val="1"/>
                <c:pt idx="0">
                  <c:v>MIRIAM TADEO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Resultados!$O$11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A3-C649-ACCC-21B1016886C6}"/>
            </c:ext>
          </c:extLst>
        </c:ser>
        <c:ser>
          <c:idx val="14"/>
          <c:order val="14"/>
          <c:tx>
            <c:strRef>
              <c:f>Resultados!$P$9:$P$10</c:f>
              <c:strCache>
                <c:ptCount val="1"/>
                <c:pt idx="0">
                  <c:v>YADIRA VEGA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Resultados!$P$11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A3-C649-ACCC-21B101688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2541088"/>
        <c:axId val="1882542800"/>
      </c:barChart>
      <c:catAx>
        <c:axId val="18825410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82542800"/>
        <c:crosses val="autoZero"/>
        <c:auto val="1"/>
        <c:lblAlgn val="ctr"/>
        <c:lblOffset val="100"/>
        <c:noMultiLvlLbl val="0"/>
      </c:catAx>
      <c:valAx>
        <c:axId val="188254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8254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38100</xdr:rowOff>
    </xdr:from>
    <xdr:to>
      <xdr:col>8</xdr:col>
      <xdr:colOff>203200</xdr:colOff>
      <xdr:row>29</xdr:row>
      <xdr:rowOff>0</xdr:rowOff>
    </xdr:to>
    <xdr:graphicFrame macro="">
      <xdr:nvGraphicFramePr>
        <xdr:cNvPr id="2" name="Ventas_Por_Coordinacion">
          <a:extLst>
            <a:ext uri="{FF2B5EF4-FFF2-40B4-BE49-F238E27FC236}">
              <a16:creationId xmlns:a16="http://schemas.microsoft.com/office/drawing/2014/main" id="{5E8B6FE2-2343-BF81-64A4-C7EA44A998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63500</xdr:colOff>
      <xdr:row>86</xdr:row>
      <xdr:rowOff>114300</xdr:rowOff>
    </xdr:from>
    <xdr:to>
      <xdr:col>8</xdr:col>
      <xdr:colOff>203200</xdr:colOff>
      <xdr:row>115</xdr:row>
      <xdr:rowOff>76200</xdr:rowOff>
    </xdr:to>
    <xdr:graphicFrame macro="">
      <xdr:nvGraphicFramePr>
        <xdr:cNvPr id="3" name="Ventas_de_Coordinacion_por_Plantel">
          <a:extLst>
            <a:ext uri="{FF2B5EF4-FFF2-40B4-BE49-F238E27FC236}">
              <a16:creationId xmlns:a16="http://schemas.microsoft.com/office/drawing/2014/main" id="{5C04774A-8888-8B91-5A6A-13C6C70B9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</xdr:colOff>
      <xdr:row>29</xdr:row>
      <xdr:rowOff>0</xdr:rowOff>
    </xdr:from>
    <xdr:to>
      <xdr:col>8</xdr:col>
      <xdr:colOff>203200</xdr:colOff>
      <xdr:row>57</xdr:row>
      <xdr:rowOff>152400</xdr:rowOff>
    </xdr:to>
    <xdr:graphicFrame macro="">
      <xdr:nvGraphicFramePr>
        <xdr:cNvPr id="4" name="Ventas_por_Plantel">
          <a:extLst>
            <a:ext uri="{FF2B5EF4-FFF2-40B4-BE49-F238E27FC236}">
              <a16:creationId xmlns:a16="http://schemas.microsoft.com/office/drawing/2014/main" id="{D16C9625-011C-436F-1581-E19739B4D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203200</xdr:colOff>
      <xdr:row>29</xdr:row>
      <xdr:rowOff>0</xdr:rowOff>
    </xdr:from>
    <xdr:to>
      <xdr:col>18</xdr:col>
      <xdr:colOff>749300</xdr:colOff>
      <xdr:row>57</xdr:row>
      <xdr:rowOff>152400</xdr:rowOff>
    </xdr:to>
    <xdr:graphicFrame macro="">
      <xdr:nvGraphicFramePr>
        <xdr:cNvPr id="5" name="Ventas_por_Curso">
          <a:extLst>
            <a:ext uri="{FF2B5EF4-FFF2-40B4-BE49-F238E27FC236}">
              <a16:creationId xmlns:a16="http://schemas.microsoft.com/office/drawing/2014/main" id="{085FBEF0-B2D3-1716-BCD5-3B6E03ECC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203200</xdr:colOff>
      <xdr:row>57</xdr:row>
      <xdr:rowOff>152400</xdr:rowOff>
    </xdr:from>
    <xdr:to>
      <xdr:col>18</xdr:col>
      <xdr:colOff>749300</xdr:colOff>
      <xdr:row>86</xdr:row>
      <xdr:rowOff>114300</xdr:rowOff>
    </xdr:to>
    <xdr:graphicFrame macro="">
      <xdr:nvGraphicFramePr>
        <xdr:cNvPr id="6" name="Ventas de Cursos por Plantel">
          <a:extLst>
            <a:ext uri="{FF2B5EF4-FFF2-40B4-BE49-F238E27FC236}">
              <a16:creationId xmlns:a16="http://schemas.microsoft.com/office/drawing/2014/main" id="{F8626F73-B196-C849-91A5-44F10277CF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57</xdr:row>
      <xdr:rowOff>152400</xdr:rowOff>
    </xdr:from>
    <xdr:to>
      <xdr:col>8</xdr:col>
      <xdr:colOff>203200</xdr:colOff>
      <xdr:row>86</xdr:row>
      <xdr:rowOff>114300</xdr:rowOff>
    </xdr:to>
    <xdr:graphicFrame macro="">
      <xdr:nvGraphicFramePr>
        <xdr:cNvPr id="7" name="Ventas_por_Plantel_por_Cursos">
          <a:extLst>
            <a:ext uri="{FF2B5EF4-FFF2-40B4-BE49-F238E27FC236}">
              <a16:creationId xmlns:a16="http://schemas.microsoft.com/office/drawing/2014/main" id="{91FCD43F-49FE-709E-EA1D-94F09612E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203200</xdr:colOff>
      <xdr:row>0</xdr:row>
      <xdr:rowOff>38100</xdr:rowOff>
    </xdr:from>
    <xdr:to>
      <xdr:col>18</xdr:col>
      <xdr:colOff>749300</xdr:colOff>
      <xdr:row>29</xdr:row>
      <xdr:rowOff>0</xdr:rowOff>
    </xdr:to>
    <xdr:graphicFrame macro="">
      <xdr:nvGraphicFramePr>
        <xdr:cNvPr id="9" name="Ventas_por_Promotor">
          <a:extLst>
            <a:ext uri="{FF2B5EF4-FFF2-40B4-BE49-F238E27FC236}">
              <a16:creationId xmlns:a16="http://schemas.microsoft.com/office/drawing/2014/main" id="{A4FC9D3A-AA27-59B6-7E96-783424AD0E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63500</xdr:rowOff>
        </xdr:from>
        <xdr:to>
          <xdr:col>13</xdr:col>
          <xdr:colOff>787400</xdr:colOff>
          <xdr:row>3</xdr:row>
          <xdr:rowOff>165100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0</xdr:row>
          <xdr:rowOff>63500</xdr:rowOff>
        </xdr:from>
        <xdr:to>
          <xdr:col>14</xdr:col>
          <xdr:colOff>787400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Generar Nominas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63500</xdr:rowOff>
        </xdr:from>
        <xdr:to>
          <xdr:col>13</xdr:col>
          <xdr:colOff>787400</xdr:colOff>
          <xdr:row>3</xdr:row>
          <xdr:rowOff>165100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F69FBF14-7930-204B-851F-4A95B8AB1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63500</xdr:rowOff>
        </xdr:from>
        <xdr:to>
          <xdr:col>13</xdr:col>
          <xdr:colOff>787400</xdr:colOff>
          <xdr:row>3</xdr:row>
          <xdr:rowOff>165100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F504D6E1-E46D-E040-B280-5050D3351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63500</xdr:rowOff>
        </xdr:from>
        <xdr:to>
          <xdr:col>13</xdr:col>
          <xdr:colOff>787400</xdr:colOff>
          <xdr:row>3</xdr:row>
          <xdr:rowOff>165100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819BE93-15C0-474C-B592-97A65297E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63500</xdr:rowOff>
        </xdr:from>
        <xdr:to>
          <xdr:col>13</xdr:col>
          <xdr:colOff>787400</xdr:colOff>
          <xdr:row>3</xdr:row>
          <xdr:rowOff>165100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9E359525-FB64-1342-B3C5-D08E94ECC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Pablo Garcia Murillo" refreshedDate="45762.798657175925" createdVersion="8" refreshedVersion="8" minRefreshableVersion="3" recordCount="97" xr:uid="{F9213207-D78F-6147-84A9-A17CD048246F}">
  <cacheSource type="worksheet">
    <worksheetSource name="Tabla_Gerente"/>
  </cacheSource>
  <cacheFields count="12">
    <cacheField name="COORDINADOR" numFmtId="0">
      <sharedItems count="4">
        <s v="ISAAC GARCIA"/>
        <s v="JOSUE ALVAREZ"/>
        <s v="MICHELLE APARICIO"/>
        <s v="YANELY HERNADEZ"/>
      </sharedItems>
    </cacheField>
    <cacheField name="CREDENCIAL" numFmtId="0">
      <sharedItems containsSemiMixedTypes="0" containsString="0" containsNumber="1" containsInteger="1" minValue="134686" maxValue="134782"/>
    </cacheField>
    <cacheField name="NOMBRE DEL ALUMNO" numFmtId="0">
      <sharedItems/>
    </cacheField>
    <cacheField name="COMISION" numFmtId="166">
      <sharedItems containsSemiMixedTypes="0" containsString="0" containsNumber="1" containsInteger="1" minValue="0" maxValue="120"/>
    </cacheField>
    <cacheField name="PLANTEL" numFmtId="0">
      <sharedItems count="12">
        <s v="AWL TLAQUEPAQUE"/>
        <s v="AWL TONALA"/>
        <s v="INDEPENDENCIA"/>
        <s v="OBLATOS"/>
        <s v="ONLINE"/>
        <s v="TRANSITO"/>
        <s v="UDN TLAQUEPAQUE"/>
        <s v="UDN TONALA"/>
        <s v="UI 16 DE SEPTIEMBRE"/>
        <s v="UI MARIANO OTERO"/>
        <s v="UI PARIAN"/>
        <s v="VIRTUAL"/>
      </sharedItems>
    </cacheField>
    <cacheField name="CURSO" numFmtId="0">
      <sharedItems count="18">
        <s v="INGLES"/>
        <s v="UNIVERSIDAD"/>
        <s v="SECUNDARIA"/>
        <s v="COLBACH"/>
        <s v="ENF AUX"/>
        <s v="EXCEL"/>
        <s v="EXU"/>
        <s v="PREPA"/>
        <s v="EXU LINEA"/>
        <s v="INGLES AVANZADO"/>
        <s v="MARKETING"/>
        <s v="INICIO"/>
        <s v="Curso 1" u="1"/>
        <s v="Curso 2" u="1"/>
        <s v="Curso 3" u="1"/>
        <s v="Curso 4" u="1"/>
        <s v="Curso 5" u="1"/>
        <s v="Curso 6" u="1"/>
      </sharedItems>
    </cacheField>
    <cacheField name="GRUPO" numFmtId="0">
      <sharedItems containsSemiMixedTypes="0" containsString="0" containsNumber="1" containsInteger="1" minValue="501" maxValue="1347"/>
    </cacheField>
    <cacheField name="PAGO" numFmtId="166">
      <sharedItems containsSemiMixedTypes="0" containsString="0" containsNumber="1" containsInteger="1" minValue="200" maxValue="500"/>
    </cacheField>
    <cacheField name="FECHA" numFmtId="14">
      <sharedItems containsSemiMixedTypes="0" containsNonDate="0" containsDate="1" containsString="0" minDate="2025-03-27T00:00:00" maxDate="2025-04-03T00:00:00"/>
    </cacheField>
    <cacheField name="PROMOTOR" numFmtId="0">
      <sharedItems count="15">
        <s v="DAVID HERNANDEZ"/>
        <s v="BRYAN CAMPOS"/>
        <s v="MIRIAM TADEO"/>
        <s v="JORGE RODRIGUEZ"/>
        <s v="JOSUE SIERRA"/>
        <s v="MARIANA SANCHEZ"/>
        <s v="BETZANIA MUÑOZ"/>
        <s v="DANIELA LOZANO"/>
        <s v="FERNANDA ORNELAS"/>
        <s v="JONATHAN MARTINEZ"/>
        <s v="EVELYN VELAZQUEZ"/>
        <s v="FRIDA RIVERA"/>
        <s v="MINA APARICIO"/>
        <s v="YADIRA VEGA"/>
        <s v="JOSE FERNÁNDEZ"/>
      </sharedItems>
    </cacheField>
    <cacheField name="TS PLANTEL" numFmtId="0">
      <sharedItems containsNonDate="0" containsString="0" containsBlank="1"/>
    </cacheField>
    <cacheField name="TS CREDENCI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x v="0"/>
    <n v="134686"/>
    <s v="Alumno 1"/>
    <n v="0"/>
    <x v="0"/>
    <x v="0"/>
    <n v="501"/>
    <n v="300"/>
    <d v="2025-04-01T00:00:00"/>
    <x v="0"/>
    <m/>
    <m/>
  </r>
  <r>
    <x v="0"/>
    <n v="134687"/>
    <s v="Alumno 2"/>
    <n v="0"/>
    <x v="0"/>
    <x v="1"/>
    <n v="501"/>
    <n v="350"/>
    <d v="2025-04-02T00:00:00"/>
    <x v="1"/>
    <m/>
    <m/>
  </r>
  <r>
    <x v="0"/>
    <n v="134688"/>
    <s v="Alumno 3"/>
    <n v="0"/>
    <x v="0"/>
    <x v="0"/>
    <n v="501"/>
    <n v="298"/>
    <d v="2025-04-01T00:00:00"/>
    <x v="1"/>
    <m/>
    <m/>
  </r>
  <r>
    <x v="0"/>
    <n v="134689"/>
    <s v="Alumno 4"/>
    <n v="120"/>
    <x v="0"/>
    <x v="2"/>
    <n v="1344"/>
    <n v="400"/>
    <d v="2025-04-02T00:00:00"/>
    <x v="1"/>
    <m/>
    <m/>
  </r>
  <r>
    <x v="0"/>
    <n v="134690"/>
    <s v="Alumno 5"/>
    <n v="120"/>
    <x v="0"/>
    <x v="3"/>
    <n v="1322"/>
    <n v="500"/>
    <d v="2025-04-01T00:00:00"/>
    <x v="1"/>
    <m/>
    <m/>
  </r>
  <r>
    <x v="0"/>
    <n v="134691"/>
    <s v="Alumno 6"/>
    <n v="0"/>
    <x v="0"/>
    <x v="4"/>
    <n v="503"/>
    <n v="299"/>
    <d v="2025-04-02T00:00:00"/>
    <x v="2"/>
    <m/>
    <m/>
  </r>
  <r>
    <x v="0"/>
    <n v="134692"/>
    <s v="Alumno 7"/>
    <n v="120"/>
    <x v="1"/>
    <x v="5"/>
    <n v="1343"/>
    <n v="300"/>
    <d v="2025-03-30T00:00:00"/>
    <x v="2"/>
    <m/>
    <m/>
  </r>
  <r>
    <x v="0"/>
    <n v="134693"/>
    <s v="Alumno 8"/>
    <n v="0"/>
    <x v="1"/>
    <x v="4"/>
    <n v="503"/>
    <n v="350"/>
    <d v="2025-04-02T00:00:00"/>
    <x v="2"/>
    <m/>
    <m/>
  </r>
  <r>
    <x v="0"/>
    <n v="134694"/>
    <s v="Alumno 9"/>
    <n v="120"/>
    <x v="1"/>
    <x v="5"/>
    <n v="1344"/>
    <n v="350"/>
    <d v="2025-03-30T00:00:00"/>
    <x v="2"/>
    <m/>
    <m/>
  </r>
  <r>
    <x v="0"/>
    <n v="134695"/>
    <s v="Alumno 10"/>
    <n v="120"/>
    <x v="1"/>
    <x v="6"/>
    <n v="1345"/>
    <n v="400"/>
    <d v="2025-04-02T00:00:00"/>
    <x v="2"/>
    <m/>
    <m/>
  </r>
  <r>
    <x v="0"/>
    <n v="134696"/>
    <s v="Alumno 11"/>
    <n v="120"/>
    <x v="1"/>
    <x v="7"/>
    <n v="1346"/>
    <n v="500"/>
    <d v="2025-03-30T00:00:00"/>
    <x v="0"/>
    <m/>
    <m/>
  </r>
  <r>
    <x v="0"/>
    <n v="134697"/>
    <s v="Alumno 12"/>
    <n v="0"/>
    <x v="1"/>
    <x v="8"/>
    <n v="505"/>
    <n v="299"/>
    <d v="2025-03-27T00:00:00"/>
    <x v="0"/>
    <m/>
    <m/>
  </r>
  <r>
    <x v="0"/>
    <n v="134698"/>
    <s v="Alumno 13"/>
    <n v="120"/>
    <x v="1"/>
    <x v="7"/>
    <n v="1346"/>
    <n v="300"/>
    <d v="2025-03-30T00:00:00"/>
    <x v="0"/>
    <m/>
    <m/>
  </r>
  <r>
    <x v="0"/>
    <n v="134699"/>
    <s v="Alumno 14"/>
    <n v="120"/>
    <x v="1"/>
    <x v="9"/>
    <n v="1347"/>
    <n v="350"/>
    <d v="2025-03-28T00:00:00"/>
    <x v="0"/>
    <m/>
    <m/>
  </r>
  <r>
    <x v="0"/>
    <n v="134700"/>
    <s v="Alumno 15"/>
    <n v="120"/>
    <x v="1"/>
    <x v="0"/>
    <n v="1347"/>
    <n v="350"/>
    <d v="2025-03-30T00:00:00"/>
    <x v="0"/>
    <m/>
    <m/>
  </r>
  <r>
    <x v="0"/>
    <n v="134701"/>
    <s v="Alumno 16"/>
    <n v="120"/>
    <x v="1"/>
    <x v="1"/>
    <n v="1343"/>
    <n v="400"/>
    <d v="2025-03-29T00:00:00"/>
    <x v="3"/>
    <m/>
    <m/>
  </r>
  <r>
    <x v="0"/>
    <n v="134702"/>
    <s v="Alumno 17"/>
    <n v="120"/>
    <x v="1"/>
    <x v="0"/>
    <n v="1342"/>
    <n v="500"/>
    <d v="2025-04-01T00:00:00"/>
    <x v="3"/>
    <m/>
    <m/>
  </r>
  <r>
    <x v="0"/>
    <n v="134703"/>
    <s v="Alumno 18"/>
    <n v="0"/>
    <x v="2"/>
    <x v="2"/>
    <n v="1342"/>
    <n v="200"/>
    <d v="2025-03-28T00:00:00"/>
    <x v="3"/>
    <m/>
    <m/>
  </r>
  <r>
    <x v="0"/>
    <n v="134704"/>
    <s v="Alumno 19"/>
    <n v="120"/>
    <x v="2"/>
    <x v="3"/>
    <n v="1344"/>
    <n v="300"/>
    <d v="2025-03-27T00:00:00"/>
    <x v="3"/>
    <m/>
    <m/>
  </r>
  <r>
    <x v="0"/>
    <n v="134705"/>
    <s v="Alumno 20"/>
    <n v="120"/>
    <x v="2"/>
    <x v="4"/>
    <n v="1345"/>
    <n v="350"/>
    <d v="2025-03-30T00:00:00"/>
    <x v="3"/>
    <m/>
    <m/>
  </r>
  <r>
    <x v="0"/>
    <n v="134706"/>
    <s v="Alumno 21"/>
    <n v="120"/>
    <x v="2"/>
    <x v="0"/>
    <n v="1347"/>
    <n v="350"/>
    <d v="2025-03-28T00:00:00"/>
    <x v="4"/>
    <m/>
    <m/>
  </r>
  <r>
    <x v="0"/>
    <n v="134707"/>
    <s v="Alumno 22"/>
    <n v="120"/>
    <x v="2"/>
    <x v="1"/>
    <n v="1341"/>
    <n v="400"/>
    <d v="2025-03-30T00:00:00"/>
    <x v="4"/>
    <m/>
    <m/>
  </r>
  <r>
    <x v="0"/>
    <n v="134708"/>
    <s v="Alumno 23"/>
    <n v="120"/>
    <x v="2"/>
    <x v="0"/>
    <n v="1342"/>
    <n v="500"/>
    <d v="2025-03-29T00:00:00"/>
    <x v="4"/>
    <m/>
    <m/>
  </r>
  <r>
    <x v="0"/>
    <n v="134709"/>
    <s v="Alumno 24"/>
    <n v="120"/>
    <x v="2"/>
    <x v="1"/>
    <n v="1342"/>
    <n v="300"/>
    <d v="2025-03-27T00:00:00"/>
    <x v="4"/>
    <m/>
    <m/>
  </r>
  <r>
    <x v="0"/>
    <n v="134710"/>
    <s v="Alumno 25"/>
    <n v="120"/>
    <x v="2"/>
    <x v="4"/>
    <n v="1342"/>
    <n v="350"/>
    <d v="2025-03-30T00:00:00"/>
    <x v="4"/>
    <m/>
    <m/>
  </r>
  <r>
    <x v="0"/>
    <n v="134711"/>
    <s v="Alumno 26"/>
    <n v="120"/>
    <x v="2"/>
    <x v="5"/>
    <n v="1342"/>
    <n v="350"/>
    <d v="2025-03-28T00:00:00"/>
    <x v="5"/>
    <m/>
    <m/>
  </r>
  <r>
    <x v="0"/>
    <n v="134712"/>
    <s v="Alumno 27"/>
    <n v="120"/>
    <x v="2"/>
    <x v="6"/>
    <n v="1342"/>
    <n v="400"/>
    <d v="2025-03-30T00:00:00"/>
    <x v="5"/>
    <m/>
    <m/>
  </r>
  <r>
    <x v="1"/>
    <n v="134713"/>
    <s v="Alumno 28"/>
    <n v="120"/>
    <x v="2"/>
    <x v="7"/>
    <n v="1342"/>
    <n v="500"/>
    <d v="2025-03-29T00:00:00"/>
    <x v="6"/>
    <m/>
    <m/>
  </r>
  <r>
    <x v="1"/>
    <n v="134714"/>
    <s v="Alumno 29"/>
    <n v="120"/>
    <x v="3"/>
    <x v="8"/>
    <n v="1342"/>
    <n v="299"/>
    <d v="2025-04-01T00:00:00"/>
    <x v="6"/>
    <m/>
    <m/>
  </r>
  <r>
    <x v="1"/>
    <n v="134715"/>
    <s v="Alumno 30"/>
    <n v="120"/>
    <x v="3"/>
    <x v="7"/>
    <n v="1342"/>
    <n v="300"/>
    <d v="2025-03-28T00:00:00"/>
    <x v="6"/>
    <m/>
    <m/>
  </r>
  <r>
    <x v="1"/>
    <n v="134716"/>
    <s v="Alumno 31"/>
    <n v="120"/>
    <x v="3"/>
    <x v="2"/>
    <n v="1342"/>
    <n v="350"/>
    <d v="2025-04-01T00:00:00"/>
    <x v="6"/>
    <m/>
    <m/>
  </r>
  <r>
    <x v="1"/>
    <n v="134717"/>
    <s v="Alumno 32"/>
    <n v="120"/>
    <x v="3"/>
    <x v="3"/>
    <n v="1342"/>
    <n v="350"/>
    <d v="2025-03-30T00:00:00"/>
    <x v="6"/>
    <m/>
    <m/>
  </r>
  <r>
    <x v="1"/>
    <n v="134718"/>
    <s v="Alumno 33"/>
    <n v="120"/>
    <x v="3"/>
    <x v="4"/>
    <n v="1342"/>
    <n v="400"/>
    <d v="2025-03-28T00:00:00"/>
    <x v="6"/>
    <m/>
    <m/>
  </r>
  <r>
    <x v="1"/>
    <n v="134719"/>
    <s v="Alumno 34"/>
    <n v="120"/>
    <x v="3"/>
    <x v="0"/>
    <n v="1342"/>
    <n v="500"/>
    <d v="2025-04-01T00:00:00"/>
    <x v="6"/>
    <m/>
    <m/>
  </r>
  <r>
    <x v="1"/>
    <n v="134720"/>
    <s v="Alumno 35"/>
    <n v="120"/>
    <x v="4"/>
    <x v="1"/>
    <n v="1342"/>
    <n v="400"/>
    <d v="2025-04-02T00:00:00"/>
    <x v="6"/>
    <m/>
    <m/>
  </r>
  <r>
    <x v="1"/>
    <n v="134721"/>
    <s v="Alumno 36"/>
    <n v="120"/>
    <x v="4"/>
    <x v="0"/>
    <n v="1342"/>
    <n v="500"/>
    <d v="2025-04-01T00:00:00"/>
    <x v="6"/>
    <m/>
    <m/>
  </r>
  <r>
    <x v="1"/>
    <n v="134722"/>
    <s v="Alumno 37"/>
    <n v="0"/>
    <x v="4"/>
    <x v="2"/>
    <n v="1342"/>
    <n v="200"/>
    <d v="2025-04-02T00:00:00"/>
    <x v="7"/>
    <m/>
    <m/>
  </r>
  <r>
    <x v="1"/>
    <n v="134723"/>
    <s v="Alumno 38"/>
    <n v="120"/>
    <x v="4"/>
    <x v="0"/>
    <n v="1342"/>
    <n v="300"/>
    <d v="2025-04-01T00:00:00"/>
    <x v="7"/>
    <m/>
    <m/>
  </r>
  <r>
    <x v="1"/>
    <n v="134724"/>
    <s v="Alumno 39"/>
    <n v="120"/>
    <x v="4"/>
    <x v="1"/>
    <n v="1342"/>
    <n v="350"/>
    <d v="2025-04-02T00:00:00"/>
    <x v="7"/>
    <m/>
    <m/>
  </r>
  <r>
    <x v="1"/>
    <n v="134725"/>
    <s v="Alumno 40"/>
    <n v="0"/>
    <x v="4"/>
    <x v="0"/>
    <n v="503"/>
    <n v="350"/>
    <d v="2025-03-30T00:00:00"/>
    <x v="7"/>
    <m/>
    <m/>
  </r>
  <r>
    <x v="1"/>
    <n v="134726"/>
    <s v="Alumno 41"/>
    <n v="120"/>
    <x v="4"/>
    <x v="2"/>
    <n v="1342"/>
    <n v="400"/>
    <d v="2025-04-02T00:00:00"/>
    <x v="7"/>
    <m/>
    <m/>
  </r>
  <r>
    <x v="1"/>
    <n v="134727"/>
    <s v="Alumno 42"/>
    <n v="120"/>
    <x v="4"/>
    <x v="3"/>
    <n v="1342"/>
    <n v="500"/>
    <d v="2025-03-30T00:00:00"/>
    <x v="7"/>
    <m/>
    <m/>
  </r>
  <r>
    <x v="1"/>
    <n v="134728"/>
    <s v="Alumno 43"/>
    <n v="120"/>
    <x v="5"/>
    <x v="4"/>
    <n v="1342"/>
    <n v="299"/>
    <d v="2025-03-30T00:00:00"/>
    <x v="7"/>
    <m/>
    <m/>
  </r>
  <r>
    <x v="1"/>
    <n v="134729"/>
    <s v="Alumno 44"/>
    <n v="0"/>
    <x v="5"/>
    <x v="0"/>
    <n v="501"/>
    <n v="300"/>
    <d v="2025-04-02T00:00:00"/>
    <x v="7"/>
    <m/>
    <m/>
  </r>
  <r>
    <x v="1"/>
    <n v="134730"/>
    <s v="Alumno 45"/>
    <n v="120"/>
    <x v="5"/>
    <x v="1"/>
    <n v="1342"/>
    <n v="350"/>
    <d v="2025-03-30T00:00:00"/>
    <x v="7"/>
    <m/>
    <m/>
  </r>
  <r>
    <x v="1"/>
    <n v="134731"/>
    <s v="Alumno 46"/>
    <n v="120"/>
    <x v="5"/>
    <x v="0"/>
    <n v="1342"/>
    <n v="350"/>
    <d v="2025-04-02T00:00:00"/>
    <x v="7"/>
    <m/>
    <m/>
  </r>
  <r>
    <x v="1"/>
    <n v="134732"/>
    <s v="Alumno 47"/>
    <n v="120"/>
    <x v="5"/>
    <x v="2"/>
    <n v="1342"/>
    <n v="400"/>
    <d v="2025-03-30T00:00:00"/>
    <x v="8"/>
    <m/>
    <m/>
  </r>
  <r>
    <x v="1"/>
    <n v="134733"/>
    <s v="Alumno 48"/>
    <n v="120"/>
    <x v="5"/>
    <x v="3"/>
    <n v="1342"/>
    <n v="500"/>
    <d v="2025-03-27T00:00:00"/>
    <x v="8"/>
    <m/>
    <m/>
  </r>
  <r>
    <x v="1"/>
    <n v="134734"/>
    <s v="Alumno 49"/>
    <n v="120"/>
    <x v="5"/>
    <x v="0"/>
    <n v="1342"/>
    <n v="299"/>
    <d v="2025-03-30T00:00:00"/>
    <x v="8"/>
    <m/>
    <m/>
  </r>
  <r>
    <x v="1"/>
    <n v="134735"/>
    <s v="Alumno 50"/>
    <n v="120"/>
    <x v="5"/>
    <x v="1"/>
    <n v="1342"/>
    <n v="300"/>
    <d v="2025-03-28T00:00:00"/>
    <x v="8"/>
    <m/>
    <m/>
  </r>
  <r>
    <x v="1"/>
    <n v="134736"/>
    <s v="Alumno 51"/>
    <n v="120"/>
    <x v="5"/>
    <x v="0"/>
    <n v="1342"/>
    <n v="350"/>
    <d v="2025-03-30T00:00:00"/>
    <x v="8"/>
    <m/>
    <m/>
  </r>
  <r>
    <x v="1"/>
    <n v="134737"/>
    <s v="Alumno 52"/>
    <n v="120"/>
    <x v="6"/>
    <x v="2"/>
    <n v="1342"/>
    <n v="299"/>
    <d v="2025-03-29T00:00:00"/>
    <x v="8"/>
    <m/>
    <m/>
  </r>
  <r>
    <x v="1"/>
    <n v="134738"/>
    <s v="Alumno 53"/>
    <n v="120"/>
    <x v="6"/>
    <x v="3"/>
    <n v="1342"/>
    <n v="300"/>
    <d v="2025-04-01T00:00:00"/>
    <x v="8"/>
    <m/>
    <m/>
  </r>
  <r>
    <x v="1"/>
    <n v="134739"/>
    <s v="Alumno 54"/>
    <n v="0"/>
    <x v="6"/>
    <x v="4"/>
    <n v="501"/>
    <n v="350"/>
    <d v="2025-03-28T00:00:00"/>
    <x v="8"/>
    <m/>
    <m/>
  </r>
  <r>
    <x v="1"/>
    <n v="134740"/>
    <s v="Alumno 55"/>
    <n v="120"/>
    <x v="6"/>
    <x v="5"/>
    <n v="1342"/>
    <n v="350"/>
    <d v="2025-04-01T00:00:00"/>
    <x v="9"/>
    <m/>
    <m/>
  </r>
  <r>
    <x v="1"/>
    <n v="134741"/>
    <s v="Alumno 56"/>
    <n v="120"/>
    <x v="6"/>
    <x v="6"/>
    <n v="1342"/>
    <n v="400"/>
    <d v="2025-04-02T00:00:00"/>
    <x v="9"/>
    <m/>
    <m/>
  </r>
  <r>
    <x v="1"/>
    <n v="134742"/>
    <s v="Alumno 57"/>
    <n v="120"/>
    <x v="6"/>
    <x v="7"/>
    <n v="1342"/>
    <n v="500"/>
    <d v="2025-03-30T00:00:00"/>
    <x v="9"/>
    <m/>
    <m/>
  </r>
  <r>
    <x v="1"/>
    <n v="134743"/>
    <s v="Alumno 58"/>
    <n v="120"/>
    <x v="6"/>
    <x v="8"/>
    <n v="1342"/>
    <n v="299"/>
    <d v="2025-04-02T00:00:00"/>
    <x v="9"/>
    <m/>
    <m/>
  </r>
  <r>
    <x v="1"/>
    <n v="134744"/>
    <s v="Alumno 59"/>
    <n v="120"/>
    <x v="6"/>
    <x v="7"/>
    <n v="1342"/>
    <n v="300"/>
    <d v="2025-03-30T00:00:00"/>
    <x v="9"/>
    <m/>
    <m/>
  </r>
  <r>
    <x v="2"/>
    <n v="134745"/>
    <s v="Alumno 60"/>
    <n v="120"/>
    <x v="6"/>
    <x v="2"/>
    <n v="1342"/>
    <n v="350"/>
    <d v="2025-04-02T00:00:00"/>
    <x v="10"/>
    <m/>
    <m/>
  </r>
  <r>
    <x v="2"/>
    <n v="134746"/>
    <s v="Alumno 61"/>
    <n v="0"/>
    <x v="6"/>
    <x v="3"/>
    <n v="503"/>
    <n v="350"/>
    <d v="2025-03-30T00:00:00"/>
    <x v="10"/>
    <m/>
    <m/>
  </r>
  <r>
    <x v="2"/>
    <n v="134747"/>
    <s v="Alumno 62"/>
    <n v="120"/>
    <x v="6"/>
    <x v="4"/>
    <n v="1342"/>
    <n v="400"/>
    <d v="2025-03-27T00:00:00"/>
    <x v="10"/>
    <m/>
    <m/>
  </r>
  <r>
    <x v="2"/>
    <n v="134748"/>
    <s v="Alumno 63"/>
    <n v="120"/>
    <x v="6"/>
    <x v="5"/>
    <n v="1342"/>
    <n v="500"/>
    <d v="2025-03-30T00:00:00"/>
    <x v="10"/>
    <m/>
    <m/>
  </r>
  <r>
    <x v="2"/>
    <n v="134749"/>
    <s v="Alumno 64"/>
    <n v="120"/>
    <x v="6"/>
    <x v="6"/>
    <n v="1342"/>
    <n v="299"/>
    <d v="2025-03-28T00:00:00"/>
    <x v="10"/>
    <m/>
    <m/>
  </r>
  <r>
    <x v="2"/>
    <n v="134750"/>
    <s v="Alumno 65"/>
    <n v="120"/>
    <x v="7"/>
    <x v="0"/>
    <n v="1342"/>
    <n v="350"/>
    <d v="2025-03-29T00:00:00"/>
    <x v="10"/>
    <m/>
    <m/>
  </r>
  <r>
    <x v="2"/>
    <n v="134751"/>
    <s v="Alumno 66"/>
    <n v="120"/>
    <x v="7"/>
    <x v="1"/>
    <n v="1342"/>
    <n v="300"/>
    <d v="2025-03-27T00:00:00"/>
    <x v="10"/>
    <m/>
    <m/>
  </r>
  <r>
    <x v="2"/>
    <n v="134752"/>
    <s v="Alumno 67"/>
    <n v="120"/>
    <x v="7"/>
    <x v="0"/>
    <n v="1342"/>
    <n v="350"/>
    <d v="2025-03-30T00:00:00"/>
    <x v="10"/>
    <m/>
    <m/>
  </r>
  <r>
    <x v="2"/>
    <n v="134753"/>
    <s v="Alumno 68"/>
    <n v="0"/>
    <x v="7"/>
    <x v="2"/>
    <n v="503"/>
    <n v="350"/>
    <d v="2025-03-28T00:00:00"/>
    <x v="10"/>
    <m/>
    <m/>
  </r>
  <r>
    <x v="2"/>
    <n v="134754"/>
    <s v="Alumno 69"/>
    <n v="120"/>
    <x v="7"/>
    <x v="3"/>
    <n v="1342"/>
    <n v="400"/>
    <d v="2025-03-30T00:00:00"/>
    <x v="10"/>
    <m/>
    <m/>
  </r>
  <r>
    <x v="2"/>
    <n v="134755"/>
    <s v="Alumno 70"/>
    <n v="120"/>
    <x v="7"/>
    <x v="4"/>
    <n v="1342"/>
    <n v="500"/>
    <d v="2025-03-29T00:00:00"/>
    <x v="11"/>
    <m/>
    <m/>
  </r>
  <r>
    <x v="2"/>
    <n v="134756"/>
    <s v="Alumno 71"/>
    <n v="120"/>
    <x v="8"/>
    <x v="5"/>
    <n v="1342"/>
    <n v="300"/>
    <d v="2025-04-01T00:00:00"/>
    <x v="11"/>
    <m/>
    <m/>
  </r>
  <r>
    <x v="2"/>
    <n v="134757"/>
    <s v="Alumno 72"/>
    <n v="120"/>
    <x v="8"/>
    <x v="6"/>
    <n v="1342"/>
    <n v="350"/>
    <d v="2025-03-28T00:00:00"/>
    <x v="11"/>
    <m/>
    <m/>
  </r>
  <r>
    <x v="2"/>
    <n v="134758"/>
    <s v="Alumno 73"/>
    <n v="120"/>
    <x v="8"/>
    <x v="7"/>
    <n v="1342"/>
    <n v="350"/>
    <d v="2025-04-01T00:00:00"/>
    <x v="11"/>
    <m/>
    <m/>
  </r>
  <r>
    <x v="2"/>
    <n v="134759"/>
    <s v="Alumno 74"/>
    <n v="120"/>
    <x v="9"/>
    <x v="8"/>
    <n v="1342"/>
    <n v="400"/>
    <d v="2025-04-02T00:00:00"/>
    <x v="11"/>
    <m/>
    <m/>
  </r>
  <r>
    <x v="2"/>
    <n v="134760"/>
    <s v="Alumno 75"/>
    <n v="120"/>
    <x v="9"/>
    <x v="7"/>
    <n v="1342"/>
    <n v="500"/>
    <d v="2025-04-02T00:00:00"/>
    <x v="11"/>
    <m/>
    <m/>
  </r>
  <r>
    <x v="2"/>
    <n v="134761"/>
    <s v="Alumno 76"/>
    <n v="120"/>
    <x v="9"/>
    <x v="10"/>
    <n v="1342"/>
    <n v="299"/>
    <d v="2025-04-01T00:00:00"/>
    <x v="11"/>
    <m/>
    <m/>
  </r>
  <r>
    <x v="2"/>
    <n v="134762"/>
    <s v="Alumno 77"/>
    <n v="120"/>
    <x v="9"/>
    <x v="11"/>
    <n v="1342"/>
    <n v="300"/>
    <d v="2025-03-30T00:00:00"/>
    <x v="12"/>
    <m/>
    <m/>
  </r>
  <r>
    <x v="2"/>
    <n v="134763"/>
    <s v="Alumno 78"/>
    <n v="120"/>
    <x v="9"/>
    <x v="4"/>
    <n v="1342"/>
    <n v="350"/>
    <d v="2025-03-28T00:00:00"/>
    <x v="12"/>
    <m/>
    <m/>
  </r>
  <r>
    <x v="2"/>
    <n v="134764"/>
    <s v="Alumno 79"/>
    <n v="120"/>
    <x v="9"/>
    <x v="5"/>
    <n v="1342"/>
    <n v="350"/>
    <d v="2025-04-01T00:00:00"/>
    <x v="12"/>
    <m/>
    <m/>
  </r>
  <r>
    <x v="2"/>
    <n v="134765"/>
    <s v="Alumno 80"/>
    <n v="0"/>
    <x v="10"/>
    <x v="6"/>
    <n v="501"/>
    <n v="400"/>
    <d v="2025-03-28T00:00:00"/>
    <x v="12"/>
    <m/>
    <m/>
  </r>
  <r>
    <x v="2"/>
    <n v="134766"/>
    <s v="Alumno 81"/>
    <n v="120"/>
    <x v="10"/>
    <x v="7"/>
    <n v="1342"/>
    <n v="500"/>
    <d v="2025-03-30T00:00:00"/>
    <x v="12"/>
    <m/>
    <m/>
  </r>
  <r>
    <x v="2"/>
    <n v="134767"/>
    <s v="Alumno 82"/>
    <n v="120"/>
    <x v="10"/>
    <x v="8"/>
    <n v="1342"/>
    <n v="299"/>
    <d v="2025-04-01T00:00:00"/>
    <x v="12"/>
    <m/>
    <m/>
  </r>
  <r>
    <x v="2"/>
    <n v="134768"/>
    <s v="Alumno 83"/>
    <n v="120"/>
    <x v="10"/>
    <x v="7"/>
    <n v="1342"/>
    <n v="300"/>
    <d v="2025-04-02T00:00:00"/>
    <x v="12"/>
    <m/>
    <m/>
  </r>
  <r>
    <x v="2"/>
    <n v="134769"/>
    <s v="Alumno 84"/>
    <n v="120"/>
    <x v="10"/>
    <x v="0"/>
    <n v="1342"/>
    <n v="350"/>
    <d v="2025-04-01T00:00:00"/>
    <x v="13"/>
    <m/>
    <m/>
  </r>
  <r>
    <x v="2"/>
    <n v="134770"/>
    <s v="Alumno 85"/>
    <n v="120"/>
    <x v="10"/>
    <x v="1"/>
    <n v="1342"/>
    <n v="350"/>
    <d v="2025-04-02T00:00:00"/>
    <x v="13"/>
    <m/>
    <m/>
  </r>
  <r>
    <x v="2"/>
    <n v="134771"/>
    <s v="Alumno 86"/>
    <n v="120"/>
    <x v="10"/>
    <x v="0"/>
    <n v="1342"/>
    <n v="400"/>
    <d v="2025-04-01T00:00:00"/>
    <x v="13"/>
    <m/>
    <m/>
  </r>
  <r>
    <x v="2"/>
    <n v="134772"/>
    <s v="Alumno 87"/>
    <n v="120"/>
    <x v="10"/>
    <x v="2"/>
    <n v="1342"/>
    <n v="500"/>
    <d v="2025-03-27T00:00:00"/>
    <x v="13"/>
    <m/>
    <m/>
  </r>
  <r>
    <x v="2"/>
    <n v="134773"/>
    <s v="Alumno 88"/>
    <n v="0"/>
    <x v="11"/>
    <x v="3"/>
    <n v="501"/>
    <n v="299"/>
    <d v="2025-03-30T00:00:00"/>
    <x v="13"/>
    <m/>
    <m/>
  </r>
  <r>
    <x v="2"/>
    <n v="134774"/>
    <s v="Alumno 89"/>
    <n v="120"/>
    <x v="11"/>
    <x v="4"/>
    <n v="1342"/>
    <n v="300"/>
    <d v="2025-03-28T00:00:00"/>
    <x v="13"/>
    <m/>
    <m/>
  </r>
  <r>
    <x v="2"/>
    <n v="134775"/>
    <s v="Alumno 90"/>
    <n v="120"/>
    <x v="11"/>
    <x v="5"/>
    <n v="1342"/>
    <n v="300"/>
    <d v="2025-03-27T00:00:00"/>
    <x v="13"/>
    <m/>
    <m/>
  </r>
  <r>
    <x v="3"/>
    <n v="134776"/>
    <s v="Alumno 91"/>
    <n v="120"/>
    <x v="11"/>
    <x v="6"/>
    <n v="1342"/>
    <n v="350"/>
    <d v="2025-03-27T00:00:00"/>
    <x v="14"/>
    <m/>
    <m/>
  </r>
  <r>
    <x v="3"/>
    <n v="134777"/>
    <s v="Alumno 92"/>
    <n v="120"/>
    <x v="5"/>
    <x v="7"/>
    <n v="1342"/>
    <n v="350"/>
    <d v="2025-03-30T00:00:00"/>
    <x v="14"/>
    <m/>
    <m/>
  </r>
  <r>
    <x v="3"/>
    <n v="134778"/>
    <s v="Alumno 93"/>
    <n v="120"/>
    <x v="3"/>
    <x v="8"/>
    <n v="1342"/>
    <n v="400"/>
    <d v="2025-03-28T00:00:00"/>
    <x v="14"/>
    <m/>
    <m/>
  </r>
  <r>
    <x v="3"/>
    <n v="134779"/>
    <s v="Alumno 94"/>
    <n v="0"/>
    <x v="11"/>
    <x v="7"/>
    <n v="503"/>
    <n v="500"/>
    <d v="2025-03-30T00:00:00"/>
    <x v="14"/>
    <m/>
    <m/>
  </r>
  <r>
    <x v="3"/>
    <n v="134780"/>
    <s v="Alumno 95"/>
    <n v="0"/>
    <x v="9"/>
    <x v="10"/>
    <n v="505"/>
    <n v="299"/>
    <d v="2025-03-29T00:00:00"/>
    <x v="14"/>
    <m/>
    <m/>
  </r>
  <r>
    <x v="3"/>
    <n v="134781"/>
    <s v="Alumno 96"/>
    <n v="120"/>
    <x v="5"/>
    <x v="11"/>
    <n v="1342"/>
    <n v="300"/>
    <d v="2025-04-01T00:00:00"/>
    <x v="14"/>
    <m/>
    <m/>
  </r>
  <r>
    <x v="3"/>
    <n v="134782"/>
    <s v="Alumno 97"/>
    <n v="120"/>
    <x v="0"/>
    <x v="9"/>
    <n v="1342"/>
    <n v="350"/>
    <d v="2025-03-28T00:00:00"/>
    <x v="1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E380F-C175-B449-BC2E-0AB6C92FF62C}" name="Ventas de Coordinacion por Plantel" cacheId="1211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multipleFieldFilters="0" chartFormat="11" colHeaderCaption="Filtrar Planteles">
  <location ref="A58:N64" firstHeaderRow="1" firstDataRow="2" firstDataCol="1"/>
  <pivotFields count="12"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numFmtId="166" showAll="0"/>
    <pivotField axis="axisCol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Ventas de Coordiacion por Plantel" fld="4" subtotal="count" baseField="0" baseItem="0"/>
  </dataFields>
  <chartFormats count="2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1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2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3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4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5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6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7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8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9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10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1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D8554-002D-404E-ACBD-70AB15512CDD}" name="Ventas_por_Promotor" cacheId="1211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 chartFormat="8" colHeaderCaption="Filtrar Promotores">
  <location ref="A9:Q11" firstHeaderRow="1" firstDataRow="2" firstDataCol="1"/>
  <pivotFields count="12"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axis="axisCol" showAll="0">
      <items count="16">
        <item x="6"/>
        <item x="1"/>
        <item x="7"/>
        <item x="0"/>
        <item x="10"/>
        <item x="8"/>
        <item x="11"/>
        <item x="9"/>
        <item x="3"/>
        <item x="14"/>
        <item x="4"/>
        <item x="5"/>
        <item x="12"/>
        <item x="2"/>
        <item x="13"/>
        <item t="default"/>
      </items>
    </pivotField>
    <pivotField showAll="0"/>
    <pivotField showAll="0"/>
  </pivotFields>
  <rowItems count="1">
    <i/>
  </rowItems>
  <colFields count="1">
    <field x="9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Ventas por Promotor" fld="3" subtotal="count" baseField="0" baseItem="0"/>
  </dataFields>
  <chartFormats count="3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69DD47-D69C-2C48-A799-DEADF1F27C50}" name="Venta_por_Plantel_por_Curso" cacheId="1211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 chartFormat="15" colHeaderCaption="Filtrar Cursos">
  <location ref="A24:N38" firstHeaderRow="1" firstDataRow="2" firstDataCol="1"/>
  <pivotFields count="12">
    <pivotField showAll="0"/>
    <pivotField showAll="0"/>
    <pivotField showAll="0"/>
    <pivotField dataField="1" numFmtId="166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19">
        <item m="1" x="12"/>
        <item m="1" x="13"/>
        <item m="1" x="14"/>
        <item m="1" x="15"/>
        <item m="1" x="16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13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Ventas por Plantel por Curso" fld="3" subtotal="count" baseField="0" baseItem="0"/>
  </dataFields>
  <chartFormats count="2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2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3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4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E9AE1-A1E1-D141-8596-575A32A3D713}" name="Venta de Cursos por Plantel" cacheId="1211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 chartFormat="6" colHeaderCaption="Filtrar Planteles">
  <location ref="A41:N55" firstHeaderRow="1" firstDataRow="2" firstDataCol="1"/>
  <pivotFields count="12">
    <pivotField showAll="0"/>
    <pivotField showAll="0"/>
    <pivotField showAll="0"/>
    <pivotField dataField="1" numFmtId="166"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19">
        <item m="1" x="12"/>
        <item m="1" x="13"/>
        <item m="1" x="14"/>
        <item m="1" x="15"/>
        <item m="1" x="16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5"/>
  </rowFields>
  <rowItems count="13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Ventas de Cursos por Plantel" fld="3" subtotal="count" baseField="0" baseItem="0"/>
  </dataFields>
  <chartFormats count="30">
    <chartFormat chart="0" format="39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4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41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2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43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44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0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1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3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4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5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26E798-751B-7645-B002-F6BB46E2849D}" name="Ventas por Curso" cacheId="1211" applyNumberFormats="0" applyBorderFormats="0" applyFontFormats="0" applyPatternFormats="0" applyAlignmentFormats="0" applyWidthHeightFormats="1" dataCaption="Values" updatedVersion="8" minRefreshableVersion="3" itemPrintTitles="1" createdVersion="8" indent="0" multipleFieldFilters="0" chartFormat="5" colHeaderCaption="Filtrar Cursos">
  <location ref="A19:N21" firstHeaderRow="1" firstDataRow="2" firstDataCol="1"/>
  <pivotFields count="12">
    <pivotField showAll="0"/>
    <pivotField showAll="0"/>
    <pivotField showAll="0"/>
    <pivotField dataField="1" numFmtId="166" showAll="0"/>
    <pivotField showAll="0"/>
    <pivotField axis="axisCol" showAll="0">
      <items count="19">
        <item m="1" x="12"/>
        <item m="1" x="13"/>
        <item m="1" x="14"/>
        <item m="1" x="15"/>
        <item m="1" x="16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5"/>
  </colFields>
  <colItems count="13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Ventas por Curso" fld="3" subtotal="count" baseField="0" baseItem="0"/>
  </dataFields>
  <chartFormats count="3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3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32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0" format="33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34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35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577C62-A946-3C4E-A6FC-06B111AA8AD0}" name="Ventas por Plante" cacheId="1211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 chartFormat="16" colHeaderCaption="Filtrar Planteles">
  <location ref="A14:N16" firstHeaderRow="1" firstDataRow="2" firstDataCol="1"/>
  <pivotFields count="12">
    <pivotField showAll="0"/>
    <pivotField showAll="0"/>
    <pivotField showAll="0"/>
    <pivotField dataField="1" numFmtId="166"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Ventas Por Plantel" fld="3" subtotal="count" baseField="0" baseItem="0"/>
  </dataFields>
  <chartFormats count="37">
    <chartFormat chart="0" format="12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0" format="15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0" format="17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0" format="18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0" format="19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0" format="20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0" format="21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0" format="22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0" format="23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36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3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8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9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0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4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42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43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44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45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46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47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78582B-9DAE-AF40-9B4E-E9B45AE15BFF}" name="Ventas por Coordinacion" cacheId="1211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multipleFieldFilters="0" chartFormat="16" colHeaderCaption="Filtrar Coordinadores">
  <location ref="A4:F6" firstHeaderRow="1" firstDataRow="2" firstDataCol="1"/>
  <pivotFields count="12">
    <pivotField axis="axisCol" showAll="0">
      <items count="5">
        <item x="0"/>
        <item x="1"/>
        <item x="2"/>
        <item x="3"/>
        <item t="default"/>
      </items>
    </pivotField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Ventas por Coordinacion" fld="3" subtotal="count" baseField="0" baseItem="0"/>
  </dataFields>
  <chartFormats count="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E05EA9-2BC1-462C-96D4-B4A60135AD3D}" name="Planteles" displayName="Planteles" ref="A3:B16" totalsRowShown="0" tableBorderDxfId="817">
  <autoFilter ref="A3:B16" xr:uid="{04E05EA9-2BC1-462C-96D4-B4A60135AD3D}"/>
  <sortState xmlns:xlrd2="http://schemas.microsoft.com/office/spreadsheetml/2017/richdata2" ref="A4:B16">
    <sortCondition ref="A3:A16"/>
  </sortState>
  <tableColumns count="2">
    <tableColumn id="1" xr3:uid="{2A2F8793-0B5F-4EFE-B6EF-A13CE1333785}" name="NOMBRE"/>
    <tableColumn id="2" xr3:uid="{C3D26E55-B764-49B9-9617-0D628D64382F}" name="RAZON SOCIAL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9B09C90-614E-AB47-8F79-718600BA92C3}" name="Tabla_Razones_Sociales" displayName="Tabla_Razones_Sociales" ref="D3:D9" totalsRowShown="0" headerRowDxfId="816" dataDxfId="814" headerRowBorderDxfId="815" tableBorderDxfId="813">
  <autoFilter ref="D3:D9" xr:uid="{89B09C90-614E-AB47-8F79-718600BA92C3}"/>
  <sortState xmlns:xlrd2="http://schemas.microsoft.com/office/spreadsheetml/2017/richdata2" ref="D4:D9">
    <sortCondition ref="D3:D9"/>
  </sortState>
  <tableColumns count="1">
    <tableColumn id="1" xr3:uid="{8AB590BC-7FC7-EA47-B6FC-421C4BCCA867}" name="RAZON SOCIAL" dataDxfId="812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BEDCC-84CA-4F68-A1BF-882DF7EB9AAD}" name="Premios_Promotor" displayName="Premios_Promotor" ref="A4:F10" totalsRowShown="0" headerRowDxfId="811" dataDxfId="810" tableBorderDxfId="809" dataCellStyle="Currency">
  <autoFilter ref="A4:F10" xr:uid="{1DCBEDCC-84CA-4F68-A1BF-882DF7EB9AAD}"/>
  <tableColumns count="6">
    <tableColumn id="1" xr3:uid="{52B2CFAB-87CE-4CB9-8B44-7C63B5BB8779}" name="REGISTROS " dataDxfId="808"/>
    <tableColumn id="2" xr3:uid="{1F936614-3024-45E4-8B47-3E2669DC32FC}" name="0" dataDxfId="807" dataCellStyle="Currency"/>
    <tableColumn id="5" xr3:uid="{004B43FE-1D3B-4EE3-8961-771A3156DE8D}" name="13" dataDxfId="806" dataCellStyle="Currency"/>
    <tableColumn id="6" xr3:uid="{113128A4-9C84-4D65-ACBE-D34F68404358}" name="15" dataDxfId="805" dataCellStyle="Currency"/>
    <tableColumn id="3" xr3:uid="{4E945F5C-29A5-409D-9741-D02FDD95409D}" name="30" dataDxfId="804" dataCellStyle="Currency"/>
    <tableColumn id="4" xr3:uid="{F54F9DBA-BB7E-4D93-B316-DDF4038A6BBE}" name="40" dataDxfId="803" dataCellStyle="Currency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8FF99-7FBD-4770-86D4-916903E3362B}" name="Premios_Coordinador" displayName="Premios_Coordinador" ref="H4:I11" totalsRowShown="0" headerRowDxfId="802" tableBorderDxfId="801">
  <autoFilter ref="H4:I11" xr:uid="{F9D8FF99-7FBD-4770-86D4-916903E3362B}"/>
  <tableColumns count="2">
    <tableColumn id="1" xr3:uid="{0E6771B9-BC03-4485-BDA4-FEEA8045374D}" name="REGISTROS" dataDxfId="800"/>
    <tableColumn id="2" xr3:uid="{4295DB49-D0F8-4407-9A7E-ED849FC12761}" name="PAGO" dataDxfId="799" dataCellStyle="Currency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2E832C-499C-406E-AFE6-A5C76665B594}" name="Premios_Gerente" displayName="Premios_Gerente" ref="K4:L13" totalsRowShown="0" headerRowDxfId="798" tableBorderDxfId="797">
  <autoFilter ref="K4:L13" xr:uid="{782E832C-499C-406E-AFE6-A5C76665B594}"/>
  <tableColumns count="2">
    <tableColumn id="1" xr3:uid="{7A8416CF-E219-4CDB-8FDD-07CF7E1FE521}" name="REGISTROS" dataDxfId="796"/>
    <tableColumn id="2" xr3:uid="{C0009598-D6D0-42B2-9CE0-A1EE69F3EAA6}" name="PAGO" dataDxfId="795" dataCellStyle="Currency"/>
  </tableColumns>
  <tableStyleInfo name="TableStyleMedium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ABD35-A5F5-46DD-B29D-07D529A95A4D}" name="Tabulador_Premio_Promotor_Total_Gerencia" displayName="Tabulador_Premio_Promotor_Total_Gerencia" ref="A12:B17" totalsRowShown="0" headerRowDxfId="794" tableBorderDxfId="793">
  <autoFilter ref="A12:B17" xr:uid="{B75ABD35-A5F5-46DD-B29D-07D529A95A4D}"/>
  <tableColumns count="2">
    <tableColumn id="1" xr3:uid="{0534316F-AE04-4858-8D2E-9A42BB4165B0}" name="TOTAL GERENCIA"/>
    <tableColumn id="2" xr3:uid="{DFFD83C1-72F0-4D89-8170-8056D606A642}" name="COLUMNA">
      <calculatedColumnFormula>COLUMN(Premios_Promotor[[#Headers],[0]])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1B75C1-203F-ED44-AD9D-3F71FCD5CB57}" name="Tabla_Cursos" displayName="Tabla_Cursos" ref="A3:A15" totalsRowShown="0" tableBorderDxfId="739">
  <autoFilter ref="A3:A15" xr:uid="{4C1B75C1-203F-ED44-AD9D-3F71FCD5CB57}"/>
  <tableColumns count="1">
    <tableColumn id="1" xr3:uid="{DB5C6237-0A61-BD48-BDA2-512170159DA0}" name="CURSOS"/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2E5DA9-A55C-43E9-934D-1A430AD7691F}" name="Tabulador_Promotor" displayName="Tabulador_Promotor" ref="A3:B4" totalsRowShown="0" headerRowDxfId="792" dataDxfId="791" tableBorderDxfId="790">
  <autoFilter ref="A3:B4" xr:uid="{C62E5DA9-A55C-43E9-934D-1A430AD7691F}">
    <filterColumn colId="0" hiddenButton="1"/>
    <filterColumn colId="1" hiddenButton="1"/>
  </autoFilter>
  <tableColumns count="2">
    <tableColumn id="1" xr3:uid="{42672DA2-CA6C-44A8-A2D9-B989014699D3}" name="INSCRIPCION" dataDxfId="789"/>
    <tableColumn id="2" xr3:uid="{70072444-3B0C-4F18-B27B-4FC876B6174F}" name="PAGO" dataDxfId="788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D0C1A6-B95A-4FBA-B677-227DAA4AD312}" name="Tabulador_Coordinador" displayName="Tabulador_Coordinador" ref="D3:F8" totalsRowShown="0" headerRowDxfId="787" dataDxfId="786" tableBorderDxfId="785">
  <autoFilter ref="D3:F8" xr:uid="{8CD0C1A6-B95A-4FBA-B677-227DAA4AD312}">
    <filterColumn colId="0" hiddenButton="1"/>
    <filterColumn colId="1" hiddenButton="1"/>
    <filterColumn colId="2" hiddenButton="1"/>
  </autoFilter>
  <tableColumns count="3">
    <tableColumn id="1" xr3:uid="{CE609495-E552-41C5-A073-4AEB84DBE0A0}" name="MIN" dataDxfId="784"/>
    <tableColumn id="3" xr3:uid="{32B4B292-4525-4662-AD66-6005E8DBCE66}" name="MAX" dataDxfId="783"/>
    <tableColumn id="2" xr3:uid="{1D0B27CB-CCDF-4BB3-95C0-08040C389ED4}" name="PAGO" dataDxfId="782" dataCellStyle="Currency"/>
  </tableColumns>
  <tableStyleInfo name="TableStyleMedium1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648F1-D4BA-41B6-A752-D84C2A76FB23}" name="Tabulador_Gerente" displayName="Tabulador_Gerente" ref="H3:J8" totalsRowShown="0" headerRowDxfId="781" dataDxfId="780" tableBorderDxfId="779">
  <autoFilter ref="H3:J8" xr:uid="{B67648F1-D4BA-41B6-A752-D84C2A76FB23}">
    <filterColumn colId="0" hiddenButton="1"/>
    <filterColumn colId="1" hiddenButton="1"/>
    <filterColumn colId="2" hiddenButton="1"/>
  </autoFilter>
  <tableColumns count="3">
    <tableColumn id="1" xr3:uid="{A7C5131B-0E80-430B-AF95-8E42C584F734}" name="MIN" dataDxfId="778"/>
    <tableColumn id="3" xr3:uid="{DB963CCE-7667-4B57-8C20-10A4A00B0919}" name="MAX" dataDxfId="777"/>
    <tableColumn id="2" xr3:uid="{C1C619F7-F64B-4052-A8CA-7DEBAE64B680}" name="PAGO" dataDxfId="776" dataCellStyle="Currency"/>
  </tableColumns>
  <tableStyleInfo name="TableStyleMedium1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9270D9-B009-4143-8D2B-9E1240DA6F10}" name="Sueldo_Base_Por_Puesto" displayName="Sueldo_Base_Por_Puesto" ref="L3:M6" totalsRowShown="0" headerRowDxfId="775" dataDxfId="774">
  <autoFilter ref="L3:M6" xr:uid="{CF9270D9-B009-4143-8D2B-9E1240DA6F10}"/>
  <tableColumns count="2">
    <tableColumn id="1" xr3:uid="{552B5163-6F1D-4FBD-A357-02C46236A87B}" name="PUESTO" dataDxfId="773"/>
    <tableColumn id="2" xr3:uid="{5711A27E-1EE4-46B1-A04E-5D03F5CEBB74}" name="SUELDO BASE" dataDxfId="772" dataCellStyle="Currency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47D880-06D1-4D7B-B657-F07A229C7E08}" name="Sueldos_Base" displayName="Sueldos_Base" ref="L10:P24" totalsRowShown="0" headerRowDxfId="771" dataDxfId="770">
  <autoFilter ref="L10:P24" xr:uid="{1147D880-06D1-4D7B-B657-F07A229C7E08}"/>
  <tableColumns count="5">
    <tableColumn id="1" xr3:uid="{C2BD86FE-CD09-4E33-924A-D229ACE908E5}" name="COLABORADOR" dataDxfId="769"/>
    <tableColumn id="2" xr3:uid="{24553BA7-BE24-4460-AA82-33D1DCC84F4A}" name="SUELDO BASE" dataDxfId="768" dataCellStyle="Currency"/>
    <tableColumn id="5" xr3:uid="{6AE8BC63-6EC0-47FC-9DBB-DCE8AF4B89F8}" name="PUESTO" dataDxfId="767"/>
    <tableColumn id="3" xr3:uid="{EB4A0A70-B1F2-40A4-AC06-15BA77F108EE}" name="COORDINACION" dataDxfId="766"/>
    <tableColumn id="4" xr3:uid="{EDC6B3E8-8800-4CCF-9C64-C3873CF91EF2}" name="GERENCIA" dataDxfId="765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8159DA-88A6-4E59-B876-F2A425C567A9}" name="Descuentos" displayName="Descuentos" ref="R3:W4" totalsRowShown="0" headerRowDxfId="764" dataDxfId="763">
  <autoFilter ref="R3:W4" xr:uid="{968159DA-88A6-4E59-B876-F2A425C567A9}"/>
  <tableColumns count="6">
    <tableColumn id="1" xr3:uid="{6A4C6522-2E5C-4103-8B8C-B0A723293670}" name="COLABORADOR" dataDxfId="762"/>
    <tableColumn id="2" xr3:uid="{29E00D9E-BA5E-4284-871D-7C79414179C7}" name="DESCUENTO" dataDxfId="761" dataCellStyle="Currency">
      <calculatedColumnFormula>SUMIF(Sueldos_Base[COORDINACION],Descuentos[[#This Row],[COORDINACION]],Sueldos_Base[SUELDO BASE])*0.3 * -1</calculatedColumnFormula>
    </tableColumn>
    <tableColumn id="6" xr3:uid="{FC42CF7F-86CC-4017-BD0A-792ED3EA4FAB}" name="CONCEPTO" dataDxfId="760" dataCellStyle="Currency"/>
    <tableColumn id="5" xr3:uid="{6D3C6C93-F493-4C8D-857F-155F5350958B}" name="PUESTO" dataDxfId="759"/>
    <tableColumn id="3" xr3:uid="{81E86445-B5A3-4E4E-93E5-A947F43CC839}" name="COORDINACION" dataDxfId="758"/>
    <tableColumn id="4" xr3:uid="{829B3219-00AE-46DB-8F5B-C4EFFEFCD5DB}" name="GERENCIA" dataDxfId="757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F12C1-42F0-4A95-83C0-291E4C4CB0D7}" name="Gerentes" displayName="Gerentes" ref="A3:B6" totalsRowShown="0" headerRowDxfId="756" dataDxfId="755" tableBorderDxfId="754">
  <autoFilter ref="A3:B6" xr:uid="{520F12C1-42F0-4A95-83C0-291E4C4CB0D7}"/>
  <sortState xmlns:xlrd2="http://schemas.microsoft.com/office/spreadsheetml/2017/richdata2" ref="A4:B6">
    <sortCondition ref="B3:B6"/>
  </sortState>
  <tableColumns count="2">
    <tableColumn id="1" xr3:uid="{5C96974D-720E-4E5B-8155-C5E2F7F7BB9E}" name="NOMBRE" dataDxfId="753"/>
    <tableColumn id="2" xr3:uid="{00B08831-9CDB-4BD2-BC0F-DC47A6A4F354}" name="ALIAS" dataDxfId="752"/>
  </tableColumns>
  <tableStyleInfo name="TableStyleMedium1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6B8FC6-C1A4-4320-ADFC-8DB762BBF673}" name="Coordinadores" displayName="Coordinadores" ref="D3:F14" totalsRowShown="0" headerRowDxfId="751" dataDxfId="750" tableBorderDxfId="749">
  <autoFilter ref="D3:F14" xr:uid="{7F6B8FC6-C1A4-4320-ADFC-8DB762BBF673}"/>
  <sortState xmlns:xlrd2="http://schemas.microsoft.com/office/spreadsheetml/2017/richdata2" ref="D4:F14">
    <sortCondition ref="F3:F14"/>
  </sortState>
  <tableColumns count="3">
    <tableColumn id="1" xr3:uid="{60AF1070-D529-43F9-9BBA-214450E0FE5D}" name="NOMBRE" dataDxfId="748"/>
    <tableColumn id="3" xr3:uid="{2DD1284D-DA80-4597-803E-F543BE29814B}" name="ALIAS"/>
    <tableColumn id="2" xr3:uid="{4267DC2B-70EF-4B96-85D9-390931974CA4}" name="GERENCIA" dataDxfId="747"/>
  </tableColumns>
  <tableStyleInfo name="TableStyleMedium2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EB82E4-CF9A-4936-88EA-6D8471CDAA6B}" name="Promotores" displayName="Promotores" ref="H3:K54" totalsRowShown="0" headerRowDxfId="746" dataDxfId="745" tableBorderDxfId="744">
  <autoFilter ref="H3:K54" xr:uid="{B4EB82E4-CF9A-4936-88EA-6D8471CDAA6B}"/>
  <sortState xmlns:xlrd2="http://schemas.microsoft.com/office/spreadsheetml/2017/richdata2" ref="H4:K4">
    <sortCondition ref="K3:K4"/>
  </sortState>
  <tableColumns count="4">
    <tableColumn id="1" xr3:uid="{AB044EFA-BC51-4471-87D5-475D29D84838}" name="NOMBRE" dataDxfId="743"/>
    <tableColumn id="4" xr3:uid="{A184B911-0E2E-4D86-8830-CA03C708B065}" name="ALIAS" dataDxfId="742"/>
    <tableColumn id="2" xr3:uid="{104E3815-4B2A-4477-9382-D78944AFF843}" name="COORDINACION" dataDxfId="741"/>
    <tableColumn id="3" xr3:uid="{461A0A24-4F60-4FB0-A7D3-2D78DCB499E9}" name="GERENCIA" dataDxfId="740"/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4FF295D1-C73B-3641-8328-F0CC3CD7679F}" name="Coordinadores_Gerencia_Activa" displayName="Coordinadores_Gerencia_Activa" ref="M3:M8" totalsRowShown="0">
  <autoFilter ref="M3:M8" xr:uid="{4FF295D1-C73B-3641-8328-F0CC3CD7679F}"/>
  <sortState xmlns:xlrd2="http://schemas.microsoft.com/office/spreadsheetml/2017/richdata2" ref="M4:M8">
    <sortCondition ref="M4:M8"/>
  </sortState>
  <tableColumns count="1">
    <tableColumn id="1" xr3:uid="{F23983CF-C7C1-2F41-A69F-0A142DBCD018}" name="COORDINADORES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C0FA07F-0DE0-4099-9974-17C69221CC48}" name="Tabla_Coordinador" displayName="Tabla_Coordinador" ref="A8:K10" totalsRowCount="1" headerRowDxfId="738" dataDxfId="737" totalsRowDxfId="735" tableBorderDxfId="736">
  <autoFilter ref="A8:K9" xr:uid="{9C0FA07F-0DE0-4099-9974-17C69221CC48}"/>
  <tableColumns count="11">
    <tableColumn id="1" xr3:uid="{19C5DD40-BE0D-4F37-942C-33F42CA8A26B}" name="PROMOTOR" totalsRowLabel="TOTAL COMISION" dataDxfId="734" totalsRowDxfId="733"/>
    <tableColumn id="3" xr3:uid="{5B23042C-BE2F-4E30-A41F-5DC03A9C6C4D}" name="CREDENCIAL" dataDxfId="732" totalsRowDxfId="731"/>
    <tableColumn id="4" xr3:uid="{9B4226F9-249A-4A0A-B259-362B9DB0BAF7}" name="NOMBRE DEL ALUMNO" dataDxfId="730" totalsRowDxfId="729"/>
    <tableColumn id="5" xr3:uid="{4A52831D-FAC8-4B99-B890-88CD1DD952B8}" name="COMISION" totalsRowFunction="sum" dataDxfId="728" totalsRowDxfId="727">
      <calculatedColumnFormula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Tabulador_Coordinador[],
        3,
        TRUE
    )
)</calculatedColumnFormula>
    </tableColumn>
    <tableColumn id="6" xr3:uid="{98E6506C-CDC5-4BF4-B0EC-396314124A1E}" name="PLANTEL" dataDxfId="726" totalsRowDxfId="725"/>
    <tableColumn id="7" xr3:uid="{E2569798-5824-4510-854E-E7A571E0E564}" name="CURSO" dataDxfId="724" totalsRowDxfId="723"/>
    <tableColumn id="8" xr3:uid="{67FDCAF1-8329-4126-BC1C-00F4EAAF6E00}" name="GRUPO" dataDxfId="722" totalsRowDxfId="721"/>
    <tableColumn id="9" xr3:uid="{AC40ABEB-FD9B-4099-9F83-E129B1162F76}" name="PAGO" dataDxfId="720" totalsRowDxfId="719" dataCellStyle="Currency">
      <calculatedColumnFormula>IFERROR(VLOOKUP(Tabla_Coordinador[[#This Row],[CREDENCIAL]], Tabla_Gerente[[CREDENCIAL]:[PAGO]], 7, FALSE), 0)</calculatedColumnFormula>
    </tableColumn>
    <tableColumn id="10" xr3:uid="{55740D8C-1BC1-4A82-82C0-69D58AD70CE8}" name="FECHA" dataDxfId="718" totalsRowDxfId="717"/>
    <tableColumn id="12" xr3:uid="{DD2945A0-712B-4694-BEE8-E37BE99A65ED}" name="TS PLANTEL " dataDxfId="716" totalsRowDxfId="715"/>
    <tableColumn id="13" xr3:uid="{9F84B062-DFF3-455F-907E-2FFD77D79C98}" name="TS CREDENCIAL " dataDxfId="714" totalsRowDxfId="713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1DDCE0-811A-4D44-9CD0-772974577224}" name="Tabla_Promotor" displayName="Tabla_Promotor" ref="A8:K10" totalsRowCount="1" headerRowDxfId="712" dataDxfId="711" totalsRowDxfId="709" tableBorderDxfId="710">
  <autoFilter ref="A8:K9" xr:uid="{C71DDCE0-811A-4D44-9CD0-772974577224}"/>
  <tableColumns count="11">
    <tableColumn id="1" xr3:uid="{A6779933-13F4-45D5-B0BE-0E76DC3825EC}" name="PROMOTOR" totalsRowLabel="TOTAL COMISION" dataDxfId="708" totalsRowDxfId="707"/>
    <tableColumn id="3" xr3:uid="{B062B3B6-A816-4FF4-94DB-3941B90A3AFB}" name="CREDENCIAL" dataDxfId="706" totalsRowDxfId="705"/>
    <tableColumn id="4" xr3:uid="{AC623468-4FBB-4F5F-B2C6-7CA181BD4972}" name="NOMBRE DEL ALUMNO " dataDxfId="704" totalsRowDxfId="703"/>
    <tableColumn id="5" xr3:uid="{1F089BDE-6469-4A0B-BAE3-84045AEC151E}" name="COMISION" totalsRowFunction="sum" dataDxfId="702" totalsRowDxfId="701">
      <calculatedColumnFormula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calculatedColumnFormula>
    </tableColumn>
    <tableColumn id="6" xr3:uid="{3C3A7400-D457-4E2F-96C3-73C9DB45BA5C}" name="PLANTEL" dataDxfId="700" totalsRowDxfId="699"/>
    <tableColumn id="7" xr3:uid="{0B52D944-9BCE-465A-9E0A-16ACA93A916E}" name="CURSO" dataDxfId="698" totalsRowDxfId="697"/>
    <tableColumn id="8" xr3:uid="{6ED92993-524D-44AC-BCB5-42E120A94D27}" name="GRUPO" dataDxfId="696" totalsRowDxfId="695"/>
    <tableColumn id="9" xr3:uid="{2C6EF25D-446E-444A-B421-53BBA5381135}" name="PAGO" dataDxfId="694" totalsRowDxfId="693">
      <calculatedColumnFormula>IFERROR(VLOOKUP(Tabla_Promotor[[#This Row],[CREDENCIAL]], Tabla_Gerente[[CREDENCIAL]:[PAGO]], 7, FALSE), 0)</calculatedColumnFormula>
    </tableColumn>
    <tableColumn id="10" xr3:uid="{655EAA6F-3524-4914-B588-4867B57FC713}" name="FECHA" dataDxfId="692" totalsRowDxfId="691"/>
    <tableColumn id="12" xr3:uid="{2EB107FE-318E-48B7-A8DC-B15BE97A41DE}" name="TS PLANTEL " dataDxfId="690" totalsRowDxfId="689"/>
    <tableColumn id="13" xr3:uid="{4C94A03A-F424-4744-A7E6-CCB2193F2A8D}" name="TS CREDENCIAL " dataDxfId="688" totalsRowDxfId="687"/>
  </tableColumns>
  <tableStyleInfo name="TableStyleMedium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5F6E2-D5D6-4EBD-8B3C-0D248B73A287}" name="Tabla_Gerente" displayName="Tabla_Gerente" ref="A8:L106" totalsRowCount="1" headerRowDxfId="686" dataDxfId="685" totalsRowDxfId="683" tableBorderDxfId="684">
  <autoFilter ref="A8:L105" xr:uid="{A305F6E2-D5D6-4EBD-8B3C-0D248B73A287}"/>
  <sortState xmlns:xlrd2="http://schemas.microsoft.com/office/spreadsheetml/2017/richdata2" ref="A9:L105">
    <sortCondition ref="A9:A105"/>
  </sortState>
  <tableColumns count="12">
    <tableColumn id="1" xr3:uid="{7448FB15-C3FC-46D5-9295-B52A380565C0}" name="COORDINADOR" totalsRowLabel="TOTAL COMISION" dataDxfId="682" totalsRowDxfId="176"/>
    <tableColumn id="3" xr3:uid="{F7FE17D9-8003-43E0-96E2-9B972F359B57}" name="CREDENCIAL" dataDxfId="681" totalsRowDxfId="175"/>
    <tableColumn id="4" xr3:uid="{AC7EEA83-9F8E-44E3-B123-B0B53E6B8EC1}" name="NOMBRE DEL ALUMNO" dataDxfId="680" totalsRowDxfId="174"/>
    <tableColumn id="5" xr3:uid="{0692000D-513F-4924-BAA4-74F65B866529}" name="COMISION" totalsRowFunction="sum" dataDxfId="671" totalsRowDxfId="173">
      <calculatedColumnFormula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calculatedColumnFormula>
    </tableColumn>
    <tableColumn id="6" xr3:uid="{CA4978CE-10CF-48A8-948B-4C6B5BEB8BF5}" name="PLANTEL" dataDxfId="679" totalsRowDxfId="172"/>
    <tableColumn id="7" xr3:uid="{579CE2E3-347A-4C5C-82DC-98E153BDF40A}" name="CURSO" dataDxfId="678" totalsRowDxfId="171"/>
    <tableColumn id="8" xr3:uid="{0EBAAD61-5825-4628-90D2-2F35F3DA04C7}" name="GRUPO" dataDxfId="677" totalsRowDxfId="170"/>
    <tableColumn id="9" xr3:uid="{DA401AF7-4D16-49DC-8E7E-9B3EC63EABF5}" name="PAGO" dataDxfId="676" totalsRowDxfId="169" dataCellStyle="Currency"/>
    <tableColumn id="10" xr3:uid="{A2F8A34B-2DE7-44AF-8657-CBB70F6C2E5D}" name="FECHA" dataDxfId="675" totalsRowDxfId="168"/>
    <tableColumn id="11" xr3:uid="{9A6A3285-8D3A-4278-8063-F75D4C5AADAC}" name="PROMOTOR" dataDxfId="674" totalsRowDxfId="167"/>
    <tableColumn id="12" xr3:uid="{B6E9C414-52E7-489F-AE3D-3AE657C11D5F}" name="TS PLANTEL" dataDxfId="673" totalsRowDxfId="166"/>
    <tableColumn id="13" xr3:uid="{94FB8847-55A2-4AB1-892D-CC285D0C120B}" name="TS CREDENCIAL" dataDxfId="672" totalsRowDxfId="165"/>
  </tableColumns>
  <tableStyleInfo name="TableStyleMedium1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85E7569-FF73-914E-8461-7CB4524906CC}" name="Tabla_Coordinador_ISAAC_GARCIA" displayName="Tabla_Coordinador_ISAAC_GARCIA" ref="A8:K36" totalsRowCount="1" headerRowDxfId="670" dataDxfId="669" totalsRowDxfId="668" tableBorderDxfId="667">
  <autoFilter ref="A8:K35" xr:uid="{9C0FA07F-0DE0-4099-9974-17C69221CC48}"/>
  <sortState xmlns:xlrd2="http://schemas.microsoft.com/office/spreadsheetml/2017/richdata2" ref="A9:K35">
    <sortCondition ref="A9:A35"/>
  </sortState>
  <tableColumns count="11">
    <tableColumn id="1" xr3:uid="{4B27370D-D0B6-9043-BBBD-FE58F20BD157}" name="PROMOTOR" totalsRowLabel="TOTAL COMISION" dataDxfId="666" totalsRowDxfId="621"/>
    <tableColumn id="3" xr3:uid="{4B4DB943-B169-DC49-A0B3-B68E26D2D69B}" name="CREDENCIAL" dataDxfId="665" totalsRowDxfId="620"/>
    <tableColumn id="4" xr3:uid="{5B1D9245-6349-9849-B345-8CBE2E529F90}" name="NOMBRE DEL ALUMNO" dataDxfId="664" totalsRowDxfId="619"/>
    <tableColumn id="5" xr3:uid="{8C940E4F-4BE6-D847-A20A-6D27CF65C0DF}" name="COMISION" totalsRowFunction="sum" dataDxfId="663" totalsRowDxfId="618">
      <calculatedColumnFormula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calculatedColumnFormula>
    </tableColumn>
    <tableColumn id="6" xr3:uid="{4A69EDA4-888D-A943-9B85-C01B3EDC404F}" name="PLANTEL" dataDxfId="662" totalsRowDxfId="617"/>
    <tableColumn id="7" xr3:uid="{B3451DAF-7B64-DE4B-A0D0-79B02680F279}" name="CURSO" dataDxfId="661" totalsRowDxfId="616"/>
    <tableColumn id="8" xr3:uid="{AD45B9EA-C2E3-0449-9175-26AD8D24D544}" name="GRUPO" dataDxfId="660" totalsRowDxfId="615"/>
    <tableColumn id="9" xr3:uid="{E9F827E7-D1FA-D24A-A12F-9E013FA212F9}" name="PAGO" dataDxfId="659" totalsRowDxfId="614" dataCellStyle="Currency">
      <calculatedColumnFormula>IFERROR(VLOOKUP(Tabla_Coordinador_ISAAC_GARCIA[[#This Row],[CREDENCIAL]], Tabla_Gerente[[CREDENCIAL]:[PAGO]], 7, FALSE), 0)</calculatedColumnFormula>
    </tableColumn>
    <tableColumn id="10" xr3:uid="{42614190-241A-214D-AC48-41C2BA0F0ACF}" name="FECHA" dataDxfId="658" totalsRowDxfId="613"/>
    <tableColumn id="12" xr3:uid="{C4CAE274-3DD4-DE4B-A007-48C1B1858677}" name="TS PLANTEL " dataDxfId="657" totalsRowDxfId="612"/>
    <tableColumn id="13" xr3:uid="{E9829A81-6A93-8446-9E24-E3290A84EB7E}" name="TS CREDENCIAL " dataDxfId="656" totalsRowDxfId="611"/>
  </tableColumns>
  <tableStyleInfo name="TableStyleMedium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A1A8AB7C-7BD9-D54D-8618-AF0E151C4C66}" name="Tabla_PromotorJORGE_RODRIGUEZ" displayName="Tabla_PromotorJORGE_RODRIGUEZ" ref="A8:K14" totalsRowCount="1" headerRowDxfId="513" dataDxfId="512" totalsRowDxfId="511" tableBorderDxfId="510">
  <autoFilter ref="A8:K13" xr:uid="{C71DDCE0-811A-4D44-9CD0-772974577224}"/>
  <tableColumns count="11">
    <tableColumn id="1" xr3:uid="{1DABF4BA-1581-AC4D-B6D0-4DA8608A83FE}" name="PROMOTOR" totalsRowLabel="TOTAL COMISION" dataDxfId="509" totalsRowDxfId="443"/>
    <tableColumn id="3" xr3:uid="{5AD4D9A8-E98A-A24F-A56D-629ED550B999}" name="CREDENCIAL" dataDxfId="508" totalsRowDxfId="442"/>
    <tableColumn id="4" xr3:uid="{03E80DD7-EDC7-8C4D-B0F9-334B30374CD0}" name="NOMBRE DEL ALUMNO " dataDxfId="507" totalsRowDxfId="441"/>
    <tableColumn id="5" xr3:uid="{CAC07587-F84B-1246-9AFA-02E937C8C53E}" name="COMISION" totalsRowFunction="sum" dataDxfId="506" totalsRowDxfId="440">
      <calculatedColumnFormula>IF(
    OR(
        Tabla_PromotorJORGE_RODRIGUEZ[[#This Row],[GRUPO]] = "",
        Tabla_PromotorJORGE_RODRIGUEZ[[#This Row],[GRUPO]] = 500,
        COUNTIF(Tabla_PromotorJORGE_RODRIGUEZ[CREDENCIAL], Tabla_PromotorJORGE_RODRIGUEZ[[#This Row],[CREDENCIAL]]) &gt; 1,
        COUNTIF(Tabla_Gerente[CREDENCIAL], Tabla_PromotorJORGE_RODRIGUEZ[[#This Row],[CREDENCIAL]]) &gt; 1,
    ),
    0,
    IF(
        Tabla_PromotorJORGE_RODRIGUEZ[[#This Row],[GRUPO]] = 503,
        Tabla_PromotorJORGE_RODRIGUEZ[[#This Row],[PAGO]],
        IF(
            Tabla_PromotorJORGE_RODRIGUEZ[[#This Row],[PAGO]] &gt;= 299,
            Tabla_PromotorJORGE_RODRIGUEZ[[#This Row],[PAGO]] - 150,
            0
        )
    )
)</calculatedColumnFormula>
    </tableColumn>
    <tableColumn id="6" xr3:uid="{CE5295AF-116F-2742-B693-21E7FDBF5DC4}" name="PLANTEL" dataDxfId="505" totalsRowDxfId="439"/>
    <tableColumn id="7" xr3:uid="{586B3BA7-A102-494B-B240-655F9787795B}" name="CURSO" dataDxfId="504" totalsRowDxfId="438"/>
    <tableColumn id="8" xr3:uid="{A550F345-394B-364C-9A81-77502A37F6BE}" name="GRUPO" dataDxfId="503" totalsRowDxfId="437"/>
    <tableColumn id="9" xr3:uid="{847D6F5F-DCBD-9341-A5F0-3B7B551D0E14}" name="PAGO" dataDxfId="502" totalsRowDxfId="436">
      <calculatedColumnFormula>IFERROR(VLOOKUP(Tabla_PromotorJORGE_RODRIGUEZ[[#This Row],[CREDENCIAL]], Tabla_Gerente[[CREDENCIAL]:[PAGO]], 7, FALSE), 0)</calculatedColumnFormula>
    </tableColumn>
    <tableColumn id="10" xr3:uid="{5370D08C-8F97-3A44-8F67-B8C94D9A49A1}" name="FECHA" dataDxfId="501" totalsRowDxfId="435"/>
    <tableColumn id="12" xr3:uid="{E254E968-D570-8E44-B179-AD1C5FD35FDF}" name="TS PLANTEL " dataDxfId="500" totalsRowDxfId="434"/>
    <tableColumn id="13" xr3:uid="{92FB5553-1404-2C44-BD8D-0E08DB4ED215}" name="TS CREDENCIAL " dataDxfId="499" totalsRowDxfId="433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5347096-4440-7A45-88A5-176F9AC8E8BE}" name="Tabla_PromotorMIRIAM_TADEO" displayName="Tabla_PromotorMIRIAM_TADEO" ref="A8:K14" totalsRowCount="1" headerRowDxfId="528" dataDxfId="527" totalsRowDxfId="526" tableBorderDxfId="525">
  <autoFilter ref="A8:K13" xr:uid="{C71DDCE0-811A-4D44-9CD0-772974577224}"/>
  <tableColumns count="11">
    <tableColumn id="1" xr3:uid="{102D64A8-B048-D04E-93A6-4CBB47145D9E}" name="PROMOTOR" totalsRowLabel="TOTAL COMISION" dataDxfId="524" totalsRowDxfId="454"/>
    <tableColumn id="3" xr3:uid="{5BDE30C9-FD18-974A-8588-7AB0B1A27569}" name="CREDENCIAL" dataDxfId="523" totalsRowDxfId="453"/>
    <tableColumn id="4" xr3:uid="{62636CC1-A638-5544-B7FB-55E1F2A0488D}" name="NOMBRE DEL ALUMNO " dataDxfId="522" totalsRowDxfId="452"/>
    <tableColumn id="5" xr3:uid="{F0700A45-4C7B-D747-934A-49437194D71B}" name="COMISION" totalsRowFunction="sum" dataDxfId="521" totalsRowDxfId="451">
      <calculatedColumnFormula>IF(
    OR(
        Tabla_PromotorMIRIAM_TADEO[[#This Row],[GRUPO]] = "",
        Tabla_PromotorMIRIAM_TADEO[[#This Row],[GRUPO]] = 500,
        COUNTIF(Tabla_PromotorMIRIAM_TADEO[CREDENCIAL], Tabla_PromotorMIRIAM_TADEO[[#This Row],[CREDENCIAL]]) &gt; 1,
        COUNTIF(Tabla_Gerente[CREDENCIAL], Tabla_PromotorMIRIAM_TADEO[[#This Row],[CREDENCIAL]]) &gt; 1,
    ),
    0,
    IF(
        Tabla_PromotorMIRIAM_TADEO[[#This Row],[GRUPO]] = 503,
        Tabla_PromotorMIRIAM_TADEO[[#This Row],[PAGO]],
        IF(
            Tabla_PromotorMIRIAM_TADEO[[#This Row],[PAGO]] &gt;= 299,
            Tabla_PromotorMIRIAM_TADEO[[#This Row],[PAGO]] - 150,
            0
        )
    )
)</calculatedColumnFormula>
    </tableColumn>
    <tableColumn id="6" xr3:uid="{0DF757D4-AE06-D541-A949-6FFD342911C4}" name="PLANTEL" dataDxfId="520" totalsRowDxfId="450"/>
    <tableColumn id="7" xr3:uid="{ECCD784B-2AA9-9E4D-AEE4-DCCCFD46492C}" name="CURSO" dataDxfId="519" totalsRowDxfId="449"/>
    <tableColumn id="8" xr3:uid="{40D85D3A-A236-FA4D-8A81-160D17296A95}" name="GRUPO" dataDxfId="518" totalsRowDxfId="448"/>
    <tableColumn id="9" xr3:uid="{21BFC005-9CE6-2C49-B9B0-767479F08FC4}" name="PAGO" dataDxfId="517" totalsRowDxfId="447">
      <calculatedColumnFormula>IFERROR(VLOOKUP(Tabla_PromotorMIRIAM_TADEO[[#This Row],[CREDENCIAL]], Tabla_Gerente[[CREDENCIAL]:[PAGO]], 7, FALSE), 0)</calculatedColumnFormula>
    </tableColumn>
    <tableColumn id="10" xr3:uid="{869455A7-F530-4440-8481-141F476EBDDB}" name="FECHA" dataDxfId="516" totalsRowDxfId="446"/>
    <tableColumn id="12" xr3:uid="{729BE4CC-ABA1-004A-A858-77B75E07EA0D}" name="TS PLANTEL " dataDxfId="515" totalsRowDxfId="445"/>
    <tableColumn id="13" xr3:uid="{86808050-9C1A-B34E-AE11-B5B4D17B6AB3}" name="TS CREDENCIAL " dataDxfId="514" totalsRowDxfId="444"/>
  </tableColumns>
  <tableStyleInfo name="TableStyleMedium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B1D70E7-76A7-854A-A8CD-41591E3B1E6D}" name="Tabla_PromotorDAVID_HERNANDEZ" displayName="Tabla_PromotorDAVID_HERNANDEZ" ref="A8:K15" totalsRowCount="1" headerRowDxfId="543" dataDxfId="542" totalsRowDxfId="541" tableBorderDxfId="540">
  <autoFilter ref="A8:K14" xr:uid="{C71DDCE0-811A-4D44-9CD0-772974577224}"/>
  <tableColumns count="11">
    <tableColumn id="1" xr3:uid="{D556E68A-321A-3646-98D4-77A49F923DE3}" name="PROMOTOR" totalsRowLabel="TOTAL COMISION" dataDxfId="539" totalsRowDxfId="465"/>
    <tableColumn id="3" xr3:uid="{2FCE275B-5E0F-D64E-BD8E-10D0E1AABB0B}" name="CREDENCIAL" dataDxfId="538" totalsRowDxfId="464"/>
    <tableColumn id="4" xr3:uid="{7B6E6FB4-93B8-DF4C-92DE-F4D860C02701}" name="NOMBRE DEL ALUMNO " dataDxfId="537" totalsRowDxfId="463"/>
    <tableColumn id="5" xr3:uid="{27443E95-CC07-8944-974D-052A5BEA2E9D}" name="COMISION" totalsRowFunction="sum" dataDxfId="536" totalsRowDxfId="462">
      <calculatedColumnFormula>IF(
    OR(
        Tabla_PromotorDAVID_HERNANDEZ[[#This Row],[GRUPO]] = "",
        Tabla_PromotorDAVID_HERNANDEZ[[#This Row],[GRUPO]] = 500,
        COUNTIF(Tabla_PromotorDAVID_HERNANDEZ[CREDENCIAL], Tabla_PromotorDAVID_HERNANDEZ[[#This Row],[CREDENCIAL]]) &gt; 1,
        COUNTIF(Tabla_Gerente[CREDENCIAL], Tabla_PromotorDAVID_HERNANDEZ[[#This Row],[CREDENCIAL]]) &gt; 1,
    ),
    0,
    IF(
        Tabla_PromotorDAVID_HERNANDEZ[[#This Row],[GRUPO]] = 503,
        Tabla_PromotorDAVID_HERNANDEZ[[#This Row],[PAGO]],
        IF(
            Tabla_PromotorDAVID_HERNANDEZ[[#This Row],[PAGO]] &gt;= 299,
            Tabla_PromotorDAVID_HERNANDEZ[[#This Row],[PAGO]] - 150,
            0
        )
    )
)</calculatedColumnFormula>
    </tableColumn>
    <tableColumn id="6" xr3:uid="{020B9395-8404-FE4E-849B-3FBF354005FE}" name="PLANTEL" dataDxfId="535" totalsRowDxfId="461"/>
    <tableColumn id="7" xr3:uid="{9BA3123F-0624-3C4A-A717-A5933BA0A9D2}" name="CURSO" dataDxfId="534" totalsRowDxfId="460"/>
    <tableColumn id="8" xr3:uid="{D04FE2EB-A899-5943-A826-5488786A346A}" name="GRUPO" dataDxfId="533" totalsRowDxfId="459"/>
    <tableColumn id="9" xr3:uid="{DDEF886B-0683-864B-BAC8-C138EEDB247C}" name="PAGO" dataDxfId="532" totalsRowDxfId="458">
      <calculatedColumnFormula>IFERROR(VLOOKUP(Tabla_PromotorDAVID_HERNANDEZ[[#This Row],[CREDENCIAL]], Tabla_Gerente[[CREDENCIAL]:[PAGO]], 7, FALSE), 0)</calculatedColumnFormula>
    </tableColumn>
    <tableColumn id="10" xr3:uid="{D437E4FA-A4D3-744E-9EF9-96003FEE73B6}" name="FECHA" dataDxfId="531" totalsRowDxfId="457"/>
    <tableColumn id="12" xr3:uid="{4333CBCF-1A69-8242-B84A-999555123417}" name="TS PLANTEL " dataDxfId="530" totalsRowDxfId="456"/>
    <tableColumn id="13" xr3:uid="{B3DF91D7-8EE3-D043-9D13-4F8A706EEE8A}" name="TS CREDENCIAL " dataDxfId="529" totalsRowDxfId="455"/>
  </tableColumns>
  <tableStyleInfo name="TableStyleMedium2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106C4C4-220A-A44A-88AD-0B652443142B}" name="Tabla_PromotorMARIANA_SANCHEZ" displayName="Tabla_PromotorMARIANA_SANCHEZ" ref="A8:K11" totalsRowCount="1" headerRowDxfId="558" dataDxfId="557" totalsRowDxfId="556" tableBorderDxfId="555">
  <autoFilter ref="A8:K10" xr:uid="{C71DDCE0-811A-4D44-9CD0-772974577224}"/>
  <tableColumns count="11">
    <tableColumn id="1" xr3:uid="{919F416D-CAB2-9245-AE82-B9981202ED7C}" name="PROMOTOR" totalsRowLabel="TOTAL COMISION" dataDxfId="554" totalsRowDxfId="476"/>
    <tableColumn id="3" xr3:uid="{BD471F60-27B5-7846-8AD8-3FABF04FB861}" name="CREDENCIAL" dataDxfId="553" totalsRowDxfId="475"/>
    <tableColumn id="4" xr3:uid="{CBE7BFBE-A129-A048-9DAA-3D8E0DF1D6E6}" name="NOMBRE DEL ALUMNO " dataDxfId="552" totalsRowDxfId="474"/>
    <tableColumn id="5" xr3:uid="{C255D525-0B63-414B-8CF6-0ABEC1A194AB}" name="COMISION" totalsRowFunction="sum" dataDxfId="551" totalsRowDxfId="473">
      <calculatedColumnFormula>IF(
    OR(
        Tabla_PromotorMARIANA_SANCHEZ[[#This Row],[GRUPO]] = "",
        Tabla_PromotorMARIANA_SANCHEZ[[#This Row],[GRUPO]] = 500,
        COUNTIF(Tabla_PromotorMARIANA_SANCHEZ[CREDENCIAL], Tabla_PromotorMARIANA_SANCHEZ[[#This Row],[CREDENCIAL]]) &gt; 1,
        COUNTIF(Tabla_Gerente[CREDENCIAL], Tabla_PromotorMARIANA_SANCHEZ[[#This Row],[CREDENCIAL]]) &gt; 1,
    ),
    0,
    IF(
        Tabla_PromotorMARIANA_SANCHEZ[[#This Row],[GRUPO]] = 503,
        Tabla_PromotorMARIANA_SANCHEZ[[#This Row],[PAGO]],
        IF(
            Tabla_PromotorMARIANA_SANCHEZ[[#This Row],[PAGO]] &gt;= 299,
            Tabla_PromotorMARIANA_SANCHEZ[[#This Row],[PAGO]] - 150,
            0
        )
    )
)</calculatedColumnFormula>
    </tableColumn>
    <tableColumn id="6" xr3:uid="{1EC3D57E-E8DD-EE45-BC03-C88EFD922F28}" name="PLANTEL" dataDxfId="550" totalsRowDxfId="472"/>
    <tableColumn id="7" xr3:uid="{EDF08B6B-761B-CA4C-AAE7-DF4F4863378B}" name="CURSO" dataDxfId="549" totalsRowDxfId="471"/>
    <tableColumn id="8" xr3:uid="{19814DB1-0652-3440-ABBD-F9E9305202E9}" name="GRUPO" dataDxfId="548" totalsRowDxfId="470"/>
    <tableColumn id="9" xr3:uid="{AAD8561A-7B75-324A-BE9B-F060ECFC86AB}" name="PAGO" dataDxfId="547" totalsRowDxfId="469">
      <calculatedColumnFormula>IFERROR(VLOOKUP(Tabla_PromotorMARIANA_SANCHEZ[[#This Row],[CREDENCIAL]], Tabla_Gerente[[CREDENCIAL]:[PAGO]], 7, FALSE), 0)</calculatedColumnFormula>
    </tableColumn>
    <tableColumn id="10" xr3:uid="{9A3FF30A-7CDD-1D45-8EBD-3770B3A8DF96}" name="FECHA" dataDxfId="546" totalsRowDxfId="468"/>
    <tableColumn id="12" xr3:uid="{78EAE177-EDAB-D54B-A587-77892B846971}" name="TS PLANTEL " dataDxfId="545" totalsRowDxfId="467"/>
    <tableColumn id="13" xr3:uid="{F044DC2D-EDC2-524A-B97D-61E420D8D426}" name="TS CREDENCIAL " dataDxfId="544" totalsRowDxfId="466"/>
  </tableColumns>
  <tableStyleInfo name="TableStyleMedium2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BE054B24-291C-2F49-A7F9-3CA5BD7A437F}" name="Tabla_PromotorJOSUE_SIERRA" displayName="Tabla_PromotorJOSUE_SIERRA" ref="A8:K14" totalsRowCount="1" headerRowDxfId="573" dataDxfId="572" totalsRowDxfId="571" tableBorderDxfId="570">
  <autoFilter ref="A8:K13" xr:uid="{C71DDCE0-811A-4D44-9CD0-772974577224}"/>
  <tableColumns count="11">
    <tableColumn id="1" xr3:uid="{9287A2A1-ADA3-704A-AB2F-F4F68A55FA38}" name="PROMOTOR" totalsRowLabel="TOTAL COMISION" dataDxfId="569" totalsRowDxfId="487"/>
    <tableColumn id="3" xr3:uid="{F8DFAF59-9C37-8048-ABDA-F61B43B7484C}" name="CREDENCIAL" dataDxfId="568" totalsRowDxfId="486"/>
    <tableColumn id="4" xr3:uid="{55D497AD-1408-A641-814D-9B3899DE019A}" name="NOMBRE DEL ALUMNO " dataDxfId="567" totalsRowDxfId="485"/>
    <tableColumn id="5" xr3:uid="{94214B24-5AD1-E647-B41A-2583395D038A}" name="COMISION" totalsRowFunction="sum" dataDxfId="566" totalsRowDxfId="484">
      <calculatedColumnFormula>IF(
    OR(
        Tabla_PromotorJOSUE_SIERRA[[#This Row],[GRUPO]] = "",
        Tabla_PromotorJOSUE_SIERRA[[#This Row],[GRUPO]] = 500,
        COUNTIF(Tabla_PromotorJOSUE_SIERRA[CREDENCIAL], Tabla_PromotorJOSUE_SIERRA[[#This Row],[CREDENCIAL]]) &gt; 1,
        COUNTIF(Tabla_Gerente[CREDENCIAL], Tabla_PromotorJOSUE_SIERRA[[#This Row],[CREDENCIAL]]) &gt; 1,
    ),
    0,
    IF(
        Tabla_PromotorJOSUE_SIERRA[[#This Row],[GRUPO]] = 503,
        Tabla_PromotorJOSUE_SIERRA[[#This Row],[PAGO]],
        IF(
            Tabla_PromotorJOSUE_SIERRA[[#This Row],[PAGO]] &gt;= 299,
            Tabla_PromotorJOSUE_SIERRA[[#This Row],[PAGO]] - 150,
            0
        )
    )
)</calculatedColumnFormula>
    </tableColumn>
    <tableColumn id="6" xr3:uid="{72F482F0-0D34-9A40-A686-E047E135FE62}" name="PLANTEL" dataDxfId="565" totalsRowDxfId="483"/>
    <tableColumn id="7" xr3:uid="{AA853BA7-00B8-8C48-BE60-B4FBE3AC5DFB}" name="CURSO" dataDxfId="564" totalsRowDxfId="482"/>
    <tableColumn id="8" xr3:uid="{3BA84A32-A481-E841-A023-BF2752877D4A}" name="GRUPO" dataDxfId="563" totalsRowDxfId="481"/>
    <tableColumn id="9" xr3:uid="{FB091494-8DB6-C949-B6D1-4B700A233F2A}" name="PAGO" dataDxfId="562" totalsRowDxfId="480">
      <calculatedColumnFormula>IFERROR(VLOOKUP(Tabla_PromotorJOSUE_SIERRA[[#This Row],[CREDENCIAL]], Tabla_Gerente[[CREDENCIAL]:[PAGO]], 7, FALSE), 0)</calculatedColumnFormula>
    </tableColumn>
    <tableColumn id="10" xr3:uid="{3643CC89-43C8-324B-8E35-0A3AB46DD779}" name="FECHA" dataDxfId="561" totalsRowDxfId="479"/>
    <tableColumn id="12" xr3:uid="{71B3B8BB-EC2B-FF4D-BF78-EFE2CED39AFB}" name="TS PLANTEL " dataDxfId="560" totalsRowDxfId="478"/>
    <tableColumn id="13" xr3:uid="{85BAF7DC-9FA7-DC4A-8D51-1657BF88BAC9}" name="TS CREDENCIAL " dataDxfId="559" totalsRowDxfId="477"/>
  </tableColumns>
  <tableStyleInfo name="TableStyleMedium2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2EF0345-27B1-DC49-88BE-379287441F10}" name="Tabla_PromotorBRYAN_CAMPOS" displayName="Tabla_PromotorBRYAN_CAMPOS" ref="A8:K13" totalsRowCount="1" headerRowDxfId="588" dataDxfId="587" totalsRowDxfId="586" tableBorderDxfId="585">
  <autoFilter ref="A8:K12" xr:uid="{C71DDCE0-811A-4D44-9CD0-772974577224}"/>
  <tableColumns count="11">
    <tableColumn id="1" xr3:uid="{7CBEDAC4-C009-004D-82D0-38F6E7D456B5}" name="PROMOTOR" totalsRowLabel="TOTAL COMISION" dataDxfId="584" totalsRowDxfId="498"/>
    <tableColumn id="3" xr3:uid="{E274C273-9972-1845-98FB-F95C3953B156}" name="CREDENCIAL" dataDxfId="583" totalsRowDxfId="497"/>
    <tableColumn id="4" xr3:uid="{C79B4C23-A4E6-D14F-BB91-026E4BF5CD14}" name="NOMBRE DEL ALUMNO " dataDxfId="582" totalsRowDxfId="496"/>
    <tableColumn id="5" xr3:uid="{E1BDC07D-2339-0D47-9114-3D255335AA0F}" name="COMISION" totalsRowFunction="sum" dataDxfId="581" totalsRowDxfId="495">
      <calculatedColumnFormula>IF(
    OR(
        Tabla_PromotorBRYAN_CAMPOS[[#This Row],[GRUPO]] = "",
        Tabla_PromotorBRYAN_CAMPOS[[#This Row],[GRUPO]] = 500,
        COUNTIF(Tabla_PromotorBRYAN_CAMPOS[CREDENCIAL], Tabla_PromotorBRYAN_CAMPOS[[#This Row],[CREDENCIAL]]) &gt; 1,
        COUNTIF(Tabla_Gerente[CREDENCIAL], Tabla_PromotorBRYAN_CAMPOS[[#This Row],[CREDENCIAL]]) &gt; 1,
    ),
    0,
    IF(
        Tabla_PromotorBRYAN_CAMPOS[[#This Row],[GRUPO]] = 503,
        Tabla_PromotorBRYAN_CAMPOS[[#This Row],[PAGO]],
        IF(
            Tabla_PromotorBRYAN_CAMPOS[[#This Row],[PAGO]] &gt;= 299,
            Tabla_PromotorBRYAN_CAMPOS[[#This Row],[PAGO]] - 150,
            0
        )
    )
)</calculatedColumnFormula>
    </tableColumn>
    <tableColumn id="6" xr3:uid="{5403A420-1A65-2849-9DD3-D6288DBD47DE}" name="PLANTEL" dataDxfId="580" totalsRowDxfId="494"/>
    <tableColumn id="7" xr3:uid="{1F5DE67D-5658-164B-8D06-CD8112073F01}" name="CURSO" dataDxfId="579" totalsRowDxfId="493"/>
    <tableColumn id="8" xr3:uid="{A1C88592-4B16-6944-AF4F-6D40B9AB904C}" name="GRUPO" dataDxfId="578" totalsRowDxfId="492"/>
    <tableColumn id="9" xr3:uid="{95A62804-3C54-F142-8028-51D6851F76E4}" name="PAGO" dataDxfId="577" totalsRowDxfId="491">
      <calculatedColumnFormula>IFERROR(VLOOKUP(Tabla_PromotorBRYAN_CAMPOS[[#This Row],[CREDENCIAL]], Tabla_Gerente[[CREDENCIAL]:[PAGO]], 7, FALSE), 0)</calculatedColumnFormula>
    </tableColumn>
    <tableColumn id="10" xr3:uid="{D96F1D76-6CEE-D84D-BD19-78F6C702E3CC}" name="FECHA" dataDxfId="576" totalsRowDxfId="490"/>
    <tableColumn id="12" xr3:uid="{951A8614-2AB8-5A4E-8659-A7A30ADA3014}" name="TS PLANTEL " dataDxfId="575" totalsRowDxfId="489"/>
    <tableColumn id="13" xr3:uid="{54C48423-AE95-EE44-80C1-6A41EB617608}" name="TS CREDENCIAL " dataDxfId="574" totalsRowDxfId="488"/>
  </tableColumns>
  <tableStyleInfo name="TableStyleMedium2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BD47C2E-BC92-A746-8830-3DC09CE1AF8A}" name="Tabla_Coordinador_JOSUE_ALVAREZ" displayName="Tabla_Coordinador_JOSUE_ALVAREZ" ref="A8:K41" totalsRowCount="1" headerRowDxfId="655" dataDxfId="654" totalsRowDxfId="653" tableBorderDxfId="652">
  <autoFilter ref="A8:K40" xr:uid="{9C0FA07F-0DE0-4099-9974-17C69221CC48}"/>
  <sortState xmlns:xlrd2="http://schemas.microsoft.com/office/spreadsheetml/2017/richdata2" ref="A9:K40">
    <sortCondition ref="A9:A40"/>
  </sortState>
  <tableColumns count="11">
    <tableColumn id="1" xr3:uid="{7E8110FE-6B68-6C4F-A6E9-B295CA412FFF}" name="PROMOTOR" totalsRowLabel="TOTAL COMISION" dataDxfId="198" totalsRowDxfId="197"/>
    <tableColumn id="3" xr3:uid="{DE03CC47-89BE-974F-8568-4B7FEED9B447}" name="CREDENCIAL" dataDxfId="196" totalsRowDxfId="195"/>
    <tableColumn id="4" xr3:uid="{C3372265-8AA0-7744-AACE-5303E6575525}" name="NOMBRE DEL ALUMNO" dataDxfId="194" totalsRowDxfId="193"/>
    <tableColumn id="5" xr3:uid="{FBCF6742-4B4C-DF44-B766-5C9C4600584F}" name="COMISION" totalsRowFunction="sum" dataDxfId="192" totalsRowDxfId="191">
      <calculatedColumnFormula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calculatedColumnFormula>
    </tableColumn>
    <tableColumn id="6" xr3:uid="{08404B14-278D-4A40-87E8-554C83ED36AF}" name="PLANTEL" dataDxfId="190" totalsRowDxfId="189"/>
    <tableColumn id="7" xr3:uid="{4BDF68C0-F980-9E4A-83D7-210A4193C0A5}" name="CURSO" dataDxfId="188" totalsRowDxfId="187"/>
    <tableColumn id="8" xr3:uid="{2BCD5A39-101B-A042-B01E-F543F4AAFEBC}" name="GRUPO" dataDxfId="186" totalsRowDxfId="185"/>
    <tableColumn id="9" xr3:uid="{B05C7BD1-5067-8A42-BA48-51498650C0FC}" name="PAGO" dataDxfId="184" totalsRowDxfId="183" dataCellStyle="Currency">
      <calculatedColumnFormula>IFERROR(VLOOKUP(Tabla_Coordinador_JOSUE_ALVAREZ[[#This Row],[CREDENCIAL]], Tabla_Gerente[[CREDENCIAL]:[PAGO]], 7, FALSE), 0)</calculatedColumnFormula>
    </tableColumn>
    <tableColumn id="10" xr3:uid="{7B06393F-E791-D54E-9217-A00ABF1180B6}" name="FECHA" dataDxfId="182" totalsRowDxfId="181"/>
    <tableColumn id="12" xr3:uid="{88A29B1E-7D0C-F147-9940-CA6782D5A671}" name="TS PLANTEL " dataDxfId="180" totalsRowDxfId="179"/>
    <tableColumn id="13" xr3:uid="{F607D96D-59EA-F947-B313-9C928A6B9CD2}" name="TS CREDENCIAL " dataDxfId="178" totalsRowDxfId="177"/>
  </tableColumns>
  <tableStyleInfo name="TableStyleMedium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964C2913-A860-0D46-9C17-BBD36648D342}" name="Tabla_PromotorJONATHAN_MARTINEZ" displayName="Tabla_PromotorJONATHAN_MARTINEZ" ref="A8:K14" totalsRowCount="1" headerRowDxfId="387" dataDxfId="386" totalsRowDxfId="385" tableBorderDxfId="384">
  <autoFilter ref="A8:K13" xr:uid="{C71DDCE0-811A-4D44-9CD0-772974577224}"/>
  <tableColumns count="11">
    <tableColumn id="1" xr3:uid="{F5EA3B40-2979-5E40-A5FD-70F68F16106B}" name="PROMOTOR" totalsRowLabel="TOTAL COMISION" dataDxfId="383" totalsRowDxfId="339"/>
    <tableColumn id="3" xr3:uid="{23FC2D06-49AA-F848-B911-EF356050185F}" name="CREDENCIAL" dataDxfId="382" totalsRowDxfId="338"/>
    <tableColumn id="4" xr3:uid="{B181B700-3251-D94C-A553-F4D5605262ED}" name="NOMBRE DEL ALUMNO " dataDxfId="381" totalsRowDxfId="337"/>
    <tableColumn id="5" xr3:uid="{4E7C0769-D50D-D143-81D7-20EA8BAC78B8}" name="COMISION" totalsRowFunction="sum" dataDxfId="380" totalsRowDxfId="336">
      <calculatedColumnFormula>IF(
    OR(
        Tabla_PromotorJONATHAN_MARTINEZ[[#This Row],[GRUPO]] = "",
        Tabla_PromotorJONATHAN_MARTINEZ[[#This Row],[GRUPO]] = 500,
        COUNTIF(Tabla_PromotorJONATHAN_MARTINEZ[CREDENCIAL], Tabla_PromotorJONATHAN_MARTINEZ[[#This Row],[CREDENCIAL]]) &gt; 1,
        COUNTIF(Tabla_Gerente[CREDENCIAL], Tabla_PromotorJONATHAN_MARTINEZ[[#This Row],[CREDENCIAL]]) &gt; 1,
    ),
    0,
    IF(
        Tabla_PromotorJONATHAN_MARTINEZ[[#This Row],[GRUPO]] = 503,
        Tabla_PromotorJONATHAN_MARTINEZ[[#This Row],[PAGO]],
        IF(
            Tabla_PromotorJONATHAN_MARTINEZ[[#This Row],[PAGO]] &gt;= 299,
            Tabla_PromotorJONATHAN_MARTINEZ[[#This Row],[PAGO]] - 150,
            0
        )
    )
)</calculatedColumnFormula>
    </tableColumn>
    <tableColumn id="6" xr3:uid="{A14DA743-8C84-0045-AA58-E8E31DB6ED60}" name="PLANTEL" dataDxfId="379" totalsRowDxfId="335"/>
    <tableColumn id="7" xr3:uid="{EB144608-0712-734A-8B53-17B25B44275B}" name="CURSO" dataDxfId="378" totalsRowDxfId="334"/>
    <tableColumn id="8" xr3:uid="{DF5E72B9-F012-9A40-AE7B-F2CC2D60E210}" name="GRUPO" dataDxfId="377" totalsRowDxfId="333"/>
    <tableColumn id="9" xr3:uid="{8ED7BECE-99E8-B64B-BFF5-2665DA290B81}" name="PAGO" dataDxfId="376" totalsRowDxfId="332">
      <calculatedColumnFormula>IFERROR(VLOOKUP(Tabla_PromotorJONATHAN_MARTINEZ[[#This Row],[CREDENCIAL]], Tabla_Gerente[[CREDENCIAL]:[PAGO]], 7, FALSE), 0)</calculatedColumnFormula>
    </tableColumn>
    <tableColumn id="10" xr3:uid="{AACA3F52-D39D-BB48-8CC4-A938A2C234B6}" name="FECHA" dataDxfId="375" totalsRowDxfId="331"/>
    <tableColumn id="12" xr3:uid="{A9EDDD49-5178-8A46-9C49-6C305A0991F0}" name="TS PLANTEL " dataDxfId="374" totalsRowDxfId="330"/>
    <tableColumn id="13" xr3:uid="{552F06E8-7C05-5C41-BC99-1B6745DE81C2}" name="TS CREDENCIAL " dataDxfId="373" totalsRowDxfId="329"/>
  </tableColumns>
  <tableStyleInfo name="TableStyleMedium2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918A623-DDEE-534D-B13F-4937127073E3}" name="Tabla_PromotorFERNANDA_ORNELAS" displayName="Tabla_PromotorFERNANDA_ORNELAS" ref="A8:K17" totalsRowCount="1" headerRowDxfId="402" dataDxfId="401" totalsRowDxfId="400" tableBorderDxfId="399">
  <autoFilter ref="A8:K16" xr:uid="{C71DDCE0-811A-4D44-9CD0-772974577224}"/>
  <tableColumns count="11">
    <tableColumn id="1" xr3:uid="{AC0FB7F9-E376-A54E-B0BA-5B4FDC214FFF}" name="PROMOTOR" totalsRowLabel="TOTAL COMISION" dataDxfId="398" totalsRowDxfId="350"/>
    <tableColumn id="3" xr3:uid="{124DD411-06C2-F848-939C-EBC6ED297A92}" name="CREDENCIAL" dataDxfId="397" totalsRowDxfId="349"/>
    <tableColumn id="4" xr3:uid="{D885BDA7-4899-1343-8DEA-D75514B83C79}" name="NOMBRE DEL ALUMNO " dataDxfId="396" totalsRowDxfId="348"/>
    <tableColumn id="5" xr3:uid="{890FA2B1-3E0B-9942-B0E5-4B19FA89994A}" name="COMISION" totalsRowFunction="sum" dataDxfId="395" totalsRowDxfId="347">
      <calculatedColumnFormula>IF(
    OR(
        Tabla_PromotorFERNANDA_ORNELAS[[#This Row],[GRUPO]] = "",
        Tabla_PromotorFERNANDA_ORNELAS[[#This Row],[GRUPO]] = 500,
        COUNTIF(Tabla_PromotorFERNANDA_ORNELAS[CREDENCIAL], Tabla_PromotorFERNANDA_ORNELAS[[#This Row],[CREDENCIAL]]) &gt; 1,
        COUNTIF(Tabla_Gerente[CREDENCIAL], Tabla_PromotorFERNANDA_ORNELAS[[#This Row],[CREDENCIAL]]) &gt; 1,
    ),
    0,
    IF(
        Tabla_PromotorFERNANDA_ORNELAS[[#This Row],[GRUPO]] = 503,
        Tabla_PromotorFERNANDA_ORNELAS[[#This Row],[PAGO]],
        IF(
            Tabla_PromotorFERNANDA_ORNELAS[[#This Row],[PAGO]] &gt;= 299,
            Tabla_PromotorFERNANDA_ORNELAS[[#This Row],[PAGO]] - 150,
            0
        )
    )
)</calculatedColumnFormula>
    </tableColumn>
    <tableColumn id="6" xr3:uid="{9062410F-0845-1D43-8072-620967153803}" name="PLANTEL" dataDxfId="394" totalsRowDxfId="346"/>
    <tableColumn id="7" xr3:uid="{71909422-DC7F-4243-B780-03E3CB7CE2D0}" name="CURSO" dataDxfId="393" totalsRowDxfId="345"/>
    <tableColumn id="8" xr3:uid="{660F5973-CCCD-8C42-B419-CA039EC21951}" name="GRUPO" dataDxfId="392" totalsRowDxfId="344"/>
    <tableColumn id="9" xr3:uid="{EF22E058-4975-1049-9D2A-953C7E62426F}" name="PAGO" dataDxfId="391" totalsRowDxfId="343">
      <calculatedColumnFormula>IFERROR(VLOOKUP(Tabla_PromotorFERNANDA_ORNELAS[[#This Row],[CREDENCIAL]], Tabla_Gerente[[CREDENCIAL]:[PAGO]], 7, FALSE), 0)</calculatedColumnFormula>
    </tableColumn>
    <tableColumn id="10" xr3:uid="{0E3E03A4-8869-8646-8262-F621C67766A5}" name="FECHA" dataDxfId="390" totalsRowDxfId="342"/>
    <tableColumn id="12" xr3:uid="{33CBA796-FCDE-0C4C-870B-CB5F8DCDD75C}" name="TS PLANTEL " dataDxfId="389" totalsRowDxfId="341"/>
    <tableColumn id="13" xr3:uid="{37F00B33-3283-F549-BA13-6C63F387A7D7}" name="TS CREDENCIAL " dataDxfId="388" totalsRowDxfId="340"/>
  </tableColumns>
  <tableStyleInfo name="TableStyleMedium2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3E2B69E9-14C6-9749-A7E2-BBE19FDF7E33}" name="Tabla_PromotorDANIELA_LOZANO" displayName="Tabla_PromotorDANIELA_LOZANO" ref="A8:K19" totalsRowCount="1" headerRowDxfId="417" dataDxfId="416" totalsRowDxfId="415" tableBorderDxfId="414">
  <autoFilter ref="A8:K18" xr:uid="{C71DDCE0-811A-4D44-9CD0-772974577224}"/>
  <tableColumns count="11">
    <tableColumn id="1" xr3:uid="{DE27271D-C42F-AB47-93E7-FAA9323D6C43}" name="PROMOTOR" totalsRowLabel="TOTAL COMISION" dataDxfId="413" totalsRowDxfId="361"/>
    <tableColumn id="3" xr3:uid="{D4B78EA1-0BBF-494B-AAE2-BEA5BC0DC4B0}" name="CREDENCIAL" dataDxfId="412" totalsRowDxfId="360"/>
    <tableColumn id="4" xr3:uid="{F8B8E66D-782E-0048-95C5-85A0CCBAB813}" name="NOMBRE DEL ALUMNO " dataDxfId="411" totalsRowDxfId="359"/>
    <tableColumn id="5" xr3:uid="{8E951117-14D2-F340-9E7E-27433470C7FF}" name="COMISION" totalsRowFunction="sum" dataDxfId="410" totalsRowDxfId="358">
      <calculatedColumnFormula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calculatedColumnFormula>
    </tableColumn>
    <tableColumn id="6" xr3:uid="{00B679ED-C615-6545-BD54-20156BE2CCD0}" name="PLANTEL" dataDxfId="409" totalsRowDxfId="357"/>
    <tableColumn id="7" xr3:uid="{CF36943E-D559-1F40-95B3-9A19DBDBB619}" name="CURSO" dataDxfId="408" totalsRowDxfId="356"/>
    <tableColumn id="8" xr3:uid="{EF8EC5FB-2DAD-F845-9A17-EFFB0E6C954C}" name="GRUPO" dataDxfId="407" totalsRowDxfId="355"/>
    <tableColumn id="9" xr3:uid="{8BE5C24F-1B74-6644-8BEE-A53C07AB62B6}" name="PAGO" dataDxfId="406" totalsRowDxfId="354">
      <calculatedColumnFormula>IFERROR(VLOOKUP(Tabla_PromotorDANIELA_LOZANO[[#This Row],[CREDENCIAL]], Tabla_Gerente[[CREDENCIAL]:[PAGO]], 7, FALSE), 0)</calculatedColumnFormula>
    </tableColumn>
    <tableColumn id="10" xr3:uid="{B598F9C2-767B-4B48-97DC-E00E55DC5C3A}" name="FECHA" dataDxfId="405" totalsRowDxfId="353"/>
    <tableColumn id="12" xr3:uid="{B3E6E018-15A0-C04B-884F-EBDF46E57D0B}" name="TS PLANTEL " dataDxfId="404" totalsRowDxfId="352"/>
    <tableColumn id="13" xr3:uid="{BE8C682C-386E-9748-9192-6B2DC885DCC5}" name="TS CREDENCIAL " dataDxfId="403" totalsRowDxfId="351"/>
  </tableColumns>
  <tableStyleInfo name="TableStyleMedium2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C224BD0C-AB0D-2B49-B832-6FB8120D5B45}" name="Tabla_PromotorBETZANIA_MUÑOZ" displayName="Tabla_PromotorBETZANIA_MUÑOZ" ref="A8:K18" totalsRowCount="1" headerRowDxfId="432" dataDxfId="431" totalsRowDxfId="430" tableBorderDxfId="429">
  <autoFilter ref="A8:K17" xr:uid="{C71DDCE0-811A-4D44-9CD0-772974577224}"/>
  <tableColumns count="11">
    <tableColumn id="1" xr3:uid="{B3774A1A-E33B-5A4F-9150-4C1598721FAF}" name="PROMOTOR" totalsRowLabel="TOTAL COMISION" dataDxfId="428" totalsRowDxfId="372"/>
    <tableColumn id="3" xr3:uid="{A985ED08-F1F0-A34E-96DE-0EE9A476AF9C}" name="CREDENCIAL" dataDxfId="427" totalsRowDxfId="371"/>
    <tableColumn id="4" xr3:uid="{A5F92636-D9D5-814D-9AD6-7E9597065B41}" name="NOMBRE DEL ALUMNO " dataDxfId="426" totalsRowDxfId="370"/>
    <tableColumn id="5" xr3:uid="{C93CB81F-DAE5-E54A-924F-EC1053DA6412}" name="COMISION" totalsRowFunction="sum" dataDxfId="425" totalsRowDxfId="369">
      <calculatedColumnFormula>IF(
    OR(
        Tabla_PromotorBETZANIA_MUÑOZ[[#This Row],[GRUPO]] = "",
        Tabla_PromotorBETZANIA_MUÑOZ[[#This Row],[GRUPO]] = 500,
        COUNTIF(Tabla_PromotorBETZANIA_MUÑOZ[CREDENCIAL], Tabla_PromotorBETZANIA_MUÑOZ[[#This Row],[CREDENCIAL]]) &gt; 1,
        COUNTIF(Tabla_Gerente[CREDENCIAL], Tabla_PromotorBETZANIA_MUÑOZ[[#This Row],[CREDENCIAL]]) &gt; 1,
    ),
    0,
    IF(
        Tabla_PromotorBETZANIA_MUÑOZ[[#This Row],[GRUPO]] = 503,
        Tabla_PromotorBETZANIA_MUÑOZ[[#This Row],[PAGO]],
        IF(
            Tabla_PromotorBETZANIA_MUÑOZ[[#This Row],[PAGO]] &gt;= 299,
            Tabla_PromotorBETZANIA_MUÑOZ[[#This Row],[PAGO]] - 150,
            0
        )
    )
)</calculatedColumnFormula>
    </tableColumn>
    <tableColumn id="6" xr3:uid="{9687FB14-41D1-E841-9EBD-5225E9060AED}" name="PLANTEL" dataDxfId="424" totalsRowDxfId="368"/>
    <tableColumn id="7" xr3:uid="{FA703C0D-ED80-094A-A9D1-97313CEAC636}" name="CURSO" dataDxfId="423" totalsRowDxfId="367"/>
    <tableColumn id="8" xr3:uid="{5F705161-EA1F-2E4F-BB8F-CE7E3D06F406}" name="GRUPO" dataDxfId="422" totalsRowDxfId="366"/>
    <tableColumn id="9" xr3:uid="{F149FB82-2C96-7B4C-86A7-EB8DF3A29EE5}" name="PAGO" dataDxfId="421" totalsRowDxfId="365">
      <calculatedColumnFormula>IFERROR(VLOOKUP(Tabla_PromotorBETZANIA_MUÑOZ[[#This Row],[CREDENCIAL]], Tabla_Gerente[[CREDENCIAL]:[PAGO]], 7, FALSE), 0)</calculatedColumnFormula>
    </tableColumn>
    <tableColumn id="10" xr3:uid="{D6B0F144-D786-584F-BC33-34A6653D7763}" name="FECHA" dataDxfId="420" totalsRowDxfId="364"/>
    <tableColumn id="12" xr3:uid="{BD5B61C0-FABF-FB4B-B4AA-3A827F900196}" name="TS PLANTEL " dataDxfId="419" totalsRowDxfId="363"/>
    <tableColumn id="13" xr3:uid="{9F6EB8C7-B6F6-E74B-9751-760E01D09094}" name="TS CREDENCIAL " dataDxfId="418" totalsRowDxfId="362"/>
  </tableColumns>
  <tableStyleInfo name="TableStyleMedium2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5260844-960F-3F42-B254-349EDB317C80}" name="Tabla_Coordinador_MICHELLE_APARICIO" displayName="Tabla_Coordinador_MICHELLE_APARICIO" ref="A8:K40" totalsRowCount="1" headerRowDxfId="651" dataDxfId="650" totalsRowDxfId="649" tableBorderDxfId="648">
  <autoFilter ref="A8:K39" xr:uid="{9C0FA07F-0DE0-4099-9974-17C69221CC48}"/>
  <sortState xmlns:xlrd2="http://schemas.microsoft.com/office/spreadsheetml/2017/richdata2" ref="A9:K39">
    <sortCondition ref="A9:A39"/>
  </sortState>
  <tableColumns count="11">
    <tableColumn id="1" xr3:uid="{6A9F455E-6446-5541-9A33-D327160F87E6}" name="PROMOTOR" totalsRowLabel="TOTAL COMISION" dataDxfId="647" totalsRowDxfId="610"/>
    <tableColumn id="3" xr3:uid="{CE7BA8F6-7542-004B-B709-00895AAD4416}" name="CREDENCIAL" dataDxfId="646" totalsRowDxfId="609"/>
    <tableColumn id="4" xr3:uid="{A39C1B35-7375-E04E-9776-8ED474398E68}" name="NOMBRE DEL ALUMNO" dataDxfId="645" totalsRowDxfId="608"/>
    <tableColumn id="5" xr3:uid="{3FFE0E0B-672F-304C-8B43-A5CC5ABBFEC4}" name="COMISION" totalsRowFunction="sum" dataDxfId="644" totalsRowDxfId="607">
      <calculatedColumnFormula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calculatedColumnFormula>
    </tableColumn>
    <tableColumn id="6" xr3:uid="{3F82E931-7384-2F41-8FCC-73710B3C70F8}" name="PLANTEL" dataDxfId="643" totalsRowDxfId="606"/>
    <tableColumn id="7" xr3:uid="{57BC2BD9-543F-5A48-A392-B46A93A53C6B}" name="CURSO" dataDxfId="642" totalsRowDxfId="605"/>
    <tableColumn id="8" xr3:uid="{AAC4BBB2-3DAC-9B41-96E3-15541C339A19}" name="GRUPO" dataDxfId="641" totalsRowDxfId="604"/>
    <tableColumn id="9" xr3:uid="{3B21309A-2783-8E42-A199-4B409C7A0BC6}" name="PAGO" dataDxfId="640" totalsRowDxfId="603" dataCellStyle="Currency">
      <calculatedColumnFormula>IFERROR(VLOOKUP(Tabla_Coordinador_MICHELLE_APARICIO[[#This Row],[CREDENCIAL]], Tabla_Gerente[[CREDENCIAL]:[PAGO]], 7, FALSE), 0)</calculatedColumnFormula>
    </tableColumn>
    <tableColumn id="10" xr3:uid="{F390D9FB-2093-7B40-BA55-57C873392713}" name="FECHA" dataDxfId="639" totalsRowDxfId="602"/>
    <tableColumn id="12" xr3:uid="{03F61532-B44F-E642-92E9-408029267B22}" name="TS PLANTEL " dataDxfId="638" totalsRowDxfId="601"/>
    <tableColumn id="13" xr3:uid="{A58F9C88-FB78-424A-B10B-E686F89CA225}" name="TS CREDENCIAL " dataDxfId="637" totalsRowDxfId="600"/>
  </tableColumns>
  <tableStyleInfo name="TableStyleMedium1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0EECC73-E5E4-6D49-9AC1-A6AC540A2098}" name="Tabla_PromotorFRIDA_RIVERA" displayName="Tabla_PromotorFRIDA_RIVERA" ref="A8:K16" totalsRowCount="1" headerRowDxfId="283" dataDxfId="282" totalsRowDxfId="281" tableBorderDxfId="280">
  <autoFilter ref="A8:K15" xr:uid="{C71DDCE0-811A-4D44-9CD0-772974577224}"/>
  <tableColumns count="11">
    <tableColumn id="1" xr3:uid="{18F7A406-4419-9A45-8442-366B690BCCB7}" name="PROMOTOR" totalsRowLabel="TOTAL COMISION" dataDxfId="279" totalsRowDxfId="235"/>
    <tableColumn id="3" xr3:uid="{EE2BE519-AB29-E741-9C20-EDB7F9F7C206}" name="CREDENCIAL" dataDxfId="278" totalsRowDxfId="234"/>
    <tableColumn id="4" xr3:uid="{217D5DA9-9E00-C846-9168-5102746C36D1}" name="NOMBRE DEL ALUMNO " dataDxfId="277" totalsRowDxfId="233"/>
    <tableColumn id="5" xr3:uid="{E3CDEDF6-4036-2442-AA63-B1BE3A03A4EB}" name="COMISION" totalsRowFunction="sum" dataDxfId="276" totalsRowDxfId="232">
      <calculatedColumnFormula>IF(
    OR(
        Tabla_PromotorFRIDA_RIVERA[[#This Row],[GRUPO]] = "",
        Tabla_PromotorFRIDA_RIVERA[[#This Row],[GRUPO]] = 500,
        COUNTIF(Tabla_PromotorFRIDA_RIVERA[CREDENCIAL], Tabla_PromotorFRIDA_RIVERA[[#This Row],[CREDENCIAL]]) &gt; 1,
        COUNTIF(Tabla_Gerente[CREDENCIAL], Tabla_PromotorFRIDA_RIVERA[[#This Row],[CREDENCIAL]]) &gt; 1,
    ),
    0,
    IF(
        Tabla_PromotorFRIDA_RIVERA[[#This Row],[GRUPO]] = 503,
        Tabla_PromotorFRIDA_RIVERA[[#This Row],[PAGO]],
        IF(
            Tabla_PromotorFRIDA_RIVERA[[#This Row],[PAGO]] &gt;= 299,
            Tabla_PromotorFRIDA_RIVERA[[#This Row],[PAGO]] - 150,
            0
        )
    )
)</calculatedColumnFormula>
    </tableColumn>
    <tableColumn id="6" xr3:uid="{DFBE5B28-5C19-1749-89E7-0E42CFF01AE1}" name="PLANTEL" dataDxfId="275" totalsRowDxfId="231"/>
    <tableColumn id="7" xr3:uid="{F066F2AB-7E30-3C4E-B26C-E59E438457C0}" name="CURSO" dataDxfId="274" totalsRowDxfId="230"/>
    <tableColumn id="8" xr3:uid="{D98109ED-5D3F-2649-843A-74B3FBCE376B}" name="GRUPO" dataDxfId="273" totalsRowDxfId="229"/>
    <tableColumn id="9" xr3:uid="{54B1FB95-0011-8A4E-8B60-32BE4F565DDA}" name="PAGO" dataDxfId="272" totalsRowDxfId="228">
      <calculatedColumnFormula>IFERROR(VLOOKUP(Tabla_PromotorFRIDA_RIVERA[[#This Row],[CREDENCIAL]], Tabla_Gerente[[CREDENCIAL]:[PAGO]], 7, FALSE), 0)</calculatedColumnFormula>
    </tableColumn>
    <tableColumn id="10" xr3:uid="{7AFF4229-DDF2-CA42-B47D-DE86E95EDBAD}" name="FECHA" dataDxfId="271" totalsRowDxfId="227"/>
    <tableColumn id="12" xr3:uid="{FCC1A0A5-B275-E041-B3C4-D861C8B0B09E}" name="TS PLANTEL " dataDxfId="270" totalsRowDxfId="226"/>
    <tableColumn id="13" xr3:uid="{FD5F696D-B9D4-8245-92BC-9CD668D25136}" name="TS CREDENCIAL " dataDxfId="269" totalsRowDxfId="225"/>
  </tableColumns>
  <tableStyleInfo name="TableStyleMedium2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D7BCB355-2E5A-344E-BB55-3EF06B4864F6}" name="Tabla_PromotorEVELYN_VELAZQUEZ" displayName="Tabla_PromotorEVELYN_VELAZQUEZ" ref="A8:K19" totalsRowCount="1" headerRowDxfId="298" dataDxfId="297" totalsRowDxfId="296" tableBorderDxfId="295">
  <autoFilter ref="A8:K18" xr:uid="{C71DDCE0-811A-4D44-9CD0-772974577224}"/>
  <tableColumns count="11">
    <tableColumn id="1" xr3:uid="{605C4B91-3EC8-D448-89B1-76A15B32A955}" name="PROMOTOR" totalsRowLabel="TOTAL COMISION" dataDxfId="294" totalsRowDxfId="246"/>
    <tableColumn id="3" xr3:uid="{13FE3B8C-9F24-2748-B3F8-995188C02202}" name="CREDENCIAL" dataDxfId="293" totalsRowDxfId="245"/>
    <tableColumn id="4" xr3:uid="{FB921D05-10CB-6E4C-92C3-2E7287CB6C98}" name="NOMBRE DEL ALUMNO " dataDxfId="292" totalsRowDxfId="244"/>
    <tableColumn id="5" xr3:uid="{E2CC679C-A3B4-D243-BEA7-C6BFD0E43545}" name="COMISION" totalsRowFunction="sum" dataDxfId="291" totalsRowDxfId="243">
      <calculatedColumnFormula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calculatedColumnFormula>
    </tableColumn>
    <tableColumn id="6" xr3:uid="{0AA43E0E-E73B-BA48-842B-3C918414399F}" name="PLANTEL" dataDxfId="290" totalsRowDxfId="242"/>
    <tableColumn id="7" xr3:uid="{6CBFC5C8-3E60-5F42-B648-AD3E46DDABD4}" name="CURSO" dataDxfId="289" totalsRowDxfId="241"/>
    <tableColumn id="8" xr3:uid="{F19A418B-930F-9944-BC9E-E7D6FFB8CB48}" name="GRUPO" dataDxfId="288" totalsRowDxfId="240"/>
    <tableColumn id="9" xr3:uid="{310614DF-A045-9841-8F4F-9EB436775935}" name="PAGO" dataDxfId="287" totalsRowDxfId="239">
      <calculatedColumnFormula>IFERROR(VLOOKUP(Tabla_PromotorEVELYN_VELAZQUEZ[[#This Row],[CREDENCIAL]], Tabla_Gerente[[CREDENCIAL]:[PAGO]], 7, FALSE), 0)</calculatedColumnFormula>
    </tableColumn>
    <tableColumn id="10" xr3:uid="{3F874BAA-EB37-C346-A4E9-9A8FBAD9F033}" name="FECHA" dataDxfId="286" totalsRowDxfId="238"/>
    <tableColumn id="12" xr3:uid="{74D95277-A3C0-3D41-86BB-CADE32317F0E}" name="TS PLANTEL " dataDxfId="285" totalsRowDxfId="237"/>
    <tableColumn id="13" xr3:uid="{B29A48C0-6BE6-F149-B31D-A7AB41E01B62}" name="TS CREDENCIAL " dataDxfId="284" totalsRowDxfId="236"/>
  </tableColumns>
  <tableStyleInfo name="TableStyleMedium2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7B209C-EC03-4444-8122-FFD8A72812A4}" name="Tabla_PromotorYADIRA_VEGA" displayName="Tabla_PromotorYADIRA_VEGA" ref="A8:K16" totalsRowCount="1" headerRowDxfId="313" dataDxfId="312" totalsRowDxfId="311" tableBorderDxfId="310">
  <autoFilter ref="A8:K15" xr:uid="{C71DDCE0-811A-4D44-9CD0-772974577224}"/>
  <tableColumns count="11">
    <tableColumn id="1" xr3:uid="{38E70126-C60C-BD4C-A50D-E7E4B4EDA1DF}" name="PROMOTOR" totalsRowLabel="TOTAL COMISION" dataDxfId="309" totalsRowDxfId="257"/>
    <tableColumn id="3" xr3:uid="{84749FF4-B08F-274F-87FB-63DC8635A17C}" name="CREDENCIAL" dataDxfId="308" totalsRowDxfId="256"/>
    <tableColumn id="4" xr3:uid="{BFBC0AFC-CA66-6F40-AA95-550FBAC6F631}" name="NOMBRE DEL ALUMNO " dataDxfId="307" totalsRowDxfId="255"/>
    <tableColumn id="5" xr3:uid="{A392B199-2D58-7F41-AC73-E10AE6D994E1}" name="COMISION" totalsRowFunction="sum" dataDxfId="306" totalsRowDxfId="254">
      <calculatedColumnFormula>IF(
    OR(
        Tabla_PromotorYADIRA_VEGA[[#This Row],[GRUPO]] = "",
        Tabla_PromotorYADIRA_VEGA[[#This Row],[GRUPO]] = 500,
        COUNTIF(Tabla_PromotorYADIRA_VEGA[CREDENCIAL], Tabla_PromotorYADIRA_VEGA[[#This Row],[CREDENCIAL]]) &gt; 1,
        COUNTIF(Tabla_Gerente[CREDENCIAL], Tabla_PromotorYADIRA_VEGA[[#This Row],[CREDENCIAL]]) &gt; 1,
    ),
    0,
    IF(
        Tabla_PromotorYADIRA_VEGA[[#This Row],[GRUPO]] = 503,
        Tabla_PromotorYADIRA_VEGA[[#This Row],[PAGO]],
        IF(
            Tabla_PromotorYADIRA_VEGA[[#This Row],[PAGO]] &gt;= 299,
            Tabla_PromotorYADIRA_VEGA[[#This Row],[PAGO]] - 150,
            0
        )
    )
)</calculatedColumnFormula>
    </tableColumn>
    <tableColumn id="6" xr3:uid="{94F9B2EC-F34C-BA48-8A1D-498BE50BA711}" name="PLANTEL" dataDxfId="305" totalsRowDxfId="253"/>
    <tableColumn id="7" xr3:uid="{9BC12F87-43F5-384B-9C98-7FC86827CB5C}" name="CURSO" dataDxfId="304" totalsRowDxfId="252"/>
    <tableColumn id="8" xr3:uid="{9A8FDC63-E5B2-F242-BD4C-14DD521DB023}" name="GRUPO" dataDxfId="303" totalsRowDxfId="251"/>
    <tableColumn id="9" xr3:uid="{A546FFAD-9012-C64E-92AF-7A1F695F119F}" name="PAGO" dataDxfId="302" totalsRowDxfId="250">
      <calculatedColumnFormula>IFERROR(VLOOKUP(Tabla_PromotorYADIRA_VEGA[[#This Row],[CREDENCIAL]], Tabla_Gerente[[CREDENCIAL]:[PAGO]], 7, FALSE), 0)</calculatedColumnFormula>
    </tableColumn>
    <tableColumn id="10" xr3:uid="{670780CA-5FAE-E94D-B945-EDB54E1B82EB}" name="FECHA" dataDxfId="301" totalsRowDxfId="249"/>
    <tableColumn id="12" xr3:uid="{34FBB479-55CE-8A49-81E9-6BE8F90F4C7B}" name="TS PLANTEL " dataDxfId="300" totalsRowDxfId="248"/>
    <tableColumn id="13" xr3:uid="{E882468D-4138-3844-8017-64B32BF6BFE0}" name="TS CREDENCIAL " dataDxfId="299" totalsRowDxfId="247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14CA9F1-8454-4247-9F63-CE85A9548DB7}" name="Tabla_PromotorMINA_APARICIO" displayName="Tabla_PromotorMINA_APARICIO" ref="A8:K16" totalsRowCount="1" headerRowDxfId="328" dataDxfId="327" totalsRowDxfId="326" tableBorderDxfId="325">
  <autoFilter ref="A8:K15" xr:uid="{C71DDCE0-811A-4D44-9CD0-772974577224}"/>
  <tableColumns count="11">
    <tableColumn id="1" xr3:uid="{BE73914C-293E-524E-8D30-6918A94E7CAC}" name="PROMOTOR" totalsRowLabel="TOTAL COMISION" dataDxfId="324" totalsRowDxfId="268"/>
    <tableColumn id="3" xr3:uid="{278995B8-DC0C-8847-812D-EC4DD84909ED}" name="CREDENCIAL" dataDxfId="323" totalsRowDxfId="267"/>
    <tableColumn id="4" xr3:uid="{F13EABDB-544A-D34A-8932-479E8F148FE5}" name="NOMBRE DEL ALUMNO " dataDxfId="322" totalsRowDxfId="266"/>
    <tableColumn id="5" xr3:uid="{5B255D52-3C0D-944F-8F47-2042E7819079}" name="COMISION" totalsRowFunction="sum" dataDxfId="321" totalsRowDxfId="265">
      <calculatedColumnFormula>IF(
    OR(
        Tabla_PromotorMINA_APARICIO[[#This Row],[GRUPO]] = "",
        Tabla_PromotorMINA_APARICIO[[#This Row],[GRUPO]] = 500,
        COUNTIF(Tabla_PromotorMINA_APARICIO[CREDENCIAL], Tabla_PromotorMINA_APARICIO[[#This Row],[CREDENCIAL]]) &gt; 1,
        COUNTIF(Tabla_Gerente[CREDENCIAL], Tabla_PromotorMINA_APARICIO[[#This Row],[CREDENCIAL]]) &gt; 1,
    ),
    0,
    IF(
        Tabla_PromotorMINA_APARICIO[[#This Row],[GRUPO]] = 503,
        Tabla_PromotorMINA_APARICIO[[#This Row],[PAGO]],
        IF(
            Tabla_PromotorMINA_APARICIO[[#This Row],[PAGO]] &gt;= 299,
            Tabla_PromotorMINA_APARICIO[[#This Row],[PAGO]] - 150,
            0
        )
    )
)</calculatedColumnFormula>
    </tableColumn>
    <tableColumn id="6" xr3:uid="{8CF7BFBF-0196-614A-B84D-0E8DABCA6ACD}" name="PLANTEL" dataDxfId="320" totalsRowDxfId="264"/>
    <tableColumn id="7" xr3:uid="{BE922249-76DB-5D45-9948-5480A4F5987B}" name="CURSO" dataDxfId="319" totalsRowDxfId="263"/>
    <tableColumn id="8" xr3:uid="{CF6E2CC3-EDF9-CC4A-B23A-3FD6D933ADEE}" name="GRUPO" dataDxfId="318" totalsRowDxfId="262"/>
    <tableColumn id="9" xr3:uid="{39698763-52C8-1D43-B453-01CEAC115C3F}" name="PAGO" dataDxfId="317" totalsRowDxfId="261">
      <calculatedColumnFormula>IFERROR(VLOOKUP(Tabla_PromotorMINA_APARICIO[[#This Row],[CREDENCIAL]], Tabla_Gerente[[CREDENCIAL]:[PAGO]], 7, FALSE), 0)</calculatedColumnFormula>
    </tableColumn>
    <tableColumn id="10" xr3:uid="{043710F3-BC43-AF4C-82B8-6E5BE5EF3497}" name="FECHA" dataDxfId="316" totalsRowDxfId="260"/>
    <tableColumn id="12" xr3:uid="{90DA76DA-12EC-AA40-8FB4-DB7EF8CE5B49}" name="TS PLANTEL " dataDxfId="315" totalsRowDxfId="259"/>
    <tableColumn id="13" xr3:uid="{73563E12-BDD7-F944-A429-8814B14ABB3F}" name="TS CREDENCIAL " dataDxfId="314" totalsRowDxfId="258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8CA6E69C-1BF8-6B40-9239-8895FD04DB53}" name="Tabla_Coordinador_YANELY_HERNADEZ" displayName="Tabla_Coordinador_YANELY_HERNADEZ" ref="A8:K16" totalsRowCount="1" headerRowDxfId="636" dataDxfId="635" totalsRowDxfId="634" tableBorderDxfId="633">
  <autoFilter ref="A8:K15" xr:uid="{9C0FA07F-0DE0-4099-9974-17C69221CC48}"/>
  <sortState xmlns:xlrd2="http://schemas.microsoft.com/office/spreadsheetml/2017/richdata2" ref="A9:K15">
    <sortCondition ref="A9:A15"/>
  </sortState>
  <tableColumns count="11">
    <tableColumn id="1" xr3:uid="{BD952166-11E8-7048-AD7B-616C49671F5A}" name="PROMOTOR" totalsRowLabel="TOTAL COMISION" dataDxfId="632" totalsRowDxfId="599"/>
    <tableColumn id="3" xr3:uid="{77B07C73-B324-E84D-96D5-8BB853615B5D}" name="CREDENCIAL" dataDxfId="631" totalsRowDxfId="598"/>
    <tableColumn id="4" xr3:uid="{FD3B20B0-D374-174B-A25C-0A5176EBA8D2}" name="NOMBRE DEL ALUMNO" dataDxfId="630" totalsRowDxfId="597"/>
    <tableColumn id="5" xr3:uid="{C3B6369B-C7B5-B042-8218-B75BC3073944}" name="COMISION" totalsRowFunction="sum" dataDxfId="629" totalsRowDxfId="596">
      <calculatedColumnFormula>IF(
    OR(
        Tabla_Coordinador_YANELY_HERNADEZ[[#This Row],[GRUPO]] = 501,
        Tabla_Coordinador_YANELY_HERNADEZ[[#This Row],[GRUPO]] = 505,
        Tabla_Coordinador_YANELY_HERNADEZ[[#This Row],[GRUPO]] = 503,
        Tabla_Coordinador_YANELY_HERNADEZ[[#This Row],[GRUPO]] = "",
        Tabla_Coordinador_YANELY_HERNADEZ[[#This Row],[GRUPO]] = 500,
        Tabla_Coordinador_YANELY_HERNADEZ[[#This Row],[PAGO]] &lt; 299,
        COUNTIF(Tabla_Coordinador_YANELY_HERNADEZ[CREDENCIAL], Tabla_Coordinador_YANELY_HERNADEZ[[#This Row],[CREDENCIAL]]) &gt; 1,
        COUNTIF(Tabla_Gerente[CREDENCIAL], Tabla_Coordinador_YANELY_HERNADEZ[[#This Row],[CREDENCIAL]]) &gt; 1
    ),
    0,
    VLOOKUP(
        Total_Registros_Coordinador,
        Tabulador_Coordinador[],
        3,
        TRUE
    )
)</calculatedColumnFormula>
    </tableColumn>
    <tableColumn id="6" xr3:uid="{2CB68821-E780-1C4F-AE3B-ED7608ABF2B1}" name="PLANTEL" dataDxfId="628" totalsRowDxfId="595"/>
    <tableColumn id="7" xr3:uid="{3D49E46E-7F75-D148-97F6-62453A2363F0}" name="CURSO" dataDxfId="627" totalsRowDxfId="594"/>
    <tableColumn id="8" xr3:uid="{15E7D746-F00A-E84C-88D6-2C49EB61A365}" name="GRUPO" dataDxfId="626" totalsRowDxfId="593"/>
    <tableColumn id="9" xr3:uid="{5EAA73E1-53C0-9142-96C8-00998A286D25}" name="PAGO" dataDxfId="625" totalsRowDxfId="592" dataCellStyle="Currency">
      <calculatedColumnFormula>IFERROR(VLOOKUP(Tabla_Coordinador_YANELY_HERNADEZ[[#This Row],[CREDENCIAL]], Tabla_Gerente[[CREDENCIAL]:[PAGO]], 7, FALSE), 0)</calculatedColumnFormula>
    </tableColumn>
    <tableColumn id="10" xr3:uid="{676C7C9D-8DCA-A042-97A1-E364D05CA742}" name="FECHA" dataDxfId="624" totalsRowDxfId="591"/>
    <tableColumn id="12" xr3:uid="{666BFB0A-32A4-2D44-A3B0-34BB6CFCFA8B}" name="TS PLANTEL " dataDxfId="623" totalsRowDxfId="590"/>
    <tableColumn id="13" xr3:uid="{D6A7E83A-DA41-484E-B9F7-A0BA5FFE0438}" name="TS CREDENCIAL " dataDxfId="622" totalsRowDxfId="589"/>
  </tableColumns>
  <tableStyleInfo name="TableStyleMedium16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49D0E94-F3B0-A140-8FEA-756183F10EDA}" name="Tabla_PromotorJOSE_FERNÁNDEZ" displayName="Tabla_PromotorJOSE_FERNÁNDEZ" ref="A8:K16" totalsRowCount="1" headerRowDxfId="224" dataDxfId="223" totalsRowDxfId="222" tableBorderDxfId="221">
  <autoFilter ref="A8:K15" xr:uid="{C71DDCE0-811A-4D44-9CD0-772974577224}"/>
  <tableColumns count="11">
    <tableColumn id="1" xr3:uid="{8A1C7100-4FD8-4A45-BDFB-EE5AE785C82D}" name="PROMOTOR" totalsRowLabel="TOTAL COMISION" dataDxfId="220" totalsRowDxfId="209"/>
    <tableColumn id="3" xr3:uid="{D26A816D-9409-4044-B0F0-478B9B364815}" name="CREDENCIAL" dataDxfId="219" totalsRowDxfId="208"/>
    <tableColumn id="4" xr3:uid="{35C74A51-E496-E549-AD3A-FBCBAD63C97A}" name="NOMBRE DEL ALUMNO " dataDxfId="218" totalsRowDxfId="207"/>
    <tableColumn id="5" xr3:uid="{5B35497D-2CB0-2549-A566-CA91DE05A56B}" name="COMISION" totalsRowFunction="sum" dataDxfId="217" totalsRowDxfId="206">
      <calculatedColumnFormula>IF(
    OR(
        Tabla_PromotorJOSE_FERNÁNDEZ[[#This Row],[GRUPO]] = "",
        Tabla_PromotorJOSE_FERNÁNDEZ[[#This Row],[GRUPO]] = 500,
        COUNTIF(Tabla_PromotorJOSE_FERNÁNDEZ[CREDENCIAL], Tabla_PromotorJOSE_FERNÁNDEZ[[#This Row],[CREDENCIAL]]) &gt; 1,
        COUNTIF(Tabla_Gerente[CREDENCIAL], Tabla_PromotorJOSE_FERNÁNDEZ[[#This Row],[CREDENCIAL]]) &gt; 1,
    ),
    0,
    IF(
        Tabla_PromotorJOSE_FERNÁNDEZ[[#This Row],[GRUPO]] = 503,
        Tabla_PromotorJOSE_FERNÁNDEZ[[#This Row],[PAGO]],
        IF(
            Tabla_PromotorJOSE_FERNÁNDEZ[[#This Row],[PAGO]] &gt;= 299,
            Tabla_PromotorJOSE_FERNÁNDEZ[[#This Row],[PAGO]] - 150,
            0
        )
    )
)</calculatedColumnFormula>
    </tableColumn>
    <tableColumn id="6" xr3:uid="{D5ADC8B1-064E-A04C-901D-FD17ACE5726E}" name="PLANTEL" dataDxfId="216" totalsRowDxfId="205"/>
    <tableColumn id="7" xr3:uid="{C389A7E6-9167-4042-8FA4-8D3FD8B7EA9D}" name="CURSO" dataDxfId="215" totalsRowDxfId="204"/>
    <tableColumn id="8" xr3:uid="{57655E77-6305-5B42-ABCA-B28D86234C19}" name="GRUPO" dataDxfId="214" totalsRowDxfId="203"/>
    <tableColumn id="9" xr3:uid="{65CEFC72-FC2F-5F4E-9BC1-6BB606297A63}" name="PAGO" dataDxfId="213" totalsRowDxfId="202">
      <calculatedColumnFormula>IFERROR(VLOOKUP(Tabla_PromotorJOSE_FERNÁNDEZ[[#This Row],[CREDENCIAL]], Tabla_Gerente[[CREDENCIAL]:[PAGO]], 7, FALSE), 0)</calculatedColumnFormula>
    </tableColumn>
    <tableColumn id="10" xr3:uid="{B48547AF-79C3-8F48-8AC5-DEB71871E5B4}" name="FECHA" dataDxfId="212" totalsRowDxfId="201"/>
    <tableColumn id="12" xr3:uid="{EED26488-512B-3C45-9E41-962E34D288F7}" name="TS PLANTEL " dataDxfId="211" totalsRowDxfId="200"/>
    <tableColumn id="13" xr3:uid="{4602B90E-6DCE-4D4C-85E3-D60F03703964}" name="TS CREDENCIAL " dataDxfId="210" totalsRowDxfId="19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28.xml"/><Relationship Id="rId4" Type="http://schemas.openxmlformats.org/officeDocument/2006/relationships/ctrlProp" Target="../ctrlProps/ctrlProp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33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38.xml"/><Relationship Id="rId4" Type="http://schemas.openxmlformats.org/officeDocument/2006/relationships/ctrlProp" Target="../ctrlProps/ctrlProp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BD9C9-2602-4C4E-80C4-95B700292557}">
  <sheetPr codeName="Sheet5">
    <tabColor rgb="FF7030A0"/>
  </sheetPr>
  <dimension ref="A1:L26"/>
  <sheetViews>
    <sheetView workbookViewId="0">
      <selection activeCell="C68" sqref="C68"/>
    </sheetView>
  </sheetViews>
  <sheetFormatPr baseColWidth="10" defaultColWidth="8.83203125" defaultRowHeight="15" x14ac:dyDescent="0.2"/>
  <cols>
    <col min="1" max="1" width="19.5" bestFit="1" customWidth="1"/>
    <col min="2" max="2" width="38.1640625" bestFit="1" customWidth="1"/>
    <col min="3" max="3" width="3.33203125" customWidth="1"/>
    <col min="4" max="4" width="38.1640625" bestFit="1" customWidth="1"/>
  </cols>
  <sheetData>
    <row r="1" spans="1:4" ht="21" thickBot="1" x14ac:dyDescent="0.3">
      <c r="A1" s="58" t="s">
        <v>63</v>
      </c>
      <c r="B1" s="58"/>
      <c r="D1" s="58" t="s">
        <v>309</v>
      </c>
    </row>
    <row r="2" spans="1:4" ht="21" thickTop="1" x14ac:dyDescent="0.25">
      <c r="A2" s="60"/>
    </row>
    <row r="3" spans="1:4" ht="16" thickBot="1" x14ac:dyDescent="0.25">
      <c r="A3" t="s">
        <v>98</v>
      </c>
      <c r="B3" t="s">
        <v>31</v>
      </c>
      <c r="D3" s="115" t="s">
        <v>31</v>
      </c>
    </row>
    <row r="4" spans="1:4" x14ac:dyDescent="0.2">
      <c r="A4" t="s">
        <v>47</v>
      </c>
      <c r="B4" t="s">
        <v>308</v>
      </c>
      <c r="D4" t="s">
        <v>307</v>
      </c>
    </row>
    <row r="5" spans="1:4" x14ac:dyDescent="0.2">
      <c r="A5" t="s">
        <v>35</v>
      </c>
      <c r="B5" t="s">
        <v>303</v>
      </c>
      <c r="D5" t="s">
        <v>304</v>
      </c>
    </row>
    <row r="6" spans="1:4" x14ac:dyDescent="0.2">
      <c r="A6" t="s">
        <v>23</v>
      </c>
      <c r="B6" t="s">
        <v>304</v>
      </c>
      <c r="D6" t="s">
        <v>308</v>
      </c>
    </row>
    <row r="7" spans="1:4" x14ac:dyDescent="0.2">
      <c r="A7" t="s">
        <v>42</v>
      </c>
      <c r="B7" t="s">
        <v>304</v>
      </c>
      <c r="D7" t="s">
        <v>305</v>
      </c>
    </row>
    <row r="8" spans="1:4" x14ac:dyDescent="0.2">
      <c r="A8" t="s">
        <v>41</v>
      </c>
      <c r="B8" t="s">
        <v>306</v>
      </c>
      <c r="D8" t="s">
        <v>303</v>
      </c>
    </row>
    <row r="9" spans="1:4" x14ac:dyDescent="0.2">
      <c r="A9" t="s">
        <v>43</v>
      </c>
      <c r="B9" t="s">
        <v>304</v>
      </c>
      <c r="D9" t="s">
        <v>306</v>
      </c>
    </row>
    <row r="10" spans="1:4" ht="16" x14ac:dyDescent="0.2">
      <c r="A10" t="s">
        <v>44</v>
      </c>
      <c r="B10" t="s">
        <v>305</v>
      </c>
      <c r="D10" s="28"/>
    </row>
    <row r="11" spans="1:4" ht="16" x14ac:dyDescent="0.2">
      <c r="A11" t="s">
        <v>36</v>
      </c>
      <c r="B11" t="s">
        <v>303</v>
      </c>
      <c r="D11" s="13"/>
    </row>
    <row r="12" spans="1:4" ht="16" x14ac:dyDescent="0.2">
      <c r="A12" t="s">
        <v>37</v>
      </c>
      <c r="B12" t="s">
        <v>304</v>
      </c>
      <c r="D12" s="13"/>
    </row>
    <row r="13" spans="1:4" ht="16" x14ac:dyDescent="0.2">
      <c r="A13" t="s">
        <v>109</v>
      </c>
      <c r="B13" t="s">
        <v>306</v>
      </c>
      <c r="D13" s="13"/>
    </row>
    <row r="14" spans="1:4" ht="16" x14ac:dyDescent="0.2">
      <c r="A14" t="s">
        <v>39</v>
      </c>
      <c r="B14" t="s">
        <v>306</v>
      </c>
      <c r="D14" s="13"/>
    </row>
    <row r="15" spans="1:4" ht="16" x14ac:dyDescent="0.2">
      <c r="A15" t="s">
        <v>38</v>
      </c>
      <c r="B15" t="s">
        <v>306</v>
      </c>
      <c r="D15" s="13"/>
    </row>
    <row r="16" spans="1:4" x14ac:dyDescent="0.2">
      <c r="A16" t="s">
        <v>40</v>
      </c>
      <c r="B16" t="s">
        <v>307</v>
      </c>
    </row>
    <row r="17" spans="1:12" ht="16" x14ac:dyDescent="0.2">
      <c r="A17" s="13"/>
      <c r="B17" s="13"/>
      <c r="C17" s="29"/>
      <c r="E17" s="26"/>
      <c r="F17" s="26"/>
      <c r="G17" s="13"/>
      <c r="H17" s="13"/>
      <c r="I17" s="13"/>
      <c r="J17" s="13"/>
      <c r="K17" s="13"/>
      <c r="L17" s="13"/>
    </row>
    <row r="18" spans="1:12" ht="16" x14ac:dyDescent="0.2">
      <c r="A18" s="13"/>
      <c r="B18" s="13"/>
      <c r="C18" s="13"/>
      <c r="E18" s="13"/>
      <c r="F18" s="13"/>
      <c r="G18" s="13"/>
      <c r="H18" s="13"/>
      <c r="I18" s="13"/>
      <c r="J18" s="13"/>
      <c r="K18" s="13"/>
      <c r="L18" s="13"/>
    </row>
    <row r="19" spans="1:12" ht="16" x14ac:dyDescent="0.2">
      <c r="A19" s="13"/>
      <c r="B19" s="13"/>
      <c r="C19" s="13"/>
      <c r="E19" s="13"/>
      <c r="F19" s="13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E20" s="13"/>
      <c r="F20" s="13"/>
      <c r="G20" s="13"/>
      <c r="H20" s="13"/>
      <c r="I20" s="13"/>
      <c r="J20" s="13"/>
      <c r="K20" s="13"/>
      <c r="L20" s="13"/>
    </row>
    <row r="21" spans="1:12" ht="16" x14ac:dyDescent="0.2">
      <c r="A21" s="13"/>
      <c r="B21" s="13"/>
      <c r="C21" s="13"/>
      <c r="E21" s="13"/>
      <c r="F21" s="13"/>
      <c r="G21" s="13"/>
      <c r="H21" s="13"/>
      <c r="I21" s="13"/>
      <c r="J21" s="13"/>
      <c r="K21" s="13"/>
      <c r="L21" s="13"/>
    </row>
    <row r="22" spans="1:12" ht="16" x14ac:dyDescent="0.2">
      <c r="A22" s="13"/>
      <c r="B22" s="13"/>
      <c r="C22" s="13"/>
      <c r="E22" s="13"/>
      <c r="F22" s="13"/>
      <c r="G22" s="13"/>
      <c r="H22" s="13"/>
      <c r="I22" s="13"/>
      <c r="J22" s="13"/>
      <c r="K22" s="13"/>
      <c r="L22" s="13"/>
    </row>
    <row r="23" spans="1:12" ht="16" x14ac:dyDescent="0.2">
      <c r="J23" s="13"/>
      <c r="K23" s="13"/>
      <c r="L23" s="13"/>
    </row>
    <row r="24" spans="1:12" ht="16" x14ac:dyDescent="0.2">
      <c r="J24" s="13"/>
      <c r="K24" s="13"/>
      <c r="L24" s="13"/>
    </row>
    <row r="25" spans="1:12" ht="16" x14ac:dyDescent="0.2">
      <c r="J25" s="13"/>
      <c r="K25" s="13"/>
      <c r="L25" s="13"/>
    </row>
    <row r="26" spans="1:12" ht="16" x14ac:dyDescent="0.2">
      <c r="J26" s="13"/>
      <c r="K26" s="13"/>
      <c r="L26" s="13"/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6E4-5530-4216-88F7-E275E0D59BCF}">
  <sheetPr codeName="Sheet3">
    <tabColor rgb="FFFFFF00"/>
  </sheetPr>
  <dimension ref="A1:M29"/>
  <sheetViews>
    <sheetView workbookViewId="0">
      <selection activeCell="K61" sqref="K61"/>
    </sheetView>
  </sheetViews>
  <sheetFormatPr baseColWidth="10" defaultColWidth="22.33203125" defaultRowHeight="15" x14ac:dyDescent="0.2"/>
  <cols>
    <col min="1" max="1" width="22.5" bestFit="1" customWidth="1"/>
    <col min="2" max="2" width="24.6640625" bestFit="1" customWidth="1"/>
    <col min="3" max="6" width="11.5" bestFit="1" customWidth="1"/>
    <col min="7" max="7" width="2.83203125" customWidth="1"/>
    <col min="8" max="8" width="23.1640625" bestFit="1" customWidth="1"/>
    <col min="9" max="9" width="11.5" bestFit="1" customWidth="1"/>
    <col min="10" max="10" width="2.83203125" customWidth="1"/>
    <col min="11" max="11" width="16.33203125" bestFit="1" customWidth="1"/>
    <col min="12" max="12" width="11.5" bestFit="1" customWidth="1"/>
  </cols>
  <sheetData>
    <row r="1" spans="1:13" ht="21" thickBot="1" x14ac:dyDescent="0.3">
      <c r="A1" s="63" t="s">
        <v>0</v>
      </c>
      <c r="B1" s="58"/>
      <c r="C1" s="58"/>
      <c r="D1" s="58"/>
      <c r="E1" s="58"/>
      <c r="F1" s="58"/>
      <c r="H1" s="63" t="s">
        <v>9</v>
      </c>
      <c r="I1" s="58"/>
      <c r="J1" s="7"/>
      <c r="K1" s="58" t="s">
        <v>3</v>
      </c>
      <c r="L1" s="58"/>
      <c r="M1" s="6"/>
    </row>
    <row r="2" spans="1:13" ht="15" customHeight="1" thickTop="1" x14ac:dyDescent="0.2">
      <c r="A2" s="7"/>
      <c r="B2" s="7"/>
      <c r="C2" s="7"/>
      <c r="D2" s="7"/>
      <c r="E2" s="7"/>
      <c r="F2" s="7"/>
      <c r="H2" s="7"/>
      <c r="I2" s="7"/>
      <c r="J2" s="7"/>
      <c r="K2" s="6"/>
      <c r="L2" s="6"/>
      <c r="M2" s="6"/>
    </row>
    <row r="3" spans="1:13" ht="16" x14ac:dyDescent="0.2">
      <c r="B3" s="6" t="s">
        <v>4</v>
      </c>
      <c r="C3" s="6"/>
      <c r="D3" s="6"/>
      <c r="E3" s="6"/>
      <c r="F3" s="6"/>
      <c r="H3" s="6"/>
      <c r="I3" s="6"/>
      <c r="J3" s="6"/>
      <c r="K3" s="6"/>
      <c r="L3" s="6"/>
      <c r="M3" s="6"/>
    </row>
    <row r="4" spans="1:13" ht="16" x14ac:dyDescent="0.2">
      <c r="A4" s="4" t="s">
        <v>2</v>
      </c>
      <c r="B4" s="4" t="s">
        <v>57</v>
      </c>
      <c r="C4" s="65" t="s">
        <v>56</v>
      </c>
      <c r="D4" s="65" t="s">
        <v>10</v>
      </c>
      <c r="E4" s="65" t="s">
        <v>11</v>
      </c>
      <c r="F4" s="65" t="s">
        <v>12</v>
      </c>
      <c r="H4" s="64" t="s">
        <v>5</v>
      </c>
      <c r="I4" s="64" t="s">
        <v>1</v>
      </c>
      <c r="J4" s="6"/>
      <c r="K4" s="64" t="s">
        <v>5</v>
      </c>
      <c r="L4" s="64" t="s">
        <v>1</v>
      </c>
      <c r="M4" s="6"/>
    </row>
    <row r="5" spans="1:13" ht="16" x14ac:dyDescent="0.2">
      <c r="A5" s="62">
        <v>4</v>
      </c>
      <c r="B5" s="5">
        <v>0</v>
      </c>
      <c r="C5" s="5">
        <v>0</v>
      </c>
      <c r="D5" s="2">
        <v>300</v>
      </c>
      <c r="E5" s="2">
        <v>400</v>
      </c>
      <c r="F5" s="2">
        <v>500</v>
      </c>
      <c r="H5" s="1">
        <v>13</v>
      </c>
      <c r="I5" s="5">
        <v>400</v>
      </c>
      <c r="J5" s="5"/>
      <c r="K5" s="1">
        <v>30</v>
      </c>
      <c r="L5" s="5">
        <v>1500</v>
      </c>
      <c r="M5" s="5"/>
    </row>
    <row r="6" spans="1:13" ht="16" x14ac:dyDescent="0.2">
      <c r="A6" s="62">
        <v>6</v>
      </c>
      <c r="B6" s="5">
        <v>0</v>
      </c>
      <c r="C6" s="5">
        <v>0</v>
      </c>
      <c r="D6" s="2">
        <v>500</v>
      </c>
      <c r="E6" s="2">
        <v>700</v>
      </c>
      <c r="F6" s="2">
        <v>800</v>
      </c>
      <c r="H6" s="1">
        <v>15</v>
      </c>
      <c r="I6" s="5">
        <v>1000</v>
      </c>
      <c r="J6" s="5"/>
      <c r="K6" s="1">
        <v>40</v>
      </c>
      <c r="L6" s="5">
        <v>2000</v>
      </c>
      <c r="M6" s="5"/>
    </row>
    <row r="7" spans="1:13" ht="16" x14ac:dyDescent="0.2">
      <c r="A7" s="62">
        <v>9</v>
      </c>
      <c r="B7" s="5">
        <v>0</v>
      </c>
      <c r="C7" s="5">
        <v>0</v>
      </c>
      <c r="D7" s="2">
        <v>800</v>
      </c>
      <c r="E7" s="2">
        <v>1000</v>
      </c>
      <c r="F7" s="2">
        <v>1200</v>
      </c>
      <c r="H7" s="1">
        <v>20</v>
      </c>
      <c r="I7" s="5">
        <v>2000</v>
      </c>
      <c r="J7" s="5"/>
      <c r="K7" s="1">
        <v>50</v>
      </c>
      <c r="L7" s="5">
        <v>2500</v>
      </c>
      <c r="M7" s="5"/>
    </row>
    <row r="8" spans="1:13" ht="16" x14ac:dyDescent="0.2">
      <c r="A8" s="62">
        <v>13</v>
      </c>
      <c r="B8" s="5">
        <v>0</v>
      </c>
      <c r="C8" s="5">
        <v>1700</v>
      </c>
      <c r="D8" s="5">
        <v>1700</v>
      </c>
      <c r="E8" s="5">
        <v>1700</v>
      </c>
      <c r="F8" s="5">
        <v>1700</v>
      </c>
      <c r="H8" s="1">
        <v>30</v>
      </c>
      <c r="I8" s="5">
        <v>2500</v>
      </c>
      <c r="J8" s="5"/>
      <c r="K8" s="1">
        <v>60</v>
      </c>
      <c r="L8" s="5">
        <v>3000</v>
      </c>
      <c r="M8" s="5"/>
    </row>
    <row r="9" spans="1:13" ht="16" x14ac:dyDescent="0.2">
      <c r="A9" s="62">
        <v>15</v>
      </c>
      <c r="B9" s="5">
        <v>0</v>
      </c>
      <c r="C9" s="5">
        <v>2000</v>
      </c>
      <c r="D9" s="5">
        <v>2000</v>
      </c>
      <c r="E9" s="5">
        <v>2000</v>
      </c>
      <c r="F9" s="5">
        <v>2000</v>
      </c>
      <c r="H9" s="1">
        <v>40</v>
      </c>
      <c r="I9" s="5">
        <v>4000</v>
      </c>
      <c r="J9" s="5"/>
      <c r="K9" s="1">
        <v>80</v>
      </c>
      <c r="L9" s="5">
        <v>4200</v>
      </c>
      <c r="M9" s="5"/>
    </row>
    <row r="10" spans="1:13" ht="16" x14ac:dyDescent="0.2">
      <c r="A10" s="62">
        <v>18</v>
      </c>
      <c r="B10" s="5">
        <v>0</v>
      </c>
      <c r="C10" s="5">
        <v>2400</v>
      </c>
      <c r="D10" s="5">
        <v>2400</v>
      </c>
      <c r="E10" s="5">
        <v>2400</v>
      </c>
      <c r="F10" s="5">
        <v>2400</v>
      </c>
      <c r="H10" s="1">
        <v>50</v>
      </c>
      <c r="I10" s="5">
        <v>5000</v>
      </c>
      <c r="J10" s="5"/>
      <c r="K10" s="1">
        <v>100</v>
      </c>
      <c r="L10" s="5">
        <v>5500</v>
      </c>
      <c r="M10" s="5"/>
    </row>
    <row r="11" spans="1:13" ht="16" x14ac:dyDescent="0.2">
      <c r="A11" s="62"/>
      <c r="B11" s="5"/>
      <c r="C11" s="1"/>
      <c r="D11" s="1"/>
      <c r="E11" s="1"/>
      <c r="F11" s="1"/>
      <c r="H11" s="1">
        <v>60</v>
      </c>
      <c r="I11" s="5">
        <v>6000</v>
      </c>
      <c r="J11" s="5"/>
      <c r="K11" s="1">
        <v>120</v>
      </c>
      <c r="L11" s="5">
        <v>6000</v>
      </c>
      <c r="M11" s="5"/>
    </row>
    <row r="12" spans="1:13" ht="16" x14ac:dyDescent="0.2">
      <c r="A12" s="66" t="s">
        <v>54</v>
      </c>
      <c r="B12" s="66" t="s">
        <v>55</v>
      </c>
      <c r="C12" s="1"/>
      <c r="D12" s="1"/>
      <c r="E12" s="1"/>
      <c r="F12" s="1"/>
      <c r="K12" s="1">
        <v>150</v>
      </c>
      <c r="L12" s="5">
        <v>7000</v>
      </c>
      <c r="M12" s="5"/>
    </row>
    <row r="13" spans="1:13" ht="16" x14ac:dyDescent="0.2">
      <c r="A13" s="1">
        <v>0</v>
      </c>
      <c r="B13" s="1">
        <f>COLUMN(Premios_Promotor[[#Headers],[0]])</f>
        <v>2</v>
      </c>
      <c r="C13" s="1"/>
      <c r="K13" s="1">
        <v>200</v>
      </c>
      <c r="L13" s="5">
        <v>8000</v>
      </c>
      <c r="M13" s="5"/>
    </row>
    <row r="14" spans="1:13" ht="16" x14ac:dyDescent="0.2">
      <c r="A14" s="1">
        <v>13</v>
      </c>
      <c r="B14" s="1">
        <f>COLUMN(Premios_Promotor[[#Headers],[13]])</f>
        <v>3</v>
      </c>
    </row>
    <row r="15" spans="1:13" x14ac:dyDescent="0.2">
      <c r="A15">
        <v>15</v>
      </c>
      <c r="B15">
        <f>COLUMN(Premios_Promotor[[#Headers],[15]])</f>
        <v>4</v>
      </c>
    </row>
    <row r="16" spans="1:13" x14ac:dyDescent="0.2">
      <c r="A16">
        <v>30</v>
      </c>
      <c r="B16">
        <f>COLUMN(Premios_Promotor[[#Headers],[30]])</f>
        <v>5</v>
      </c>
    </row>
    <row r="17" spans="1:12" x14ac:dyDescent="0.2">
      <c r="A17">
        <v>40</v>
      </c>
      <c r="B17">
        <f>COLUMN(Premios_Promotor[[#Headers],[40]])</f>
        <v>6</v>
      </c>
    </row>
    <row r="19" spans="1:12" ht="16" x14ac:dyDescent="0.2">
      <c r="A19" s="13"/>
      <c r="B19" s="13"/>
      <c r="C19" s="29"/>
      <c r="D19" s="28"/>
      <c r="E19" s="26"/>
      <c r="F19" s="26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D20" s="13"/>
    </row>
    <row r="21" spans="1:12" ht="16" x14ac:dyDescent="0.2">
      <c r="A21" s="13"/>
      <c r="B21" s="13"/>
      <c r="C21" s="13"/>
      <c r="D21" s="13"/>
    </row>
    <row r="22" spans="1:12" ht="16" x14ac:dyDescent="0.2">
      <c r="A22" s="13"/>
      <c r="B22" s="13"/>
      <c r="C22" s="13"/>
      <c r="D22" s="13"/>
    </row>
    <row r="23" spans="1:12" ht="16" x14ac:dyDescent="0.2">
      <c r="A23" s="13"/>
      <c r="B23" s="13"/>
      <c r="C23" s="13"/>
      <c r="D23" s="13"/>
    </row>
    <row r="24" spans="1:12" ht="16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6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6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6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6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">
      <c r="B29" s="41"/>
    </row>
  </sheetData>
  <sheetProtection sheet="1" formatCells="0" formatColumns="0" formatRows="0" insertColumns="0" insertRows="0" insertHyperlinks="0" deleteColumns="0" deleteRows="0" sort="0" autoFilter="0" pivotTables="0"/>
  <phoneticPr fontId="7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506D-A04C-D249-9304-2D59B883D29B}">
  <sheetPr codeName="Sheet4">
    <tabColor rgb="FF00B0F0"/>
  </sheetPr>
  <dimension ref="A1:A15"/>
  <sheetViews>
    <sheetView workbookViewId="0">
      <selection activeCell="K61" sqref="K61"/>
    </sheetView>
  </sheetViews>
  <sheetFormatPr baseColWidth="10" defaultRowHeight="15" x14ac:dyDescent="0.2"/>
  <cols>
    <col min="1" max="1" width="15.1640625" bestFit="1" customWidth="1"/>
  </cols>
  <sheetData>
    <row r="1" spans="1:1" ht="21" thickBot="1" x14ac:dyDescent="0.3">
      <c r="A1" s="58" t="s">
        <v>310</v>
      </c>
    </row>
    <row r="2" spans="1:1" ht="16" thickTop="1" x14ac:dyDescent="0.2"/>
    <row r="3" spans="1:1" x14ac:dyDescent="0.2">
      <c r="A3" t="s">
        <v>323</v>
      </c>
    </row>
    <row r="4" spans="1:1" x14ac:dyDescent="0.2">
      <c r="A4" t="s">
        <v>311</v>
      </c>
    </row>
    <row r="5" spans="1:1" x14ac:dyDescent="0.2">
      <c r="A5" t="s">
        <v>312</v>
      </c>
    </row>
    <row r="6" spans="1:1" x14ac:dyDescent="0.2">
      <c r="A6" t="s">
        <v>313</v>
      </c>
    </row>
    <row r="7" spans="1:1" x14ac:dyDescent="0.2">
      <c r="A7" t="s">
        <v>314</v>
      </c>
    </row>
    <row r="8" spans="1:1" x14ac:dyDescent="0.2">
      <c r="A8" t="s">
        <v>315</v>
      </c>
    </row>
    <row r="9" spans="1:1" x14ac:dyDescent="0.2">
      <c r="A9" t="s">
        <v>316</v>
      </c>
    </row>
    <row r="10" spans="1:1" x14ac:dyDescent="0.2">
      <c r="A10" t="s">
        <v>317</v>
      </c>
    </row>
    <row r="11" spans="1:1" x14ac:dyDescent="0.2">
      <c r="A11" t="s">
        <v>318</v>
      </c>
    </row>
    <row r="12" spans="1:1" x14ac:dyDescent="0.2">
      <c r="A12" t="s">
        <v>319</v>
      </c>
    </row>
    <row r="13" spans="1:1" x14ac:dyDescent="0.2">
      <c r="A13" t="s">
        <v>320</v>
      </c>
    </row>
    <row r="14" spans="1:1" x14ac:dyDescent="0.2">
      <c r="A14" t="s">
        <v>321</v>
      </c>
    </row>
    <row r="15" spans="1:1" x14ac:dyDescent="0.2">
      <c r="A15" t="s">
        <v>322</v>
      </c>
    </row>
  </sheetData>
  <sheetProtection sheet="1" formatCells="0" formatColumns="0" formatRows="0" insertColumns="0" insertRows="0" insertHyperlinks="0" deleteColumns="0" deleteRows="0" sort="0" autoFilter="0" pivotTables="0"/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  <pageSetUpPr fitToPage="1"/>
  </sheetPr>
  <dimension ref="A1:W51"/>
  <sheetViews>
    <sheetView workbookViewId="0">
      <selection activeCell="L64" sqref="L64"/>
    </sheetView>
  </sheetViews>
  <sheetFormatPr baseColWidth="10" defaultColWidth="11.5" defaultRowHeight="16" x14ac:dyDescent="0.2"/>
  <cols>
    <col min="1" max="1" width="15" style="1" bestFit="1" customWidth="1"/>
    <col min="2" max="2" width="8.1640625" style="2" bestFit="1" customWidth="1"/>
    <col min="3" max="3" width="2.83203125" style="2" customWidth="1"/>
    <col min="4" max="4" width="16.5" style="1" bestFit="1" customWidth="1"/>
    <col min="5" max="5" width="5.6640625" style="1" bestFit="1" customWidth="1"/>
    <col min="6" max="6" width="9.83203125" style="1" bestFit="1" customWidth="1"/>
    <col min="7" max="7" width="2.83203125" style="1" customWidth="1"/>
    <col min="8" max="8" width="11" style="1" bestFit="1" customWidth="1"/>
    <col min="9" max="9" width="5.6640625" style="1" bestFit="1" customWidth="1"/>
    <col min="10" max="10" width="9.83203125" style="1" bestFit="1" customWidth="1"/>
    <col min="11" max="11" width="2.83203125" style="1" customWidth="1"/>
    <col min="12" max="12" width="41.6640625" style="1" bestFit="1" customWidth="1"/>
    <col min="13" max="13" width="16.6640625" style="1" bestFit="1" customWidth="1"/>
    <col min="14" max="14" width="12.5" bestFit="1" customWidth="1"/>
    <col min="15" max="15" width="20.33203125" style="1" bestFit="1" customWidth="1"/>
    <col min="16" max="16" width="24" style="1" bestFit="1" customWidth="1"/>
    <col min="17" max="17" width="2.83203125" style="1" customWidth="1"/>
    <col min="18" max="18" width="41.6640625" style="1" bestFit="1" customWidth="1"/>
    <col min="19" max="19" width="16.6640625" style="1" bestFit="1" customWidth="1"/>
    <col min="20" max="20" width="39.1640625" style="1" bestFit="1" customWidth="1"/>
    <col min="21" max="21" width="15.83203125" style="1" bestFit="1" customWidth="1"/>
    <col min="22" max="22" width="20.33203125" style="1" bestFit="1" customWidth="1"/>
    <col min="23" max="23" width="24" style="1" bestFit="1" customWidth="1"/>
    <col min="24" max="16384" width="11.5" style="1"/>
  </cols>
  <sheetData>
    <row r="1" spans="1:23" ht="21" thickBot="1" x14ac:dyDescent="0.3">
      <c r="A1" s="58" t="s">
        <v>8</v>
      </c>
      <c r="B1" s="58"/>
      <c r="D1" s="59" t="s">
        <v>14</v>
      </c>
      <c r="E1" s="58"/>
      <c r="F1" s="58"/>
      <c r="H1" s="59" t="s">
        <v>15</v>
      </c>
      <c r="I1" s="58"/>
      <c r="J1" s="58"/>
      <c r="L1" s="59" t="s">
        <v>118</v>
      </c>
      <c r="M1" s="58"/>
      <c r="N1" s="58"/>
      <c r="O1" s="58"/>
      <c r="P1" s="58"/>
      <c r="R1" s="59" t="s">
        <v>198</v>
      </c>
      <c r="S1" s="58"/>
      <c r="T1" s="58"/>
      <c r="U1" s="58"/>
      <c r="V1" s="58"/>
      <c r="W1" s="58"/>
    </row>
    <row r="2" spans="1:23" ht="17" thickTop="1" x14ac:dyDescent="0.2">
      <c r="A2" s="70"/>
      <c r="B2" s="5"/>
      <c r="D2" s="71"/>
      <c r="E2" s="4"/>
      <c r="H2" s="71"/>
      <c r="I2" s="4"/>
      <c r="N2" s="1"/>
    </row>
    <row r="3" spans="1:23" x14ac:dyDescent="0.2">
      <c r="A3" s="3" t="s">
        <v>51</v>
      </c>
      <c r="B3" s="8" t="s">
        <v>1</v>
      </c>
      <c r="D3" s="4" t="s">
        <v>52</v>
      </c>
      <c r="E3" s="4" t="s">
        <v>53</v>
      </c>
      <c r="F3" s="8" t="s">
        <v>1</v>
      </c>
      <c r="G3" s="8"/>
      <c r="H3" s="4" t="s">
        <v>52</v>
      </c>
      <c r="I3" s="4" t="s">
        <v>53</v>
      </c>
      <c r="J3" s="9" t="s">
        <v>1</v>
      </c>
      <c r="L3" s="1" t="s">
        <v>116</v>
      </c>
      <c r="M3" s="1" t="s">
        <v>13</v>
      </c>
      <c r="N3" s="1"/>
      <c r="R3" s="1" t="s">
        <v>119</v>
      </c>
      <c r="S3" s="1" t="s">
        <v>120</v>
      </c>
      <c r="T3" s="1" t="s">
        <v>122</v>
      </c>
      <c r="U3" s="1" t="s">
        <v>116</v>
      </c>
      <c r="V3" s="1" t="s">
        <v>101</v>
      </c>
      <c r="W3" s="1" t="s">
        <v>100</v>
      </c>
    </row>
    <row r="4" spans="1:23" x14ac:dyDescent="0.2">
      <c r="A4" s="61">
        <v>500</v>
      </c>
      <c r="B4" s="61">
        <v>350</v>
      </c>
      <c r="C4" s="7"/>
      <c r="D4" s="62">
        <v>0</v>
      </c>
      <c r="E4" s="62">
        <v>4</v>
      </c>
      <c r="F4" s="5">
        <v>0</v>
      </c>
      <c r="G4" s="5"/>
      <c r="H4" s="62">
        <v>0</v>
      </c>
      <c r="I4" s="62">
        <v>9</v>
      </c>
      <c r="J4" s="5">
        <v>0</v>
      </c>
      <c r="L4" s="12" t="s">
        <v>117</v>
      </c>
      <c r="M4" s="69">
        <v>1000</v>
      </c>
      <c r="N4" s="1"/>
      <c r="R4" s="1" t="s">
        <v>81</v>
      </c>
      <c r="S4" s="69">
        <f>SUMIF(Sueldos_Base[COORDINACION],Descuentos[[#This Row],[COORDINACION]],Sueldos_Base[SUELDO BASE])*0.3 * -1</f>
        <v>-630</v>
      </c>
      <c r="T4" s="69" t="s">
        <v>123</v>
      </c>
      <c r="U4" s="1" t="s">
        <v>6</v>
      </c>
      <c r="V4" s="1" t="s">
        <v>76</v>
      </c>
      <c r="W4" s="1" t="s">
        <v>69</v>
      </c>
    </row>
    <row r="5" spans="1:23" x14ac:dyDescent="0.2">
      <c r="A5" s="7"/>
      <c r="B5" s="7"/>
      <c r="C5" s="7"/>
      <c r="D5" s="62">
        <v>5</v>
      </c>
      <c r="E5" s="62">
        <v>9</v>
      </c>
      <c r="F5" s="5">
        <v>70</v>
      </c>
      <c r="G5" s="5"/>
      <c r="H5" s="62">
        <v>10</v>
      </c>
      <c r="I5" s="62">
        <v>19</v>
      </c>
      <c r="J5" s="5">
        <v>50</v>
      </c>
      <c r="L5" s="1" t="s">
        <v>6</v>
      </c>
      <c r="M5" s="69">
        <v>500</v>
      </c>
      <c r="N5" s="1"/>
      <c r="S5" s="69"/>
      <c r="T5" s="69"/>
    </row>
    <row r="6" spans="1:23" x14ac:dyDescent="0.2">
      <c r="A6" s="13"/>
      <c r="B6" s="13"/>
      <c r="C6" s="29"/>
      <c r="D6" s="62">
        <v>10</v>
      </c>
      <c r="E6" s="62">
        <v>14</v>
      </c>
      <c r="F6" s="5">
        <v>100</v>
      </c>
      <c r="G6" s="13"/>
      <c r="H6" s="62">
        <v>20</v>
      </c>
      <c r="I6" s="62">
        <v>29</v>
      </c>
      <c r="J6" s="5">
        <v>70</v>
      </c>
      <c r="K6" s="13"/>
      <c r="L6" s="13" t="s">
        <v>7</v>
      </c>
      <c r="M6" s="69">
        <v>0</v>
      </c>
      <c r="N6" s="1"/>
      <c r="S6" s="69"/>
      <c r="T6" s="69"/>
    </row>
    <row r="7" spans="1:23" x14ac:dyDescent="0.2">
      <c r="A7" s="13"/>
      <c r="B7" s="13"/>
      <c r="C7" s="27"/>
      <c r="D7" s="62">
        <v>15</v>
      </c>
      <c r="E7" s="62">
        <v>19</v>
      </c>
      <c r="F7" s="5">
        <v>120</v>
      </c>
      <c r="G7" s="13"/>
      <c r="H7" s="62">
        <v>30</v>
      </c>
      <c r="I7" s="62">
        <v>49</v>
      </c>
      <c r="J7" s="5">
        <v>100</v>
      </c>
      <c r="K7" s="13"/>
      <c r="L7" s="13"/>
      <c r="N7" s="1"/>
      <c r="S7" s="69"/>
      <c r="T7" s="69"/>
    </row>
    <row r="8" spans="1:23" x14ac:dyDescent="0.2">
      <c r="A8" s="13"/>
      <c r="B8" s="13"/>
      <c r="C8" s="29"/>
      <c r="D8" s="62">
        <v>20</v>
      </c>
      <c r="E8" s="62" t="s">
        <v>62</v>
      </c>
      <c r="F8" s="5">
        <v>140</v>
      </c>
      <c r="G8" s="13"/>
      <c r="H8" s="62">
        <v>50</v>
      </c>
      <c r="I8" s="62" t="s">
        <v>62</v>
      </c>
      <c r="J8" s="5">
        <v>120</v>
      </c>
      <c r="K8" s="13"/>
      <c r="L8" s="13"/>
      <c r="N8" s="1"/>
      <c r="S8" s="69"/>
      <c r="T8" s="69"/>
    </row>
    <row r="9" spans="1:23" x14ac:dyDescent="0.2">
      <c r="A9" s="13"/>
      <c r="B9" s="13"/>
      <c r="C9" s="13"/>
      <c r="D9" s="28"/>
      <c r="E9" s="13"/>
      <c r="F9" s="13"/>
      <c r="H9" s="13"/>
      <c r="I9" s="13"/>
      <c r="J9" s="13"/>
      <c r="K9" s="13"/>
      <c r="L9" s="13"/>
      <c r="N9" s="1"/>
      <c r="S9" s="69"/>
      <c r="T9" s="69"/>
    </row>
    <row r="10" spans="1:23" x14ac:dyDescent="0.2">
      <c r="A10" s="13"/>
      <c r="B10" s="13"/>
      <c r="C10" s="13"/>
      <c r="D10" s="13"/>
      <c r="L10" s="1" t="s">
        <v>119</v>
      </c>
      <c r="M10" s="1" t="s">
        <v>13</v>
      </c>
      <c r="N10" s="1" t="s">
        <v>116</v>
      </c>
      <c r="O10" s="1" t="s">
        <v>101</v>
      </c>
      <c r="P10" s="1" t="s">
        <v>100</v>
      </c>
      <c r="S10" s="69"/>
      <c r="T10" s="69"/>
    </row>
    <row r="11" spans="1:23" x14ac:dyDescent="0.2">
      <c r="A11" s="13"/>
      <c r="B11" s="13"/>
      <c r="C11" s="13"/>
      <c r="D11" s="13"/>
      <c r="L11" s="1" t="s">
        <v>84</v>
      </c>
      <c r="M11" s="69">
        <v>700</v>
      </c>
      <c r="N11" s="1" t="s">
        <v>7</v>
      </c>
      <c r="O11" s="1" t="s">
        <v>76</v>
      </c>
      <c r="P11" s="1" t="s">
        <v>69</v>
      </c>
      <c r="S11" s="69"/>
      <c r="T11" s="69"/>
    </row>
    <row r="12" spans="1:23" x14ac:dyDescent="0.2">
      <c r="A12" s="13"/>
      <c r="B12" s="13"/>
      <c r="C12" s="13"/>
      <c r="D12" s="13"/>
      <c r="G12" s="13"/>
      <c r="L12" s="1" t="s">
        <v>85</v>
      </c>
      <c r="M12" s="69">
        <v>700</v>
      </c>
      <c r="N12" s="1" t="s">
        <v>7</v>
      </c>
      <c r="O12" s="1" t="s">
        <v>76</v>
      </c>
      <c r="P12" s="1" t="s">
        <v>69</v>
      </c>
    </row>
    <row r="13" spans="1:23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" t="s">
        <v>86</v>
      </c>
      <c r="M13" s="69">
        <v>700</v>
      </c>
      <c r="N13" s="1" t="s">
        <v>7</v>
      </c>
      <c r="O13" s="1" t="s">
        <v>76</v>
      </c>
      <c r="P13" s="1" t="s">
        <v>69</v>
      </c>
    </row>
    <row r="14" spans="1:23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" t="s">
        <v>95</v>
      </c>
      <c r="M14" s="69">
        <v>700</v>
      </c>
      <c r="N14" s="1" t="s">
        <v>7</v>
      </c>
      <c r="O14" s="1" t="s">
        <v>77</v>
      </c>
      <c r="P14" s="1" t="s">
        <v>69</v>
      </c>
    </row>
    <row r="15" spans="1:23" x14ac:dyDescent="0.2">
      <c r="A15" s="13"/>
      <c r="B15" s="1"/>
      <c r="C15" s="1"/>
      <c r="D15" s="13"/>
      <c r="E15" s="13"/>
      <c r="F15" s="13"/>
      <c r="H15" s="13"/>
      <c r="I15" s="13"/>
      <c r="J15" s="13"/>
      <c r="K15" s="13"/>
      <c r="L15" s="1" t="s">
        <v>94</v>
      </c>
      <c r="M15" s="69">
        <v>700</v>
      </c>
      <c r="N15" s="1" t="s">
        <v>7</v>
      </c>
      <c r="O15" s="1" t="s">
        <v>77</v>
      </c>
      <c r="P15" s="1" t="s">
        <v>69</v>
      </c>
    </row>
    <row r="16" spans="1:23" x14ac:dyDescent="0.2">
      <c r="B16" s="1"/>
      <c r="C16" s="1"/>
      <c r="L16" s="1" t="s">
        <v>96</v>
      </c>
      <c r="M16" s="69">
        <v>1000</v>
      </c>
      <c r="N16" s="1" t="s">
        <v>7</v>
      </c>
      <c r="O16" s="1" t="s">
        <v>77</v>
      </c>
      <c r="P16" s="1" t="s">
        <v>69</v>
      </c>
    </row>
    <row r="17" spans="2:16" x14ac:dyDescent="0.2">
      <c r="B17" s="1"/>
      <c r="C17" s="1"/>
      <c r="L17" s="1" t="s">
        <v>97</v>
      </c>
      <c r="M17" s="69">
        <v>1000</v>
      </c>
      <c r="N17" s="1" t="s">
        <v>7</v>
      </c>
      <c r="O17" s="1" t="s">
        <v>77</v>
      </c>
      <c r="P17" s="1" t="s">
        <v>69</v>
      </c>
    </row>
    <row r="18" spans="2:16" x14ac:dyDescent="0.2">
      <c r="B18" s="1"/>
      <c r="C18" s="1"/>
      <c r="L18" s="1" t="s">
        <v>93</v>
      </c>
      <c r="M18" s="69">
        <v>1000</v>
      </c>
      <c r="N18" s="1" t="s">
        <v>7</v>
      </c>
      <c r="O18" s="1" t="s">
        <v>71</v>
      </c>
      <c r="P18" s="1" t="s">
        <v>69</v>
      </c>
    </row>
    <row r="19" spans="2:16" x14ac:dyDescent="0.2">
      <c r="B19" s="1"/>
      <c r="C19" s="1"/>
      <c r="L19" s="1" t="s">
        <v>91</v>
      </c>
      <c r="M19" s="69">
        <v>500</v>
      </c>
      <c r="N19" s="1" t="s">
        <v>7</v>
      </c>
      <c r="O19" s="1" t="s">
        <v>71</v>
      </c>
      <c r="P19" s="1" t="s">
        <v>69</v>
      </c>
    </row>
    <row r="20" spans="2:16" x14ac:dyDescent="0.2">
      <c r="B20" s="1"/>
      <c r="C20" s="1"/>
      <c r="L20" s="1" t="s">
        <v>139</v>
      </c>
      <c r="M20" s="69">
        <v>500</v>
      </c>
      <c r="N20" s="1" t="s">
        <v>7</v>
      </c>
      <c r="O20" s="1" t="s">
        <v>131</v>
      </c>
      <c r="P20" s="1" t="s">
        <v>129</v>
      </c>
    </row>
    <row r="21" spans="2:16" x14ac:dyDescent="0.2">
      <c r="B21" s="1"/>
      <c r="C21" s="1"/>
      <c r="L21" s="1" t="s">
        <v>140</v>
      </c>
      <c r="M21" s="69">
        <v>500</v>
      </c>
      <c r="N21" s="1" t="s">
        <v>7</v>
      </c>
      <c r="O21" s="1" t="s">
        <v>131</v>
      </c>
      <c r="P21" s="1" t="s">
        <v>129</v>
      </c>
    </row>
    <row r="22" spans="2:16" x14ac:dyDescent="0.2">
      <c r="L22" s="1" t="s">
        <v>141</v>
      </c>
      <c r="M22" s="69">
        <v>500</v>
      </c>
      <c r="N22" s="1" t="s">
        <v>7</v>
      </c>
      <c r="O22" s="1" t="s">
        <v>133</v>
      </c>
      <c r="P22" s="1" t="s">
        <v>129</v>
      </c>
    </row>
    <row r="23" spans="2:16" x14ac:dyDescent="0.2">
      <c r="L23" s="1" t="s">
        <v>142</v>
      </c>
      <c r="M23" s="69">
        <v>500</v>
      </c>
      <c r="N23" s="1" t="s">
        <v>7</v>
      </c>
      <c r="O23" s="1" t="s">
        <v>133</v>
      </c>
      <c r="P23" s="1" t="s">
        <v>129</v>
      </c>
    </row>
    <row r="24" spans="2:16" x14ac:dyDescent="0.2">
      <c r="L24" s="1" t="s">
        <v>191</v>
      </c>
      <c r="M24" s="69">
        <v>500</v>
      </c>
      <c r="N24" s="1" t="s">
        <v>7</v>
      </c>
      <c r="O24" s="1" t="s">
        <v>133</v>
      </c>
      <c r="P24" s="1" t="s">
        <v>129</v>
      </c>
    </row>
    <row r="25" spans="2:16" x14ac:dyDescent="0.2">
      <c r="M25" s="69"/>
      <c r="N25" s="1"/>
    </row>
    <row r="27" spans="2:16" x14ac:dyDescent="0.2">
      <c r="B27" s="1"/>
      <c r="C27" s="9"/>
    </row>
    <row r="28" spans="2:16" x14ac:dyDescent="0.2">
      <c r="B28" s="1"/>
      <c r="C28" s="9"/>
    </row>
    <row r="29" spans="2:16" x14ac:dyDescent="0.2">
      <c r="B29" s="1"/>
      <c r="C29" s="5"/>
    </row>
    <row r="30" spans="2:16" x14ac:dyDescent="0.2">
      <c r="B30" s="1"/>
      <c r="C30" s="5"/>
    </row>
    <row r="31" spans="2:16" x14ac:dyDescent="0.2">
      <c r="B31" s="1"/>
      <c r="C31" s="5"/>
    </row>
    <row r="32" spans="2:16" x14ac:dyDescent="0.2">
      <c r="B32" s="1"/>
      <c r="C32" s="5"/>
    </row>
    <row r="38" spans="2:5" x14ac:dyDescent="0.2">
      <c r="B38" s="10"/>
      <c r="C38" s="10"/>
    </row>
    <row r="39" spans="2:5" x14ac:dyDescent="0.2">
      <c r="B39" s="10"/>
      <c r="C39" s="10"/>
      <c r="D39" s="10"/>
      <c r="E39" s="10"/>
    </row>
    <row r="40" spans="2:5" x14ac:dyDescent="0.2">
      <c r="B40" s="10"/>
      <c r="C40" s="10"/>
      <c r="D40" s="10"/>
      <c r="E40" s="10"/>
    </row>
    <row r="41" spans="2:5" x14ac:dyDescent="0.2">
      <c r="B41" s="10"/>
      <c r="C41" s="10"/>
      <c r="D41" s="10"/>
      <c r="E41" s="10"/>
    </row>
    <row r="42" spans="2:5" x14ac:dyDescent="0.2">
      <c r="B42" s="1"/>
      <c r="C42" s="1"/>
      <c r="D42" s="10"/>
      <c r="E42" s="10"/>
    </row>
    <row r="43" spans="2:5" x14ac:dyDescent="0.2">
      <c r="B43" s="11"/>
      <c r="C43" s="11"/>
    </row>
    <row r="44" spans="2:5" x14ac:dyDescent="0.2">
      <c r="B44" s="11"/>
      <c r="C44" s="11"/>
      <c r="D44" s="11"/>
      <c r="E44" s="11"/>
    </row>
    <row r="45" spans="2:5" x14ac:dyDescent="0.2">
      <c r="B45" s="11"/>
      <c r="C45" s="11"/>
      <c r="D45" s="11"/>
      <c r="E45" s="11"/>
    </row>
    <row r="46" spans="2:5" x14ac:dyDescent="0.2">
      <c r="B46" s="11"/>
      <c r="C46" s="11"/>
      <c r="D46" s="11"/>
      <c r="E46" s="11"/>
    </row>
    <row r="47" spans="2:5" x14ac:dyDescent="0.2">
      <c r="B47" s="1"/>
      <c r="C47" s="1"/>
      <c r="D47" s="11"/>
      <c r="E47" s="11"/>
    </row>
    <row r="48" spans="2:5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</sheetData>
  <sheetProtection sheet="1" formatCells="0" formatColumns="0" formatRows="0" insertColumns="0" insertRows="0" insertHyperlinks="0" deleteColumns="0" deleteRows="0" sort="0" autoFilter="0" pivotTables="0"/>
  <dataValidations count="5">
    <dataValidation type="custom" allowBlank="1" showInputMessage="1" showErrorMessage="1" sqref="N4:N6" xr:uid="{9DE67A79-93A9-49DC-93B1-1C84AE8DBF0C}">
      <formula1>Alias_Coordinadores</formula1>
    </dataValidation>
    <dataValidation type="list" allowBlank="1" showInputMessage="1" showErrorMessage="1" sqref="N11:N24 U4" xr:uid="{342D9635-3C48-4326-82D8-7F8C3C5FF452}">
      <formula1>Puestos</formula1>
    </dataValidation>
    <dataValidation type="list" allowBlank="1" showInputMessage="1" showErrorMessage="1" sqref="O11:O24 V4" xr:uid="{2CEA4F90-913C-4F7E-A844-C80F62AB1BC2}">
      <formula1>Alias_Coordinadores</formula1>
    </dataValidation>
    <dataValidation type="list" allowBlank="1" showInputMessage="1" showErrorMessage="1" sqref="P11:P24 W4" xr:uid="{D57AA25B-EFC2-4916-B551-2CC8B6E8A91F}">
      <formula1>Alias_Gerentes</formula1>
    </dataValidation>
    <dataValidation type="list" allowBlank="1" showInputMessage="1" showErrorMessage="1" sqref="L11:L24" xr:uid="{151FF7F3-44B8-7840-87C8-034662927DF0}">
      <formula1>Nombres_Promotores</formula1>
    </dataValidation>
  </dataValidations>
  <pageMargins left="0.70866141732283472" right="0.70866141732283472" top="0.74803149606299213" bottom="0.74803149606299213" header="0.31496062992125984" footer="0.31496062992125984"/>
  <pageSetup scale="83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4973-C15C-4DCD-9BB0-92D48C3BBF9C}">
  <sheetPr codeName="Sheet9">
    <tabColor rgb="FFFF0000"/>
  </sheetPr>
  <dimension ref="A1:R54"/>
  <sheetViews>
    <sheetView workbookViewId="0">
      <selection activeCell="M20" sqref="M20"/>
    </sheetView>
  </sheetViews>
  <sheetFormatPr baseColWidth="10" defaultColWidth="8.83203125" defaultRowHeight="15" x14ac:dyDescent="0.2"/>
  <cols>
    <col min="1" max="1" width="32.5" bestFit="1" customWidth="1"/>
    <col min="2" max="2" width="22.5" bestFit="1" customWidth="1"/>
    <col min="3" max="3" width="2.83203125" customWidth="1"/>
    <col min="4" max="4" width="33.5" bestFit="1" customWidth="1"/>
    <col min="5" max="6" width="22.5" bestFit="1" customWidth="1"/>
    <col min="7" max="7" width="2.83203125" customWidth="1"/>
    <col min="8" max="8" width="38.5" bestFit="1" customWidth="1"/>
    <col min="9" max="9" width="25.6640625" bestFit="1" customWidth="1"/>
    <col min="10" max="11" width="22.5" bestFit="1" customWidth="1"/>
    <col min="12" max="12" width="3.33203125" customWidth="1"/>
    <col min="13" max="13" width="27.83203125" bestFit="1" customWidth="1"/>
    <col min="14" max="22" width="8.83203125" customWidth="1"/>
    <col min="23" max="23" width="9" customWidth="1"/>
  </cols>
  <sheetData>
    <row r="1" spans="1:18" ht="21" thickBot="1" x14ac:dyDescent="0.3">
      <c r="A1" s="58" t="s">
        <v>60</v>
      </c>
      <c r="B1" s="58"/>
      <c r="D1" s="58" t="s">
        <v>59</v>
      </c>
      <c r="E1" s="58"/>
      <c r="F1" s="58"/>
      <c r="H1" s="58" t="s">
        <v>61</v>
      </c>
      <c r="I1" s="58"/>
      <c r="J1" s="58"/>
      <c r="K1" s="58"/>
      <c r="M1" s="58" t="s">
        <v>199</v>
      </c>
    </row>
    <row r="2" spans="1:18" ht="21" thickTop="1" x14ac:dyDescent="0.25">
      <c r="A2" s="60"/>
      <c r="B2" s="60"/>
      <c r="D2" s="60"/>
      <c r="E2" s="60"/>
      <c r="H2" s="60"/>
      <c r="I2" s="60"/>
    </row>
    <row r="3" spans="1:18" x14ac:dyDescent="0.2">
      <c r="A3" t="s">
        <v>98</v>
      </c>
      <c r="B3" t="s">
        <v>99</v>
      </c>
      <c r="D3" t="s">
        <v>98</v>
      </c>
      <c r="E3" t="s">
        <v>99</v>
      </c>
      <c r="F3" t="s">
        <v>100</v>
      </c>
      <c r="H3" t="s">
        <v>98</v>
      </c>
      <c r="I3" t="s">
        <v>99</v>
      </c>
      <c r="J3" t="s">
        <v>101</v>
      </c>
      <c r="K3" t="s">
        <v>100</v>
      </c>
      <c r="M3" t="s">
        <v>9</v>
      </c>
    </row>
    <row r="4" spans="1:18" x14ac:dyDescent="0.2">
      <c r="A4" t="s">
        <v>78</v>
      </c>
      <c r="B4" t="s">
        <v>69</v>
      </c>
      <c r="D4" s="56" t="s">
        <v>78</v>
      </c>
      <c r="E4" s="56" t="s">
        <v>188</v>
      </c>
      <c r="F4" t="s">
        <v>69</v>
      </c>
      <c r="H4" s="97" t="s">
        <v>78</v>
      </c>
      <c r="I4" s="97" t="s">
        <v>115</v>
      </c>
      <c r="J4" s="97" t="s">
        <v>188</v>
      </c>
      <c r="K4" s="97" t="s">
        <v>69</v>
      </c>
      <c r="M4" t="s">
        <v>188</v>
      </c>
      <c r="N4" s="55"/>
      <c r="O4" s="55"/>
      <c r="Q4" s="55"/>
      <c r="R4" s="55"/>
    </row>
    <row r="5" spans="1:18" x14ac:dyDescent="0.2">
      <c r="A5" t="s">
        <v>128</v>
      </c>
      <c r="B5" t="s">
        <v>129</v>
      </c>
      <c r="D5" s="56" t="s">
        <v>81</v>
      </c>
      <c r="E5" s="56" t="s">
        <v>76</v>
      </c>
      <c r="F5" t="s">
        <v>69</v>
      </c>
      <c r="H5" s="97" t="s">
        <v>84</v>
      </c>
      <c r="I5" s="97" t="s">
        <v>104</v>
      </c>
      <c r="J5" s="97" t="s">
        <v>76</v>
      </c>
      <c r="K5" s="97" t="s">
        <v>69</v>
      </c>
      <c r="M5" t="s">
        <v>76</v>
      </c>
      <c r="N5" s="55"/>
    </row>
    <row r="6" spans="1:18" x14ac:dyDescent="0.2">
      <c r="A6" s="55" t="s">
        <v>150</v>
      </c>
      <c r="B6" s="55" t="s">
        <v>148</v>
      </c>
      <c r="C6" s="55"/>
      <c r="D6" t="s">
        <v>80</v>
      </c>
      <c r="E6" t="s">
        <v>77</v>
      </c>
      <c r="F6" t="s">
        <v>69</v>
      </c>
      <c r="G6" s="57"/>
      <c r="H6" s="97" t="s">
        <v>83</v>
      </c>
      <c r="I6" s="97" t="s">
        <v>74</v>
      </c>
      <c r="J6" s="97" t="s">
        <v>76</v>
      </c>
      <c r="K6" s="97" t="s">
        <v>69</v>
      </c>
      <c r="L6" s="55"/>
      <c r="M6" t="s">
        <v>77</v>
      </c>
    </row>
    <row r="7" spans="1:18" x14ac:dyDescent="0.2">
      <c r="A7" s="55"/>
      <c r="B7" s="55"/>
      <c r="C7" s="55"/>
      <c r="D7" t="s">
        <v>79</v>
      </c>
      <c r="E7" t="s">
        <v>71</v>
      </c>
      <c r="F7" t="s">
        <v>69</v>
      </c>
      <c r="G7" s="55"/>
      <c r="H7" s="97" t="s">
        <v>81</v>
      </c>
      <c r="I7" s="97" t="s">
        <v>114</v>
      </c>
      <c r="J7" s="97" t="s">
        <v>76</v>
      </c>
      <c r="K7" s="97" t="s">
        <v>69</v>
      </c>
      <c r="L7" s="55"/>
      <c r="M7" t="s">
        <v>71</v>
      </c>
    </row>
    <row r="8" spans="1:18" x14ac:dyDescent="0.2">
      <c r="A8" s="55"/>
      <c r="B8" s="55"/>
      <c r="C8" s="55"/>
      <c r="D8" t="s">
        <v>82</v>
      </c>
      <c r="E8" t="s">
        <v>102</v>
      </c>
      <c r="F8" t="s">
        <v>69</v>
      </c>
      <c r="G8" s="55"/>
      <c r="H8" s="97" t="s">
        <v>87</v>
      </c>
      <c r="I8" s="97" t="s">
        <v>105</v>
      </c>
      <c r="J8" s="97" t="s">
        <v>76</v>
      </c>
      <c r="K8" s="97" t="s">
        <v>69</v>
      </c>
      <c r="L8" s="55"/>
      <c r="M8" t="s">
        <v>102</v>
      </c>
    </row>
    <row r="9" spans="1:18" x14ac:dyDescent="0.2">
      <c r="A9" s="55"/>
      <c r="B9" s="55"/>
      <c r="C9" s="55"/>
      <c r="D9" s="56" t="s">
        <v>132</v>
      </c>
      <c r="E9" s="56" t="s">
        <v>133</v>
      </c>
      <c r="F9" t="s">
        <v>129</v>
      </c>
      <c r="G9" s="55"/>
      <c r="H9" s="97" t="s">
        <v>85</v>
      </c>
      <c r="I9" s="97" t="s">
        <v>66</v>
      </c>
      <c r="J9" s="97" t="s">
        <v>76</v>
      </c>
      <c r="K9" s="97" t="s">
        <v>69</v>
      </c>
      <c r="L9" s="55"/>
    </row>
    <row r="10" spans="1:18" x14ac:dyDescent="0.2">
      <c r="A10" s="55"/>
      <c r="B10" s="55"/>
      <c r="C10" s="55"/>
      <c r="D10" t="s">
        <v>130</v>
      </c>
      <c r="E10" t="s">
        <v>131</v>
      </c>
      <c r="F10" t="s">
        <v>129</v>
      </c>
      <c r="G10" s="55"/>
      <c r="H10" s="97" t="s">
        <v>86</v>
      </c>
      <c r="I10" s="97" t="s">
        <v>75</v>
      </c>
      <c r="J10" s="97" t="s">
        <v>76</v>
      </c>
      <c r="K10" s="97" t="s">
        <v>69</v>
      </c>
      <c r="L10" s="55"/>
    </row>
    <row r="11" spans="1:18" x14ac:dyDescent="0.2">
      <c r="A11" s="55"/>
      <c r="B11" s="55"/>
      <c r="D11" t="s">
        <v>128</v>
      </c>
      <c r="E11" t="s">
        <v>189</v>
      </c>
      <c r="F11" t="s">
        <v>129</v>
      </c>
      <c r="H11" s="97" t="s">
        <v>88</v>
      </c>
      <c r="I11" s="97" t="s">
        <v>73</v>
      </c>
      <c r="J11" s="97" t="s">
        <v>76</v>
      </c>
      <c r="K11" s="97" t="s">
        <v>69</v>
      </c>
    </row>
    <row r="12" spans="1:18" x14ac:dyDescent="0.2">
      <c r="A12" s="55"/>
      <c r="B12" s="55"/>
      <c r="D12" s="56" t="s">
        <v>151</v>
      </c>
      <c r="E12" s="56" t="s">
        <v>152</v>
      </c>
      <c r="F12" t="s">
        <v>148</v>
      </c>
      <c r="H12" s="97" t="s">
        <v>95</v>
      </c>
      <c r="I12" s="97" t="s">
        <v>68</v>
      </c>
      <c r="J12" s="97" t="s">
        <v>77</v>
      </c>
      <c r="K12" s="97" t="s">
        <v>69</v>
      </c>
    </row>
    <row r="13" spans="1:18" x14ac:dyDescent="0.2">
      <c r="A13" s="55"/>
      <c r="B13" s="55"/>
      <c r="D13" s="56" t="s">
        <v>147</v>
      </c>
      <c r="E13" s="56" t="s">
        <v>187</v>
      </c>
      <c r="F13" t="s">
        <v>148</v>
      </c>
      <c r="H13" s="97" t="s">
        <v>94</v>
      </c>
      <c r="I13" s="97" t="s">
        <v>108</v>
      </c>
      <c r="J13" s="97" t="s">
        <v>77</v>
      </c>
      <c r="K13" s="97" t="s">
        <v>69</v>
      </c>
    </row>
    <row r="14" spans="1:18" x14ac:dyDescent="0.2">
      <c r="A14" s="55"/>
      <c r="B14" s="55"/>
      <c r="D14" t="s">
        <v>171</v>
      </c>
      <c r="E14" t="s">
        <v>149</v>
      </c>
      <c r="F14" t="s">
        <v>148</v>
      </c>
      <c r="H14" s="97" t="s">
        <v>96</v>
      </c>
      <c r="I14" s="97" t="s">
        <v>186</v>
      </c>
      <c r="J14" s="97" t="s">
        <v>77</v>
      </c>
      <c r="K14" s="97" t="s">
        <v>69</v>
      </c>
    </row>
    <row r="15" spans="1:18" x14ac:dyDescent="0.2">
      <c r="A15" s="55"/>
      <c r="B15" s="55"/>
      <c r="H15" s="97" t="s">
        <v>97</v>
      </c>
      <c r="I15" s="97" t="s">
        <v>67</v>
      </c>
      <c r="J15" s="97" t="s">
        <v>77</v>
      </c>
      <c r="K15" s="97" t="s">
        <v>69</v>
      </c>
    </row>
    <row r="16" spans="1:18" x14ac:dyDescent="0.2">
      <c r="H16" s="97" t="s">
        <v>80</v>
      </c>
      <c r="I16" s="97" t="s">
        <v>111</v>
      </c>
      <c r="J16" s="97" t="s">
        <v>77</v>
      </c>
      <c r="K16" s="97" t="s">
        <v>69</v>
      </c>
    </row>
    <row r="17" spans="8:11" x14ac:dyDescent="0.2">
      <c r="H17" s="97" t="s">
        <v>92</v>
      </c>
      <c r="I17" s="97" t="s">
        <v>70</v>
      </c>
      <c r="J17" s="97" t="s">
        <v>71</v>
      </c>
      <c r="K17" s="97" t="s">
        <v>69</v>
      </c>
    </row>
    <row r="18" spans="8:11" x14ac:dyDescent="0.2">
      <c r="H18" s="97" t="s">
        <v>90</v>
      </c>
      <c r="I18" s="97" t="s">
        <v>72</v>
      </c>
      <c r="J18" s="97" t="s">
        <v>71</v>
      </c>
      <c r="K18" s="97" t="s">
        <v>69</v>
      </c>
    </row>
    <row r="19" spans="8:11" x14ac:dyDescent="0.2">
      <c r="H19" s="97" t="s">
        <v>79</v>
      </c>
      <c r="I19" s="97" t="s">
        <v>112</v>
      </c>
      <c r="J19" s="97" t="s">
        <v>71</v>
      </c>
      <c r="K19" s="97" t="s">
        <v>69</v>
      </c>
    </row>
    <row r="20" spans="8:11" x14ac:dyDescent="0.2">
      <c r="H20" s="97" t="s">
        <v>93</v>
      </c>
      <c r="I20" s="97" t="s">
        <v>106</v>
      </c>
      <c r="J20" s="97" t="s">
        <v>71</v>
      </c>
      <c r="K20" s="97" t="s">
        <v>69</v>
      </c>
    </row>
    <row r="21" spans="8:11" x14ac:dyDescent="0.2">
      <c r="H21" s="97" t="s">
        <v>91</v>
      </c>
      <c r="I21" s="97" t="s">
        <v>107</v>
      </c>
      <c r="J21" s="97" t="s">
        <v>71</v>
      </c>
      <c r="K21" s="97" t="s">
        <v>69</v>
      </c>
    </row>
    <row r="22" spans="8:11" x14ac:dyDescent="0.2">
      <c r="H22" s="97" t="s">
        <v>89</v>
      </c>
      <c r="I22" s="97" t="s">
        <v>103</v>
      </c>
      <c r="J22" s="97" t="s">
        <v>102</v>
      </c>
      <c r="K22" s="97" t="s">
        <v>69</v>
      </c>
    </row>
    <row r="23" spans="8:11" x14ac:dyDescent="0.2">
      <c r="H23" s="97" t="s">
        <v>82</v>
      </c>
      <c r="I23" s="97" t="s">
        <v>113</v>
      </c>
      <c r="J23" s="97" t="s">
        <v>102</v>
      </c>
      <c r="K23" s="97" t="s">
        <v>69</v>
      </c>
    </row>
    <row r="24" spans="8:11" x14ac:dyDescent="0.2">
      <c r="H24" s="97" t="s">
        <v>141</v>
      </c>
      <c r="I24" s="97" t="s">
        <v>190</v>
      </c>
      <c r="J24" s="97" t="s">
        <v>133</v>
      </c>
      <c r="K24" s="97" t="s">
        <v>129</v>
      </c>
    </row>
    <row r="25" spans="8:11" x14ac:dyDescent="0.2">
      <c r="H25" s="97" t="s">
        <v>143</v>
      </c>
      <c r="I25" s="97" t="s">
        <v>146</v>
      </c>
      <c r="J25" s="97" t="s">
        <v>133</v>
      </c>
      <c r="K25" s="97" t="s">
        <v>129</v>
      </c>
    </row>
    <row r="26" spans="8:11" x14ac:dyDescent="0.2">
      <c r="H26" s="97" t="s">
        <v>142</v>
      </c>
      <c r="I26" s="97" t="s">
        <v>193</v>
      </c>
      <c r="J26" s="97" t="s">
        <v>133</v>
      </c>
      <c r="K26" s="97" t="s">
        <v>129</v>
      </c>
    </row>
    <row r="27" spans="8:11" x14ac:dyDescent="0.2">
      <c r="H27" s="97" t="s">
        <v>132</v>
      </c>
      <c r="I27" s="97" t="s">
        <v>135</v>
      </c>
      <c r="J27" s="97" t="s">
        <v>133</v>
      </c>
      <c r="K27" s="97" t="s">
        <v>129</v>
      </c>
    </row>
    <row r="28" spans="8:11" x14ac:dyDescent="0.2">
      <c r="H28" s="97" t="s">
        <v>144</v>
      </c>
      <c r="I28" s="97" t="s">
        <v>145</v>
      </c>
      <c r="J28" s="97" t="s">
        <v>133</v>
      </c>
      <c r="K28" s="97" t="s">
        <v>129</v>
      </c>
    </row>
    <row r="29" spans="8:11" x14ac:dyDescent="0.2">
      <c r="H29" s="97" t="s">
        <v>139</v>
      </c>
      <c r="I29" s="97" t="s">
        <v>126</v>
      </c>
      <c r="J29" s="97" t="s">
        <v>131</v>
      </c>
      <c r="K29" s="97" t="s">
        <v>129</v>
      </c>
    </row>
    <row r="30" spans="8:11" x14ac:dyDescent="0.2">
      <c r="H30" s="97" t="s">
        <v>140</v>
      </c>
      <c r="I30" s="97" t="s">
        <v>127</v>
      </c>
      <c r="J30" s="97" t="s">
        <v>131</v>
      </c>
      <c r="K30" s="97" t="s">
        <v>129</v>
      </c>
    </row>
    <row r="31" spans="8:11" x14ac:dyDescent="0.2">
      <c r="H31" s="97" t="s">
        <v>137</v>
      </c>
      <c r="I31" s="97" t="s">
        <v>124</v>
      </c>
      <c r="J31" s="97" t="s">
        <v>131</v>
      </c>
      <c r="K31" s="97" t="s">
        <v>129</v>
      </c>
    </row>
    <row r="32" spans="8:11" x14ac:dyDescent="0.2">
      <c r="H32" s="97" t="s">
        <v>138</v>
      </c>
      <c r="I32" s="97" t="s">
        <v>125</v>
      </c>
      <c r="J32" s="97" t="s">
        <v>131</v>
      </c>
      <c r="K32" s="97" t="s">
        <v>129</v>
      </c>
    </row>
    <row r="33" spans="8:11" x14ac:dyDescent="0.2">
      <c r="H33" s="97" t="s">
        <v>130</v>
      </c>
      <c r="I33" s="97" t="s">
        <v>134</v>
      </c>
      <c r="J33" s="97" t="s">
        <v>131</v>
      </c>
      <c r="K33" s="97" t="s">
        <v>129</v>
      </c>
    </row>
    <row r="34" spans="8:11" x14ac:dyDescent="0.2">
      <c r="H34" s="97" t="s">
        <v>194</v>
      </c>
      <c r="I34" s="97" t="s">
        <v>192</v>
      </c>
      <c r="J34" s="97" t="s">
        <v>133</v>
      </c>
      <c r="K34" s="97" t="s">
        <v>129</v>
      </c>
    </row>
    <row r="35" spans="8:11" x14ac:dyDescent="0.2">
      <c r="H35" s="97" t="s">
        <v>191</v>
      </c>
      <c r="I35" s="97" t="s">
        <v>191</v>
      </c>
      <c r="J35" s="97" t="s">
        <v>133</v>
      </c>
      <c r="K35" s="97" t="s">
        <v>129</v>
      </c>
    </row>
    <row r="36" spans="8:11" x14ac:dyDescent="0.2">
      <c r="H36" s="97" t="s">
        <v>128</v>
      </c>
      <c r="I36" s="97" t="s">
        <v>136</v>
      </c>
      <c r="J36" s="97" t="s">
        <v>189</v>
      </c>
      <c r="K36" s="97" t="s">
        <v>129</v>
      </c>
    </row>
    <row r="37" spans="8:11" x14ac:dyDescent="0.2">
      <c r="H37" s="97" t="s">
        <v>180</v>
      </c>
      <c r="I37" s="97" t="s">
        <v>161</v>
      </c>
      <c r="J37" s="97" t="s">
        <v>152</v>
      </c>
      <c r="K37" s="97" t="s">
        <v>148</v>
      </c>
    </row>
    <row r="38" spans="8:11" x14ac:dyDescent="0.2">
      <c r="H38" s="97" t="s">
        <v>182</v>
      </c>
      <c r="I38" s="97" t="s">
        <v>169</v>
      </c>
      <c r="J38" s="97" t="s">
        <v>152</v>
      </c>
      <c r="K38" s="97" t="s">
        <v>148</v>
      </c>
    </row>
    <row r="39" spans="8:11" x14ac:dyDescent="0.2">
      <c r="H39" s="97" t="s">
        <v>151</v>
      </c>
      <c r="I39" s="97" t="s">
        <v>155</v>
      </c>
      <c r="J39" s="97" t="s">
        <v>152</v>
      </c>
      <c r="K39" s="97" t="s">
        <v>148</v>
      </c>
    </row>
    <row r="40" spans="8:11" x14ac:dyDescent="0.2">
      <c r="H40" s="97" t="s">
        <v>184</v>
      </c>
      <c r="I40" s="97" t="s">
        <v>164</v>
      </c>
      <c r="J40" s="97" t="s">
        <v>152</v>
      </c>
      <c r="K40" s="97" t="s">
        <v>148</v>
      </c>
    </row>
    <row r="41" spans="8:11" x14ac:dyDescent="0.2">
      <c r="H41" s="97" t="s">
        <v>183</v>
      </c>
      <c r="I41" s="97" t="s">
        <v>163</v>
      </c>
      <c r="J41" s="97" t="s">
        <v>152</v>
      </c>
      <c r="K41" s="97" t="s">
        <v>148</v>
      </c>
    </row>
    <row r="42" spans="8:11" x14ac:dyDescent="0.2">
      <c r="H42" s="97" t="s">
        <v>181</v>
      </c>
      <c r="I42" s="97" t="s">
        <v>162</v>
      </c>
      <c r="J42" s="97" t="s">
        <v>152</v>
      </c>
      <c r="K42" s="97" t="s">
        <v>148</v>
      </c>
    </row>
    <row r="43" spans="8:11" x14ac:dyDescent="0.2">
      <c r="H43" s="97" t="s">
        <v>165</v>
      </c>
      <c r="I43" s="97" t="s">
        <v>166</v>
      </c>
      <c r="J43" s="97" t="s">
        <v>152</v>
      </c>
      <c r="K43" s="97" t="s">
        <v>148</v>
      </c>
    </row>
    <row r="44" spans="8:11" x14ac:dyDescent="0.2">
      <c r="H44" s="97" t="s">
        <v>185</v>
      </c>
      <c r="I44" s="97" t="s">
        <v>170</v>
      </c>
      <c r="J44" s="97" t="s">
        <v>152</v>
      </c>
      <c r="K44" s="97" t="s">
        <v>148</v>
      </c>
    </row>
    <row r="45" spans="8:11" x14ac:dyDescent="0.2">
      <c r="H45" s="97" t="s">
        <v>147</v>
      </c>
      <c r="I45" s="97" t="s">
        <v>153</v>
      </c>
      <c r="J45" s="97" t="s">
        <v>187</v>
      </c>
      <c r="K45" s="97" t="s">
        <v>148</v>
      </c>
    </row>
    <row r="46" spans="8:11" x14ac:dyDescent="0.2">
      <c r="H46" s="97" t="s">
        <v>160</v>
      </c>
      <c r="I46" s="97" t="s">
        <v>160</v>
      </c>
      <c r="J46" s="97" t="s">
        <v>149</v>
      </c>
      <c r="K46" s="97" t="s">
        <v>148</v>
      </c>
    </row>
    <row r="47" spans="8:11" x14ac:dyDescent="0.2">
      <c r="H47" s="97" t="s">
        <v>172</v>
      </c>
      <c r="I47" s="97" t="s">
        <v>173</v>
      </c>
      <c r="J47" s="97" t="s">
        <v>149</v>
      </c>
      <c r="K47" s="97" t="s">
        <v>148</v>
      </c>
    </row>
    <row r="48" spans="8:11" x14ac:dyDescent="0.2">
      <c r="H48" s="97" t="s">
        <v>175</v>
      </c>
      <c r="I48" s="97" t="s">
        <v>168</v>
      </c>
      <c r="J48" s="97" t="s">
        <v>149</v>
      </c>
      <c r="K48" s="97" t="s">
        <v>148</v>
      </c>
    </row>
    <row r="49" spans="8:11" x14ac:dyDescent="0.2">
      <c r="H49" s="97" t="s">
        <v>177</v>
      </c>
      <c r="I49" s="97" t="s">
        <v>159</v>
      </c>
      <c r="J49" s="97" t="s">
        <v>149</v>
      </c>
      <c r="K49" s="97" t="s">
        <v>148</v>
      </c>
    </row>
    <row r="50" spans="8:11" x14ac:dyDescent="0.2">
      <c r="H50" s="97" t="s">
        <v>176</v>
      </c>
      <c r="I50" s="97" t="s">
        <v>158</v>
      </c>
      <c r="J50" s="97" t="s">
        <v>149</v>
      </c>
      <c r="K50" s="97" t="s">
        <v>148</v>
      </c>
    </row>
    <row r="51" spans="8:11" x14ac:dyDescent="0.2">
      <c r="H51" s="97" t="s">
        <v>174</v>
      </c>
      <c r="I51" s="97" t="s">
        <v>157</v>
      </c>
      <c r="J51" s="97" t="s">
        <v>149</v>
      </c>
      <c r="K51" s="97" t="s">
        <v>148</v>
      </c>
    </row>
    <row r="52" spans="8:11" x14ac:dyDescent="0.2">
      <c r="H52" s="97" t="s">
        <v>178</v>
      </c>
      <c r="I52" s="97" t="s">
        <v>179</v>
      </c>
      <c r="J52" s="97" t="s">
        <v>149</v>
      </c>
      <c r="K52" s="97" t="s">
        <v>148</v>
      </c>
    </row>
    <row r="53" spans="8:11" x14ac:dyDescent="0.2">
      <c r="H53" s="97" t="s">
        <v>156</v>
      </c>
      <c r="I53" s="97" t="s">
        <v>156</v>
      </c>
      <c r="J53" s="97" t="s">
        <v>149</v>
      </c>
      <c r="K53" s="97" t="s">
        <v>148</v>
      </c>
    </row>
    <row r="54" spans="8:11" x14ac:dyDescent="0.2">
      <c r="H54" s="97" t="s">
        <v>171</v>
      </c>
      <c r="I54" s="97" t="s">
        <v>154</v>
      </c>
      <c r="J54" s="97" t="s">
        <v>149</v>
      </c>
      <c r="K54" s="97" t="s">
        <v>148</v>
      </c>
    </row>
  </sheetData>
  <sheetProtection sheet="1" formatCells="0" formatColumns="0" formatRows="0" insertColumns="0" insertRows="0" insertHyperlinks="0" deleteColumns="0" deleteRows="0" sort="0" autoFilter="0" pivotTables="0"/>
  <phoneticPr fontId="7" type="noConversion"/>
  <conditionalFormatting sqref="I4:I54">
    <cfRule type="duplicateValues" dxfId="164" priority="1029"/>
  </conditionalFormatting>
  <dataValidations count="7">
    <dataValidation type="list" allowBlank="1" showInputMessage="1" showErrorMessage="1" sqref="F4:F14 K4:K54" xr:uid="{782D795E-2BAC-487C-9A7E-2ACC2252D51E}">
      <formula1>Alias_Gerentes</formula1>
    </dataValidation>
    <dataValidation type="list" allowBlank="1" showInputMessage="1" showErrorMessage="1" sqref="J7:J54" xr:uid="{8286D5F4-693B-47AA-AB0B-AEA73A2B0A7B}">
      <formula1>Alias_Coordinadores</formula1>
    </dataValidation>
    <dataValidation type="list" allowBlank="1" showInputMessage="1" showErrorMessage="1" sqref="AO7" xr:uid="{70715728-F501-6741-A430-F187EF24D07D}">
      <formula1>"EVELYN VELAZQUEZ,FRIDA RIVERA,MICHELLE APARICIO (P),MINA APARICIO,YADIRA VEGA"</formula1>
    </dataValidation>
    <dataValidation type="list" allowBlank="1" showInputMessage="1" showErrorMessage="1" sqref="AO8" xr:uid="{5FF3874C-7C79-4B4E-B4F9-247C2DD77AB1}">
      <formula1>"JOSE FERNÁNDEZ,YANELY HERNADEZ (P)"</formula1>
    </dataValidation>
    <dataValidation type="list" allowBlank="1" showInputMessage="1" showErrorMessage="1" sqref="AO4" xr:uid="{79C84C9E-5DA8-5240-9904-F9625BB4C96D}">
      <formula1>"EUNICE MORALES,FATIMA HERNANDEZ,LIZBETH MORALES,MARIANA PACHECO (P),MIGUEL RODRIGUEZ,PEDRO GUTIERREZ,YANISSE TORRES"</formula1>
    </dataValidation>
    <dataValidation type="list" allowBlank="1" showInputMessage="1" showErrorMessage="1" sqref="AO5" xr:uid="{FC9E3F29-128C-4B46-98C5-14A550C26138}">
      <formula1>"DAMIAN BRAVO,EFRAIN CORTES,ENRIQUE OJEDA,HUGO PACHECO,OLIVIA PACHECO (P)"</formula1>
    </dataValidation>
    <dataValidation type="list" allowBlank="1" showInputMessage="1" showErrorMessage="1" sqref="AO6" xr:uid="{F370E02C-1FF0-1546-9C28-EFD72DC66F9A}">
      <formula1>"PEDRO MORA (P)"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3E57-D7D6-0846-AB60-95D3FC77A20B}">
  <sheetPr codeName="Sheet10">
    <tabColor rgb="FF92D050"/>
  </sheetPr>
  <dimension ref="A1:Q64"/>
  <sheetViews>
    <sheetView tabSelected="1" topLeftCell="A2" workbookViewId="0">
      <selection activeCell="A58" sqref="A58"/>
    </sheetView>
  </sheetViews>
  <sheetFormatPr baseColWidth="10" defaultRowHeight="15" x14ac:dyDescent="0.2"/>
  <cols>
    <col min="1" max="1" width="36.5" bestFit="1" customWidth="1"/>
    <col min="2" max="2" width="17.6640625" bestFit="1" customWidth="1"/>
    <col min="3" max="3" width="13.6640625" bestFit="1" customWidth="1"/>
    <col min="4" max="4" width="16.83203125" bestFit="1" customWidth="1"/>
    <col min="5" max="5" width="16" bestFit="1" customWidth="1"/>
    <col min="6" max="6" width="16.5" bestFit="1" customWidth="1"/>
    <col min="7" max="7" width="17.1640625" bestFit="1" customWidth="1"/>
    <col min="8" max="8" width="16.83203125" bestFit="1" customWidth="1"/>
    <col min="9" max="9" width="18.1640625" bestFit="1" customWidth="1"/>
    <col min="10" max="10" width="17.33203125" bestFit="1" customWidth="1"/>
    <col min="11" max="11" width="16.5" bestFit="1" customWidth="1"/>
    <col min="12" max="12" width="11.5" bestFit="1" customWidth="1"/>
    <col min="13" max="13" width="16.5" bestFit="1" customWidth="1"/>
    <col min="14" max="14" width="13.5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1" spans="1:17" ht="25" thickBot="1" x14ac:dyDescent="0.35">
      <c r="A1" s="136" t="s">
        <v>325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1:17" ht="16" thickTop="1" x14ac:dyDescent="0.2"/>
    <row r="3" spans="1:17" ht="20" thickBot="1" x14ac:dyDescent="0.3">
      <c r="A3" s="137" t="s">
        <v>299</v>
      </c>
    </row>
    <row r="4" spans="1:17" ht="16" thickTop="1" x14ac:dyDescent="0.2">
      <c r="B4" s="107" t="s">
        <v>333</v>
      </c>
    </row>
    <row r="5" spans="1:17" x14ac:dyDescent="0.2">
      <c r="B5" t="s">
        <v>76</v>
      </c>
      <c r="C5" t="s">
        <v>77</v>
      </c>
      <c r="D5" t="s">
        <v>71</v>
      </c>
      <c r="E5" t="s">
        <v>102</v>
      </c>
      <c r="F5" t="s">
        <v>248</v>
      </c>
    </row>
    <row r="6" spans="1:17" x14ac:dyDescent="0.2">
      <c r="A6" t="s">
        <v>299</v>
      </c>
      <c r="B6" s="135">
        <v>27</v>
      </c>
      <c r="C6" s="135">
        <v>32</v>
      </c>
      <c r="D6" s="135">
        <v>31</v>
      </c>
      <c r="E6" s="135">
        <v>7</v>
      </c>
      <c r="F6" s="135">
        <v>97</v>
      </c>
    </row>
    <row r="7" spans="1:17" x14ac:dyDescent="0.2">
      <c r="B7" s="135"/>
      <c r="C7" s="135"/>
      <c r="D7" s="135"/>
      <c r="E7" s="135"/>
      <c r="F7" s="135"/>
    </row>
    <row r="8" spans="1:17" ht="20" thickBot="1" x14ac:dyDescent="0.3">
      <c r="A8" s="137" t="s">
        <v>324</v>
      </c>
      <c r="B8" s="135"/>
      <c r="C8" s="135"/>
      <c r="D8" s="135"/>
      <c r="E8" s="135"/>
      <c r="F8" s="135"/>
    </row>
    <row r="9" spans="1:17" ht="16" thickTop="1" x14ac:dyDescent="0.2">
      <c r="B9" s="107" t="s">
        <v>332</v>
      </c>
    </row>
    <row r="10" spans="1:17" x14ac:dyDescent="0.2">
      <c r="B10" t="s">
        <v>68</v>
      </c>
      <c r="C10" t="s">
        <v>104</v>
      </c>
      <c r="D10" t="s">
        <v>108</v>
      </c>
      <c r="E10" t="s">
        <v>74</v>
      </c>
      <c r="F10" t="s">
        <v>70</v>
      </c>
      <c r="G10" t="s">
        <v>186</v>
      </c>
      <c r="H10" t="s">
        <v>72</v>
      </c>
      <c r="I10" t="s">
        <v>67</v>
      </c>
      <c r="J10" t="s">
        <v>105</v>
      </c>
      <c r="K10" t="s">
        <v>103</v>
      </c>
      <c r="L10" t="s">
        <v>66</v>
      </c>
      <c r="M10" t="s">
        <v>75</v>
      </c>
      <c r="N10" t="s">
        <v>106</v>
      </c>
      <c r="O10" t="s">
        <v>73</v>
      </c>
      <c r="P10" t="s">
        <v>107</v>
      </c>
      <c r="Q10" t="s">
        <v>248</v>
      </c>
    </row>
    <row r="11" spans="1:17" x14ac:dyDescent="0.2">
      <c r="A11" t="s">
        <v>324</v>
      </c>
      <c r="B11" s="135">
        <v>9</v>
      </c>
      <c r="C11" s="135">
        <v>4</v>
      </c>
      <c r="D11" s="135">
        <v>10</v>
      </c>
      <c r="E11" s="135">
        <v>6</v>
      </c>
      <c r="F11" s="135">
        <v>10</v>
      </c>
      <c r="G11" s="135">
        <v>8</v>
      </c>
      <c r="H11" s="135">
        <v>7</v>
      </c>
      <c r="I11" s="135">
        <v>5</v>
      </c>
      <c r="J11" s="135">
        <v>5</v>
      </c>
      <c r="K11" s="135">
        <v>7</v>
      </c>
      <c r="L11" s="135">
        <v>5</v>
      </c>
      <c r="M11" s="135">
        <v>2</v>
      </c>
      <c r="N11" s="135">
        <v>7</v>
      </c>
      <c r="O11" s="135">
        <v>5</v>
      </c>
      <c r="P11" s="135">
        <v>7</v>
      </c>
      <c r="Q11" s="135">
        <v>97</v>
      </c>
    </row>
    <row r="12" spans="1:17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</row>
    <row r="13" spans="1:17" ht="20" thickBot="1" x14ac:dyDescent="0.3">
      <c r="A13" s="137" t="s">
        <v>326</v>
      </c>
    </row>
    <row r="14" spans="1:17" ht="16" thickTop="1" x14ac:dyDescent="0.2">
      <c r="B14" s="107" t="s">
        <v>330</v>
      </c>
    </row>
    <row r="15" spans="1:17" x14ac:dyDescent="0.2">
      <c r="B15" t="s">
        <v>35</v>
      </c>
      <c r="C15" t="s">
        <v>23</v>
      </c>
      <c r="D15" t="s">
        <v>42</v>
      </c>
      <c r="E15" t="s">
        <v>41</v>
      </c>
      <c r="F15" t="s">
        <v>43</v>
      </c>
      <c r="G15" t="s">
        <v>44</v>
      </c>
      <c r="H15" t="s">
        <v>36</v>
      </c>
      <c r="I15" t="s">
        <v>37</v>
      </c>
      <c r="J15" t="s">
        <v>109</v>
      </c>
      <c r="K15" t="s">
        <v>39</v>
      </c>
      <c r="L15" t="s">
        <v>38</v>
      </c>
      <c r="M15" t="s">
        <v>40</v>
      </c>
      <c r="N15" t="s">
        <v>248</v>
      </c>
    </row>
    <row r="16" spans="1:17" x14ac:dyDescent="0.2">
      <c r="A16" t="s">
        <v>301</v>
      </c>
      <c r="B16" s="135">
        <v>7</v>
      </c>
      <c r="C16" s="135">
        <v>11</v>
      </c>
      <c r="D16" s="135">
        <v>11</v>
      </c>
      <c r="E16" s="135">
        <v>7</v>
      </c>
      <c r="F16" s="135">
        <v>8</v>
      </c>
      <c r="G16" s="135">
        <v>11</v>
      </c>
      <c r="H16" s="135">
        <v>13</v>
      </c>
      <c r="I16" s="135">
        <v>6</v>
      </c>
      <c r="J16" s="135">
        <v>3</v>
      </c>
      <c r="K16" s="135">
        <v>7</v>
      </c>
      <c r="L16" s="135">
        <v>8</v>
      </c>
      <c r="M16" s="135">
        <v>5</v>
      </c>
      <c r="N16" s="135">
        <v>97</v>
      </c>
    </row>
    <row r="18" spans="1:14" ht="20" thickBot="1" x14ac:dyDescent="0.3">
      <c r="A18" s="137" t="s">
        <v>302</v>
      </c>
    </row>
    <row r="19" spans="1:14" ht="16" thickTop="1" x14ac:dyDescent="0.2">
      <c r="B19" s="107" t="s">
        <v>331</v>
      </c>
    </row>
    <row r="20" spans="1:14" x14ac:dyDescent="0.2">
      <c r="B20" t="s">
        <v>311</v>
      </c>
      <c r="C20" t="s">
        <v>312</v>
      </c>
      <c r="D20" t="s">
        <v>313</v>
      </c>
      <c r="E20" t="s">
        <v>314</v>
      </c>
      <c r="F20" t="s">
        <v>315</v>
      </c>
      <c r="G20" t="s">
        <v>316</v>
      </c>
      <c r="H20" t="s">
        <v>317</v>
      </c>
      <c r="I20" t="s">
        <v>318</v>
      </c>
      <c r="J20" t="s">
        <v>319</v>
      </c>
      <c r="K20" t="s">
        <v>322</v>
      </c>
      <c r="L20" t="s">
        <v>320</v>
      </c>
      <c r="M20" t="s">
        <v>321</v>
      </c>
      <c r="N20" t="s">
        <v>248</v>
      </c>
    </row>
    <row r="21" spans="1:14" x14ac:dyDescent="0.2">
      <c r="A21" t="s">
        <v>302</v>
      </c>
      <c r="B21" s="135">
        <v>18</v>
      </c>
      <c r="C21" s="135">
        <v>10</v>
      </c>
      <c r="D21" s="135">
        <v>10</v>
      </c>
      <c r="E21" s="135">
        <v>9</v>
      </c>
      <c r="F21" s="135">
        <v>11</v>
      </c>
      <c r="G21" s="135">
        <v>8</v>
      </c>
      <c r="H21" s="135">
        <v>7</v>
      </c>
      <c r="I21" s="135">
        <v>12</v>
      </c>
      <c r="J21" s="135">
        <v>6</v>
      </c>
      <c r="K21" s="135">
        <v>2</v>
      </c>
      <c r="L21" s="135">
        <v>2</v>
      </c>
      <c r="M21" s="135">
        <v>2</v>
      </c>
      <c r="N21" s="135">
        <v>97</v>
      </c>
    </row>
    <row r="22" spans="1:14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</row>
    <row r="23" spans="1:14" ht="20" thickBot="1" x14ac:dyDescent="0.3">
      <c r="A23" s="137" t="s">
        <v>327</v>
      </c>
    </row>
    <row r="24" spans="1:14" ht="16" thickTop="1" x14ac:dyDescent="0.2">
      <c r="A24" s="107" t="s">
        <v>327</v>
      </c>
      <c r="B24" s="107" t="s">
        <v>331</v>
      </c>
    </row>
    <row r="25" spans="1:14" x14ac:dyDescent="0.2">
      <c r="A25" s="107" t="s">
        <v>329</v>
      </c>
      <c r="B25" t="s">
        <v>311</v>
      </c>
      <c r="C25" t="s">
        <v>312</v>
      </c>
      <c r="D25" t="s">
        <v>313</v>
      </c>
      <c r="E25" t="s">
        <v>314</v>
      </c>
      <c r="F25" t="s">
        <v>315</v>
      </c>
      <c r="G25" t="s">
        <v>316</v>
      </c>
      <c r="H25" t="s">
        <v>317</v>
      </c>
      <c r="I25" t="s">
        <v>318</v>
      </c>
      <c r="J25" t="s">
        <v>319</v>
      </c>
      <c r="K25" t="s">
        <v>322</v>
      </c>
      <c r="L25" t="s">
        <v>320</v>
      </c>
      <c r="M25" t="s">
        <v>321</v>
      </c>
      <c r="N25" t="s">
        <v>248</v>
      </c>
    </row>
    <row r="26" spans="1:14" x14ac:dyDescent="0.2">
      <c r="A26" s="108" t="s">
        <v>35</v>
      </c>
      <c r="B26" s="135">
        <v>2</v>
      </c>
      <c r="C26" s="135">
        <v>1</v>
      </c>
      <c r="D26" s="135">
        <v>1</v>
      </c>
      <c r="E26" s="135">
        <v>1</v>
      </c>
      <c r="F26" s="135">
        <v>1</v>
      </c>
      <c r="G26" s="135">
        <v>0</v>
      </c>
      <c r="H26" s="135">
        <v>0</v>
      </c>
      <c r="I26" s="135">
        <v>0</v>
      </c>
      <c r="J26" s="135">
        <v>0</v>
      </c>
      <c r="K26" s="135">
        <v>1</v>
      </c>
      <c r="L26" s="135">
        <v>0</v>
      </c>
      <c r="M26" s="135">
        <v>0</v>
      </c>
      <c r="N26" s="135">
        <v>7</v>
      </c>
    </row>
    <row r="27" spans="1:14" x14ac:dyDescent="0.2">
      <c r="A27" s="108" t="s">
        <v>23</v>
      </c>
      <c r="B27" s="135">
        <v>2</v>
      </c>
      <c r="C27" s="135">
        <v>1</v>
      </c>
      <c r="D27" s="135">
        <v>0</v>
      </c>
      <c r="E27" s="135">
        <v>0</v>
      </c>
      <c r="F27" s="135">
        <v>1</v>
      </c>
      <c r="G27" s="135">
        <v>2</v>
      </c>
      <c r="H27" s="135">
        <v>1</v>
      </c>
      <c r="I27" s="135">
        <v>2</v>
      </c>
      <c r="J27" s="135">
        <v>1</v>
      </c>
      <c r="K27" s="135">
        <v>1</v>
      </c>
      <c r="L27" s="135">
        <v>0</v>
      </c>
      <c r="M27" s="135">
        <v>0</v>
      </c>
      <c r="N27" s="135">
        <v>11</v>
      </c>
    </row>
    <row r="28" spans="1:14" x14ac:dyDescent="0.2">
      <c r="A28" s="108" t="s">
        <v>42</v>
      </c>
      <c r="B28" s="135">
        <v>2</v>
      </c>
      <c r="C28" s="135">
        <v>2</v>
      </c>
      <c r="D28" s="135">
        <v>1</v>
      </c>
      <c r="E28" s="135">
        <v>1</v>
      </c>
      <c r="F28" s="135">
        <v>2</v>
      </c>
      <c r="G28" s="135">
        <v>1</v>
      </c>
      <c r="H28" s="135">
        <v>1</v>
      </c>
      <c r="I28" s="135">
        <v>1</v>
      </c>
      <c r="J28" s="135">
        <v>0</v>
      </c>
      <c r="K28" s="135">
        <v>0</v>
      </c>
      <c r="L28" s="135">
        <v>0</v>
      </c>
      <c r="M28" s="135">
        <v>0</v>
      </c>
      <c r="N28" s="135">
        <v>11</v>
      </c>
    </row>
    <row r="29" spans="1:14" x14ac:dyDescent="0.2">
      <c r="A29" s="108" t="s">
        <v>41</v>
      </c>
      <c r="B29" s="135">
        <v>1</v>
      </c>
      <c r="C29" s="135">
        <v>0</v>
      </c>
      <c r="D29" s="135">
        <v>1</v>
      </c>
      <c r="E29" s="135">
        <v>1</v>
      </c>
      <c r="F29" s="135">
        <v>1</v>
      </c>
      <c r="G29" s="135">
        <v>0</v>
      </c>
      <c r="H29" s="135">
        <v>0</v>
      </c>
      <c r="I29" s="135">
        <v>1</v>
      </c>
      <c r="J29" s="135">
        <v>2</v>
      </c>
      <c r="K29" s="135">
        <v>0</v>
      </c>
      <c r="L29" s="135">
        <v>0</v>
      </c>
      <c r="M29" s="135">
        <v>0</v>
      </c>
      <c r="N29" s="135">
        <v>7</v>
      </c>
    </row>
    <row r="30" spans="1:14" x14ac:dyDescent="0.2">
      <c r="A30" s="108" t="s">
        <v>43</v>
      </c>
      <c r="B30" s="135">
        <v>3</v>
      </c>
      <c r="C30" s="135">
        <v>2</v>
      </c>
      <c r="D30" s="135">
        <v>2</v>
      </c>
      <c r="E30" s="135">
        <v>1</v>
      </c>
      <c r="F30" s="135">
        <v>0</v>
      </c>
      <c r="G30" s="135">
        <v>0</v>
      </c>
      <c r="H30" s="135">
        <v>0</v>
      </c>
      <c r="I30" s="135">
        <v>0</v>
      </c>
      <c r="J30" s="135">
        <v>0</v>
      </c>
      <c r="K30" s="135">
        <v>0</v>
      </c>
      <c r="L30" s="135">
        <v>0</v>
      </c>
      <c r="M30" s="135">
        <v>0</v>
      </c>
      <c r="N30" s="135">
        <v>8</v>
      </c>
    </row>
    <row r="31" spans="1:14" x14ac:dyDescent="0.2">
      <c r="A31" s="108" t="s">
        <v>44</v>
      </c>
      <c r="B31" s="135">
        <v>4</v>
      </c>
      <c r="C31" s="135">
        <v>2</v>
      </c>
      <c r="D31" s="135">
        <v>1</v>
      </c>
      <c r="E31" s="135">
        <v>1</v>
      </c>
      <c r="F31" s="135">
        <v>1</v>
      </c>
      <c r="G31" s="135">
        <v>0</v>
      </c>
      <c r="H31" s="135">
        <v>0</v>
      </c>
      <c r="I31" s="135">
        <v>1</v>
      </c>
      <c r="J31" s="135">
        <v>0</v>
      </c>
      <c r="K31" s="135">
        <v>0</v>
      </c>
      <c r="L31" s="135">
        <v>0</v>
      </c>
      <c r="M31" s="135">
        <v>1</v>
      </c>
      <c r="N31" s="135">
        <v>11</v>
      </c>
    </row>
    <row r="32" spans="1:14" x14ac:dyDescent="0.2">
      <c r="A32" s="108" t="s">
        <v>36</v>
      </c>
      <c r="B32" s="135">
        <v>0</v>
      </c>
      <c r="C32" s="135">
        <v>0</v>
      </c>
      <c r="D32" s="135">
        <v>2</v>
      </c>
      <c r="E32" s="135">
        <v>2</v>
      </c>
      <c r="F32" s="135">
        <v>2</v>
      </c>
      <c r="G32" s="135">
        <v>2</v>
      </c>
      <c r="H32" s="135">
        <v>2</v>
      </c>
      <c r="I32" s="135">
        <v>2</v>
      </c>
      <c r="J32" s="135">
        <v>1</v>
      </c>
      <c r="K32" s="135">
        <v>0</v>
      </c>
      <c r="L32" s="135">
        <v>0</v>
      </c>
      <c r="M32" s="135">
        <v>0</v>
      </c>
      <c r="N32" s="135">
        <v>13</v>
      </c>
    </row>
    <row r="33" spans="1:14" x14ac:dyDescent="0.2">
      <c r="A33" s="108" t="s">
        <v>37</v>
      </c>
      <c r="B33" s="135">
        <v>2</v>
      </c>
      <c r="C33" s="135">
        <v>1</v>
      </c>
      <c r="D33" s="135">
        <v>1</v>
      </c>
      <c r="E33" s="135">
        <v>1</v>
      </c>
      <c r="F33" s="135">
        <v>1</v>
      </c>
      <c r="G33" s="135">
        <v>0</v>
      </c>
      <c r="H33" s="135">
        <v>0</v>
      </c>
      <c r="I33" s="135">
        <v>0</v>
      </c>
      <c r="J33" s="135">
        <v>0</v>
      </c>
      <c r="K33" s="135">
        <v>0</v>
      </c>
      <c r="L33" s="135">
        <v>0</v>
      </c>
      <c r="M33" s="135">
        <v>0</v>
      </c>
      <c r="N33" s="135">
        <v>6</v>
      </c>
    </row>
    <row r="34" spans="1:14" x14ac:dyDescent="0.2">
      <c r="A34" s="108" t="s">
        <v>109</v>
      </c>
      <c r="B34" s="135">
        <v>0</v>
      </c>
      <c r="C34" s="135">
        <v>0</v>
      </c>
      <c r="D34" s="135">
        <v>0</v>
      </c>
      <c r="E34" s="135">
        <v>0</v>
      </c>
      <c r="F34" s="135">
        <v>0</v>
      </c>
      <c r="G34" s="135">
        <v>1</v>
      </c>
      <c r="H34" s="135">
        <v>1</v>
      </c>
      <c r="I34" s="135">
        <v>1</v>
      </c>
      <c r="J34" s="135">
        <v>0</v>
      </c>
      <c r="K34" s="135">
        <v>0</v>
      </c>
      <c r="L34" s="135">
        <v>0</v>
      </c>
      <c r="M34" s="135">
        <v>0</v>
      </c>
      <c r="N34" s="135">
        <v>3</v>
      </c>
    </row>
    <row r="35" spans="1:14" x14ac:dyDescent="0.2">
      <c r="A35" s="108" t="s">
        <v>39</v>
      </c>
      <c r="B35" s="135">
        <v>0</v>
      </c>
      <c r="C35" s="135">
        <v>0</v>
      </c>
      <c r="D35" s="135">
        <v>0</v>
      </c>
      <c r="E35" s="135">
        <v>0</v>
      </c>
      <c r="F35" s="135">
        <v>1</v>
      </c>
      <c r="G35" s="135">
        <v>1</v>
      </c>
      <c r="H35" s="135">
        <v>0</v>
      </c>
      <c r="I35" s="135">
        <v>1</v>
      </c>
      <c r="J35" s="135">
        <v>1</v>
      </c>
      <c r="K35" s="135">
        <v>0</v>
      </c>
      <c r="L35" s="135">
        <v>2</v>
      </c>
      <c r="M35" s="135">
        <v>1</v>
      </c>
      <c r="N35" s="135">
        <v>7</v>
      </c>
    </row>
    <row r="36" spans="1:14" x14ac:dyDescent="0.2">
      <c r="A36" s="108" t="s">
        <v>38</v>
      </c>
      <c r="B36" s="135">
        <v>2</v>
      </c>
      <c r="C36" s="135">
        <v>1</v>
      </c>
      <c r="D36" s="135">
        <v>1</v>
      </c>
      <c r="E36" s="135">
        <v>0</v>
      </c>
      <c r="F36" s="135">
        <v>0</v>
      </c>
      <c r="G36" s="135">
        <v>0</v>
      </c>
      <c r="H36" s="135">
        <v>1</v>
      </c>
      <c r="I36" s="135">
        <v>2</v>
      </c>
      <c r="J36" s="135">
        <v>1</v>
      </c>
      <c r="K36" s="135">
        <v>0</v>
      </c>
      <c r="L36" s="135">
        <v>0</v>
      </c>
      <c r="M36" s="135">
        <v>0</v>
      </c>
      <c r="N36" s="135">
        <v>8</v>
      </c>
    </row>
    <row r="37" spans="1:14" x14ac:dyDescent="0.2">
      <c r="A37" s="108" t="s">
        <v>40</v>
      </c>
      <c r="B37" s="135">
        <v>0</v>
      </c>
      <c r="C37" s="135">
        <v>0</v>
      </c>
      <c r="D37" s="135">
        <v>0</v>
      </c>
      <c r="E37" s="135">
        <v>1</v>
      </c>
      <c r="F37" s="135">
        <v>1</v>
      </c>
      <c r="G37" s="135">
        <v>1</v>
      </c>
      <c r="H37" s="135">
        <v>1</v>
      </c>
      <c r="I37" s="135">
        <v>1</v>
      </c>
      <c r="J37" s="135">
        <v>0</v>
      </c>
      <c r="K37" s="135">
        <v>0</v>
      </c>
      <c r="L37" s="135">
        <v>0</v>
      </c>
      <c r="M37" s="135">
        <v>0</v>
      </c>
      <c r="N37" s="135">
        <v>5</v>
      </c>
    </row>
    <row r="38" spans="1:14" x14ac:dyDescent="0.2">
      <c r="A38" s="108" t="s">
        <v>248</v>
      </c>
      <c r="B38" s="135">
        <v>18</v>
      </c>
      <c r="C38" s="135">
        <v>10</v>
      </c>
      <c r="D38" s="135">
        <v>10</v>
      </c>
      <c r="E38" s="135">
        <v>9</v>
      </c>
      <c r="F38" s="135">
        <v>11</v>
      </c>
      <c r="G38" s="135">
        <v>8</v>
      </c>
      <c r="H38" s="135">
        <v>7</v>
      </c>
      <c r="I38" s="135">
        <v>12</v>
      </c>
      <c r="J38" s="135">
        <v>6</v>
      </c>
      <c r="K38" s="135">
        <v>2</v>
      </c>
      <c r="L38" s="135">
        <v>2</v>
      </c>
      <c r="M38" s="135">
        <v>2</v>
      </c>
      <c r="N38" s="135">
        <v>97</v>
      </c>
    </row>
    <row r="40" spans="1:14" ht="20" thickBot="1" x14ac:dyDescent="0.3">
      <c r="A40" s="137" t="s">
        <v>328</v>
      </c>
    </row>
    <row r="41" spans="1:14" ht="16" thickTop="1" x14ac:dyDescent="0.2">
      <c r="A41" s="107" t="s">
        <v>328</v>
      </c>
      <c r="B41" s="107" t="s">
        <v>330</v>
      </c>
    </row>
    <row r="42" spans="1:14" x14ac:dyDescent="0.2">
      <c r="A42" s="107" t="s">
        <v>329</v>
      </c>
      <c r="B42" t="s">
        <v>35</v>
      </c>
      <c r="C42" t="s">
        <v>23</v>
      </c>
      <c r="D42" t="s">
        <v>42</v>
      </c>
      <c r="E42" t="s">
        <v>41</v>
      </c>
      <c r="F42" t="s">
        <v>43</v>
      </c>
      <c r="G42" t="s">
        <v>44</v>
      </c>
      <c r="H42" t="s">
        <v>36</v>
      </c>
      <c r="I42" t="s">
        <v>37</v>
      </c>
      <c r="J42" t="s">
        <v>109</v>
      </c>
      <c r="K42" t="s">
        <v>39</v>
      </c>
      <c r="L42" t="s">
        <v>38</v>
      </c>
      <c r="M42" t="s">
        <v>40</v>
      </c>
      <c r="N42" t="s">
        <v>248</v>
      </c>
    </row>
    <row r="43" spans="1:14" x14ac:dyDescent="0.2">
      <c r="A43" s="108" t="s">
        <v>311</v>
      </c>
      <c r="B43" s="135">
        <v>2</v>
      </c>
      <c r="C43" s="135">
        <v>2</v>
      </c>
      <c r="D43" s="135">
        <v>2</v>
      </c>
      <c r="E43" s="135">
        <v>1</v>
      </c>
      <c r="F43" s="135">
        <v>3</v>
      </c>
      <c r="G43" s="135">
        <v>4</v>
      </c>
      <c r="H43" s="135">
        <v>0</v>
      </c>
      <c r="I43" s="135">
        <v>2</v>
      </c>
      <c r="J43" s="135">
        <v>0</v>
      </c>
      <c r="K43" s="135">
        <v>0</v>
      </c>
      <c r="L43" s="135">
        <v>2</v>
      </c>
      <c r="M43" s="135">
        <v>0</v>
      </c>
      <c r="N43" s="135">
        <v>18</v>
      </c>
    </row>
    <row r="44" spans="1:14" x14ac:dyDescent="0.2">
      <c r="A44" s="108" t="s">
        <v>312</v>
      </c>
      <c r="B44" s="135">
        <v>1</v>
      </c>
      <c r="C44" s="135">
        <v>1</v>
      </c>
      <c r="D44" s="135">
        <v>2</v>
      </c>
      <c r="E44" s="135">
        <v>0</v>
      </c>
      <c r="F44" s="135">
        <v>2</v>
      </c>
      <c r="G44" s="135">
        <v>2</v>
      </c>
      <c r="H44" s="135">
        <v>0</v>
      </c>
      <c r="I44" s="135">
        <v>1</v>
      </c>
      <c r="J44" s="135">
        <v>0</v>
      </c>
      <c r="K44" s="135">
        <v>0</v>
      </c>
      <c r="L44" s="135">
        <v>1</v>
      </c>
      <c r="M44" s="135">
        <v>0</v>
      </c>
      <c r="N44" s="135">
        <v>10</v>
      </c>
    </row>
    <row r="45" spans="1:14" x14ac:dyDescent="0.2">
      <c r="A45" s="108" t="s">
        <v>313</v>
      </c>
      <c r="B45" s="135">
        <v>1</v>
      </c>
      <c r="C45" s="135">
        <v>0</v>
      </c>
      <c r="D45" s="135">
        <v>1</v>
      </c>
      <c r="E45" s="135">
        <v>1</v>
      </c>
      <c r="F45" s="135">
        <v>2</v>
      </c>
      <c r="G45" s="135">
        <v>1</v>
      </c>
      <c r="H45" s="135">
        <v>2</v>
      </c>
      <c r="I45" s="135">
        <v>1</v>
      </c>
      <c r="J45" s="135">
        <v>0</v>
      </c>
      <c r="K45" s="135">
        <v>0</v>
      </c>
      <c r="L45" s="135">
        <v>1</v>
      </c>
      <c r="M45" s="135">
        <v>0</v>
      </c>
      <c r="N45" s="135">
        <v>10</v>
      </c>
    </row>
    <row r="46" spans="1:14" x14ac:dyDescent="0.2">
      <c r="A46" s="108" t="s">
        <v>314</v>
      </c>
      <c r="B46" s="135">
        <v>1</v>
      </c>
      <c r="C46" s="135">
        <v>0</v>
      </c>
      <c r="D46" s="135">
        <v>1</v>
      </c>
      <c r="E46" s="135">
        <v>1</v>
      </c>
      <c r="F46" s="135">
        <v>1</v>
      </c>
      <c r="G46" s="135">
        <v>1</v>
      </c>
      <c r="H46" s="135">
        <v>2</v>
      </c>
      <c r="I46" s="135">
        <v>1</v>
      </c>
      <c r="J46" s="135">
        <v>0</v>
      </c>
      <c r="K46" s="135">
        <v>0</v>
      </c>
      <c r="L46" s="135">
        <v>0</v>
      </c>
      <c r="M46" s="135">
        <v>1</v>
      </c>
      <c r="N46" s="135">
        <v>9</v>
      </c>
    </row>
    <row r="47" spans="1:14" x14ac:dyDescent="0.2">
      <c r="A47" s="108" t="s">
        <v>315</v>
      </c>
      <c r="B47" s="135">
        <v>1</v>
      </c>
      <c r="C47" s="135">
        <v>1</v>
      </c>
      <c r="D47" s="135">
        <v>2</v>
      </c>
      <c r="E47" s="135">
        <v>1</v>
      </c>
      <c r="F47" s="135">
        <v>0</v>
      </c>
      <c r="G47" s="135">
        <v>1</v>
      </c>
      <c r="H47" s="135">
        <v>2</v>
      </c>
      <c r="I47" s="135">
        <v>1</v>
      </c>
      <c r="J47" s="135">
        <v>0</v>
      </c>
      <c r="K47" s="135">
        <v>1</v>
      </c>
      <c r="L47" s="135">
        <v>0</v>
      </c>
      <c r="M47" s="135">
        <v>1</v>
      </c>
      <c r="N47" s="135">
        <v>11</v>
      </c>
    </row>
    <row r="48" spans="1:14" x14ac:dyDescent="0.2">
      <c r="A48" s="108" t="s">
        <v>316</v>
      </c>
      <c r="B48" s="135">
        <v>0</v>
      </c>
      <c r="C48" s="135">
        <v>2</v>
      </c>
      <c r="D48" s="135">
        <v>1</v>
      </c>
      <c r="E48" s="135">
        <v>0</v>
      </c>
      <c r="F48" s="135">
        <v>0</v>
      </c>
      <c r="G48" s="135">
        <v>0</v>
      </c>
      <c r="H48" s="135">
        <v>2</v>
      </c>
      <c r="I48" s="135">
        <v>0</v>
      </c>
      <c r="J48" s="135">
        <v>1</v>
      </c>
      <c r="K48" s="135">
        <v>1</v>
      </c>
      <c r="L48" s="135">
        <v>0</v>
      </c>
      <c r="M48" s="135">
        <v>1</v>
      </c>
      <c r="N48" s="135">
        <v>8</v>
      </c>
    </row>
    <row r="49" spans="1:14" x14ac:dyDescent="0.2">
      <c r="A49" s="108" t="s">
        <v>317</v>
      </c>
      <c r="B49" s="135">
        <v>0</v>
      </c>
      <c r="C49" s="135">
        <v>1</v>
      </c>
      <c r="D49" s="135">
        <v>1</v>
      </c>
      <c r="E49" s="135">
        <v>0</v>
      </c>
      <c r="F49" s="135">
        <v>0</v>
      </c>
      <c r="G49" s="135">
        <v>0</v>
      </c>
      <c r="H49" s="135">
        <v>2</v>
      </c>
      <c r="I49" s="135">
        <v>0</v>
      </c>
      <c r="J49" s="135">
        <v>1</v>
      </c>
      <c r="K49" s="135">
        <v>0</v>
      </c>
      <c r="L49" s="135">
        <v>1</v>
      </c>
      <c r="M49" s="135">
        <v>1</v>
      </c>
      <c r="N49" s="135">
        <v>7</v>
      </c>
    </row>
    <row r="50" spans="1:14" x14ac:dyDescent="0.2">
      <c r="A50" s="108" t="s">
        <v>318</v>
      </c>
      <c r="B50" s="135">
        <v>0</v>
      </c>
      <c r="C50" s="135">
        <v>2</v>
      </c>
      <c r="D50" s="135">
        <v>1</v>
      </c>
      <c r="E50" s="135">
        <v>1</v>
      </c>
      <c r="F50" s="135">
        <v>0</v>
      </c>
      <c r="G50" s="135">
        <v>1</v>
      </c>
      <c r="H50" s="135">
        <v>2</v>
      </c>
      <c r="I50" s="135">
        <v>0</v>
      </c>
      <c r="J50" s="135">
        <v>1</v>
      </c>
      <c r="K50" s="135">
        <v>1</v>
      </c>
      <c r="L50" s="135">
        <v>2</v>
      </c>
      <c r="M50" s="135">
        <v>1</v>
      </c>
      <c r="N50" s="135">
        <v>12</v>
      </c>
    </row>
    <row r="51" spans="1:14" x14ac:dyDescent="0.2">
      <c r="A51" s="108" t="s">
        <v>319</v>
      </c>
      <c r="B51" s="135">
        <v>0</v>
      </c>
      <c r="C51" s="135">
        <v>1</v>
      </c>
      <c r="D51" s="135">
        <v>0</v>
      </c>
      <c r="E51" s="135">
        <v>2</v>
      </c>
      <c r="F51" s="135">
        <v>0</v>
      </c>
      <c r="G51" s="135">
        <v>0</v>
      </c>
      <c r="H51" s="135">
        <v>1</v>
      </c>
      <c r="I51" s="135">
        <v>0</v>
      </c>
      <c r="J51" s="135">
        <v>0</v>
      </c>
      <c r="K51" s="135">
        <v>1</v>
      </c>
      <c r="L51" s="135">
        <v>1</v>
      </c>
      <c r="M51" s="135">
        <v>0</v>
      </c>
      <c r="N51" s="135">
        <v>6</v>
      </c>
    </row>
    <row r="52" spans="1:14" x14ac:dyDescent="0.2">
      <c r="A52" s="108" t="s">
        <v>322</v>
      </c>
      <c r="B52" s="135">
        <v>1</v>
      </c>
      <c r="C52" s="135">
        <v>1</v>
      </c>
      <c r="D52" s="135">
        <v>0</v>
      </c>
      <c r="E52" s="135">
        <v>0</v>
      </c>
      <c r="F52" s="135">
        <v>0</v>
      </c>
      <c r="G52" s="135">
        <v>0</v>
      </c>
      <c r="H52" s="135">
        <v>0</v>
      </c>
      <c r="I52" s="135">
        <v>0</v>
      </c>
      <c r="J52" s="135">
        <v>0</v>
      </c>
      <c r="K52" s="135">
        <v>0</v>
      </c>
      <c r="L52" s="135">
        <v>0</v>
      </c>
      <c r="M52" s="135">
        <v>0</v>
      </c>
      <c r="N52" s="135">
        <v>2</v>
      </c>
    </row>
    <row r="53" spans="1:14" x14ac:dyDescent="0.2">
      <c r="A53" s="108" t="s">
        <v>320</v>
      </c>
      <c r="B53" s="135">
        <v>0</v>
      </c>
      <c r="C53" s="135">
        <v>0</v>
      </c>
      <c r="D53" s="135">
        <v>0</v>
      </c>
      <c r="E53" s="135">
        <v>0</v>
      </c>
      <c r="F53" s="135">
        <v>0</v>
      </c>
      <c r="G53" s="135">
        <v>0</v>
      </c>
      <c r="H53" s="135">
        <v>0</v>
      </c>
      <c r="I53" s="135">
        <v>0</v>
      </c>
      <c r="J53" s="135">
        <v>0</v>
      </c>
      <c r="K53" s="135">
        <v>2</v>
      </c>
      <c r="L53" s="135">
        <v>0</v>
      </c>
      <c r="M53" s="135">
        <v>0</v>
      </c>
      <c r="N53" s="135">
        <v>2</v>
      </c>
    </row>
    <row r="54" spans="1:14" x14ac:dyDescent="0.2">
      <c r="A54" s="108" t="s">
        <v>321</v>
      </c>
      <c r="B54" s="135">
        <v>0</v>
      </c>
      <c r="C54" s="135">
        <v>0</v>
      </c>
      <c r="D54" s="135">
        <v>0</v>
      </c>
      <c r="E54" s="135">
        <v>0</v>
      </c>
      <c r="F54" s="135">
        <v>0</v>
      </c>
      <c r="G54" s="135">
        <v>1</v>
      </c>
      <c r="H54" s="135">
        <v>0</v>
      </c>
      <c r="I54" s="135">
        <v>0</v>
      </c>
      <c r="J54" s="135">
        <v>0</v>
      </c>
      <c r="K54" s="135">
        <v>1</v>
      </c>
      <c r="L54" s="135">
        <v>0</v>
      </c>
      <c r="M54" s="135">
        <v>0</v>
      </c>
      <c r="N54" s="135">
        <v>2</v>
      </c>
    </row>
    <row r="55" spans="1:14" x14ac:dyDescent="0.2">
      <c r="A55" s="108" t="s">
        <v>248</v>
      </c>
      <c r="B55" s="135">
        <v>7</v>
      </c>
      <c r="C55" s="135">
        <v>11</v>
      </c>
      <c r="D55" s="135">
        <v>11</v>
      </c>
      <c r="E55" s="135">
        <v>7</v>
      </c>
      <c r="F55" s="135">
        <v>8</v>
      </c>
      <c r="G55" s="135">
        <v>11</v>
      </c>
      <c r="H55" s="135">
        <v>13</v>
      </c>
      <c r="I55" s="135">
        <v>6</v>
      </c>
      <c r="J55" s="135">
        <v>3</v>
      </c>
      <c r="K55" s="135">
        <v>7</v>
      </c>
      <c r="L55" s="135">
        <v>8</v>
      </c>
      <c r="M55" s="135">
        <v>5</v>
      </c>
      <c r="N55" s="135">
        <v>97</v>
      </c>
    </row>
    <row r="57" spans="1:14" ht="20" thickBot="1" x14ac:dyDescent="0.3">
      <c r="A57" s="137" t="s">
        <v>334</v>
      </c>
    </row>
    <row r="58" spans="1:14" ht="16" thickTop="1" x14ac:dyDescent="0.2">
      <c r="A58" s="107" t="s">
        <v>300</v>
      </c>
      <c r="B58" s="107" t="s">
        <v>330</v>
      </c>
    </row>
    <row r="59" spans="1:14" x14ac:dyDescent="0.2">
      <c r="A59" s="107" t="s">
        <v>329</v>
      </c>
      <c r="B59" t="s">
        <v>35</v>
      </c>
      <c r="C59" t="s">
        <v>23</v>
      </c>
      <c r="D59" t="s">
        <v>42</v>
      </c>
      <c r="E59" t="s">
        <v>41</v>
      </c>
      <c r="F59" t="s">
        <v>43</v>
      </c>
      <c r="G59" t="s">
        <v>44</v>
      </c>
      <c r="H59" t="s">
        <v>36</v>
      </c>
      <c r="I59" t="s">
        <v>37</v>
      </c>
      <c r="J59" t="s">
        <v>109</v>
      </c>
      <c r="K59" t="s">
        <v>39</v>
      </c>
      <c r="L59" t="s">
        <v>38</v>
      </c>
      <c r="M59" t="s">
        <v>40</v>
      </c>
      <c r="N59" t="s">
        <v>248</v>
      </c>
    </row>
    <row r="60" spans="1:14" x14ac:dyDescent="0.2">
      <c r="A60" s="108" t="s">
        <v>76</v>
      </c>
      <c r="B60" s="135">
        <v>6</v>
      </c>
      <c r="C60" s="135">
        <v>11</v>
      </c>
      <c r="D60" s="135">
        <v>10</v>
      </c>
      <c r="E60" s="135">
        <v>0</v>
      </c>
      <c r="F60" s="135">
        <v>0</v>
      </c>
      <c r="G60" s="135">
        <v>0</v>
      </c>
      <c r="H60" s="135">
        <v>0</v>
      </c>
      <c r="I60" s="135">
        <v>0</v>
      </c>
      <c r="J60" s="135">
        <v>0</v>
      </c>
      <c r="K60" s="135">
        <v>0</v>
      </c>
      <c r="L60" s="135">
        <v>0</v>
      </c>
      <c r="M60" s="135">
        <v>0</v>
      </c>
      <c r="N60" s="135">
        <v>27</v>
      </c>
    </row>
    <row r="61" spans="1:14" x14ac:dyDescent="0.2">
      <c r="A61" s="108" t="s">
        <v>77</v>
      </c>
      <c r="B61" s="135">
        <v>0</v>
      </c>
      <c r="C61" s="135">
        <v>0</v>
      </c>
      <c r="D61" s="135">
        <v>1</v>
      </c>
      <c r="E61" s="135">
        <v>6</v>
      </c>
      <c r="F61" s="135">
        <v>8</v>
      </c>
      <c r="G61" s="135">
        <v>9</v>
      </c>
      <c r="H61" s="135">
        <v>8</v>
      </c>
      <c r="I61" s="135">
        <v>0</v>
      </c>
      <c r="J61" s="135">
        <v>0</v>
      </c>
      <c r="K61" s="135">
        <v>0</v>
      </c>
      <c r="L61" s="135">
        <v>0</v>
      </c>
      <c r="M61" s="135">
        <v>0</v>
      </c>
      <c r="N61" s="135">
        <v>32</v>
      </c>
    </row>
    <row r="62" spans="1:14" x14ac:dyDescent="0.2">
      <c r="A62" s="108" t="s">
        <v>71</v>
      </c>
      <c r="B62" s="135">
        <v>0</v>
      </c>
      <c r="C62" s="135">
        <v>0</v>
      </c>
      <c r="D62" s="135">
        <v>0</v>
      </c>
      <c r="E62" s="135">
        <v>0</v>
      </c>
      <c r="F62" s="135">
        <v>0</v>
      </c>
      <c r="G62" s="135">
        <v>0</v>
      </c>
      <c r="H62" s="135">
        <v>5</v>
      </c>
      <c r="I62" s="135">
        <v>6</v>
      </c>
      <c r="J62" s="135">
        <v>3</v>
      </c>
      <c r="K62" s="135">
        <v>6</v>
      </c>
      <c r="L62" s="135">
        <v>8</v>
      </c>
      <c r="M62" s="135">
        <v>3</v>
      </c>
      <c r="N62" s="135">
        <v>31</v>
      </c>
    </row>
    <row r="63" spans="1:14" x14ac:dyDescent="0.2">
      <c r="A63" s="108" t="s">
        <v>102</v>
      </c>
      <c r="B63" s="135">
        <v>1</v>
      </c>
      <c r="C63" s="135">
        <v>0</v>
      </c>
      <c r="D63" s="135">
        <v>0</v>
      </c>
      <c r="E63" s="135">
        <v>1</v>
      </c>
      <c r="F63" s="135">
        <v>0</v>
      </c>
      <c r="G63" s="135">
        <v>2</v>
      </c>
      <c r="H63" s="135">
        <v>0</v>
      </c>
      <c r="I63" s="135">
        <v>0</v>
      </c>
      <c r="J63" s="135">
        <v>0</v>
      </c>
      <c r="K63" s="135">
        <v>1</v>
      </c>
      <c r="L63" s="135">
        <v>0</v>
      </c>
      <c r="M63" s="135">
        <v>2</v>
      </c>
      <c r="N63" s="135">
        <v>7</v>
      </c>
    </row>
    <row r="64" spans="1:14" x14ac:dyDescent="0.2">
      <c r="A64" s="108" t="s">
        <v>248</v>
      </c>
      <c r="B64" s="135">
        <v>7</v>
      </c>
      <c r="C64" s="135">
        <v>11</v>
      </c>
      <c r="D64" s="135">
        <v>11</v>
      </c>
      <c r="E64" s="135">
        <v>7</v>
      </c>
      <c r="F64" s="135">
        <v>8</v>
      </c>
      <c r="G64" s="135">
        <v>11</v>
      </c>
      <c r="H64" s="135">
        <v>13</v>
      </c>
      <c r="I64" s="135">
        <v>6</v>
      </c>
      <c r="J64" s="135">
        <v>3</v>
      </c>
      <c r="K64" s="135">
        <v>7</v>
      </c>
      <c r="L64" s="135">
        <v>8</v>
      </c>
      <c r="M64" s="135">
        <v>5</v>
      </c>
      <c r="N64" s="135">
        <v>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B75DA-0C51-CE46-B65B-8D53D1DA2962}">
  <sheetPr codeName="Sheet8">
    <tabColor rgb="FFCC99FF"/>
  </sheetPr>
  <dimension ref="F219"/>
  <sheetViews>
    <sheetView topLeftCell="A64" workbookViewId="0">
      <selection activeCell="K61" sqref="K61"/>
    </sheetView>
  </sheetViews>
  <sheetFormatPr baseColWidth="10" defaultRowHeight="15" x14ac:dyDescent="0.2"/>
  <cols>
    <col min="1" max="1" width="27.83203125" bestFit="1" customWidth="1"/>
    <col min="2" max="2" width="19.5" bestFit="1" customWidth="1"/>
    <col min="3" max="3" width="14" bestFit="1" customWidth="1"/>
    <col min="4" max="4" width="16.83203125" bestFit="1" customWidth="1"/>
    <col min="5" max="5" width="16" bestFit="1" customWidth="1"/>
    <col min="6" max="6" width="16.5" bestFit="1" customWidth="1"/>
    <col min="7" max="7" width="17.1640625" bestFit="1" customWidth="1"/>
    <col min="8" max="8" width="16.83203125" bestFit="1" customWidth="1"/>
    <col min="9" max="9" width="18.1640625" bestFit="1" customWidth="1"/>
    <col min="10" max="10" width="17.33203125" bestFit="1" customWidth="1"/>
    <col min="11" max="11" width="16.5" bestFit="1" customWidth="1"/>
    <col min="12" max="12" width="11.5" bestFit="1" customWidth="1"/>
    <col min="13" max="13" width="16.5" bestFit="1" customWidth="1"/>
    <col min="14" max="14" width="13.5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219" spans="6:6" x14ac:dyDescent="0.2">
      <c r="F219" s="116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2918-F284-4156-BD82-B452CD8136A7}">
  <sheetPr codeName="Sheet6">
    <tabColor rgb="FF0070C0"/>
  </sheetPr>
  <dimension ref="A1:N29"/>
  <sheetViews>
    <sheetView workbookViewId="0">
      <selection activeCell="K61" sqref="K61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8.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5.83203125" style="13" bestFit="1" customWidth="1"/>
    <col min="8" max="8" width="12" style="13" bestFit="1" customWidth="1"/>
    <col min="9" max="9" width="30.1640625" style="19" bestFit="1" customWidth="1"/>
    <col min="10" max="10" width="17.6640625" style="13" bestFit="1" customWidth="1"/>
    <col min="11" max="11" width="21" style="13" bestFit="1" customWidth="1"/>
    <col min="12" max="12" width="3.33203125" style="13" bestFit="1" customWidth="1"/>
    <col min="13" max="14" width="12.5" style="13" customWidth="1"/>
    <col min="15" max="15" width="3.33203125" style="13" bestFit="1" customWidth="1"/>
    <col min="16" max="22" width="10.6640625" style="13" customWidth="1"/>
    <col min="23" max="16384" width="14.5" style="13"/>
  </cols>
  <sheetData>
    <row r="1" spans="1:14" ht="17" thickBot="1" x14ac:dyDescent="0.25">
      <c r="A1" s="32" t="s">
        <v>28</v>
      </c>
      <c r="B1" s="119"/>
      <c r="C1" s="119"/>
      <c r="D1" s="119"/>
      <c r="F1" s="43" t="s">
        <v>116</v>
      </c>
      <c r="G1" s="45" t="s">
        <v>6</v>
      </c>
      <c r="I1" s="31" t="s">
        <v>58</v>
      </c>
      <c r="J1" s="34">
        <f>Total_Registros_Gerente</f>
        <v>88</v>
      </c>
      <c r="M1" s="96"/>
      <c r="N1" s="96"/>
    </row>
    <row r="2" spans="1:14" ht="17" thickBot="1" x14ac:dyDescent="0.25">
      <c r="A2" s="43" t="s">
        <v>31</v>
      </c>
      <c r="B2" s="120"/>
      <c r="C2" s="120"/>
      <c r="D2" s="120"/>
      <c r="M2" s="96"/>
      <c r="N2" s="96"/>
    </row>
    <row r="3" spans="1:14" ht="17" thickBot="1" x14ac:dyDescent="0.25">
      <c r="A3" s="43" t="s">
        <v>29</v>
      </c>
      <c r="B3" s="101"/>
      <c r="C3" s="44" t="s">
        <v>30</v>
      </c>
      <c r="D3" s="102"/>
      <c r="F3" s="20"/>
      <c r="G3" s="21"/>
      <c r="I3" s="16"/>
      <c r="M3" s="96"/>
      <c r="N3" s="96"/>
    </row>
    <row r="4" spans="1:14" ht="17" thickBot="1" x14ac:dyDescent="0.25">
      <c r="A4" s="43" t="s">
        <v>17</v>
      </c>
      <c r="B4" s="86" cm="1">
        <f t="array" ref="B4">IF(COUNTA(Tabla_Coordinador[GRUPO]) = 0, 0,
   COUNTIFS(Tabla_Coordinador[GRUPO], "&lt;&gt;",
            Tabla_Coordinador[GRUPO], "&lt;&gt;503",
            Tabla_Coordinador[GRUPO], "&lt;&gt;500",
            Tabla_Coordinador[PAGO], "&gt;=299")
   - SUMPRODUCT(COUNTIF(Tabla_Gerente[CREDENCIAL], Tabla_Coordinador[CREDENCIAL]) - 1))</f>
        <v>0</v>
      </c>
      <c r="C4" s="17"/>
      <c r="F4" s="18"/>
      <c r="G4" s="18"/>
      <c r="H4" s="17"/>
      <c r="I4" s="31" t="s">
        <v>48</v>
      </c>
      <c r="J4" s="72">
        <v>0</v>
      </c>
      <c r="K4" s="19"/>
      <c r="M4" s="96"/>
      <c r="N4" s="96"/>
    </row>
    <row r="5" spans="1:14" ht="17" thickBot="1" x14ac:dyDescent="0.25">
      <c r="A5" s="43" t="s">
        <v>32</v>
      </c>
      <c r="B5" s="46">
        <f>WEEKNUM(B3)</f>
        <v>0</v>
      </c>
      <c r="C5" s="17"/>
      <c r="E5" s="18"/>
      <c r="F5" s="18"/>
      <c r="G5" s="18"/>
      <c r="H5" s="17"/>
      <c r="J5" s="23"/>
      <c r="K5" s="23"/>
    </row>
    <row r="6" spans="1:14" ht="17" thickBot="1" x14ac:dyDescent="0.25">
      <c r="A6" s="43" t="s">
        <v>27</v>
      </c>
      <c r="B6" s="103"/>
      <c r="C6" s="17"/>
      <c r="E6" s="18"/>
      <c r="F6" s="18"/>
      <c r="G6" s="18"/>
      <c r="H6" s="17"/>
      <c r="J6" s="23"/>
      <c r="K6" s="23"/>
    </row>
    <row r="8" spans="1:14" x14ac:dyDescent="0.2">
      <c r="A8" s="112" t="s">
        <v>7</v>
      </c>
      <c r="B8" s="112" t="s">
        <v>18</v>
      </c>
      <c r="C8" s="112" t="s">
        <v>110</v>
      </c>
      <c r="D8" s="113" t="s">
        <v>34</v>
      </c>
      <c r="E8" s="112" t="s">
        <v>33</v>
      </c>
      <c r="F8" s="112" t="s">
        <v>64</v>
      </c>
      <c r="G8" s="112" t="s">
        <v>20</v>
      </c>
      <c r="H8" s="113" t="s">
        <v>1</v>
      </c>
      <c r="I8" s="112" t="s">
        <v>65</v>
      </c>
      <c r="J8" s="112" t="s">
        <v>21</v>
      </c>
      <c r="K8" s="112" t="s">
        <v>22</v>
      </c>
    </row>
    <row r="9" spans="1:14" x14ac:dyDescent="0.2">
      <c r="A9" s="17"/>
      <c r="B9" s="18"/>
      <c r="C9" s="18"/>
      <c r="D9" s="50">
        <f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Tabulador_Coordinador[],
        3,
        TRUE
    )
)</f>
        <v>0</v>
      </c>
      <c r="E9" s="18"/>
      <c r="F9" s="18"/>
      <c r="G9" s="42"/>
      <c r="H9" s="67">
        <f>IFERROR(VLOOKUP(Tabla_Coordinador[[#This Row],[CREDENCIAL]], Tabla_Gerente[[CREDENCIAL]:[PAGO]], 7, FALSE), 0)</f>
        <v>0</v>
      </c>
      <c r="I9" s="104"/>
      <c r="J9" s="19"/>
      <c r="K9" s="19"/>
    </row>
    <row r="10" spans="1:14" x14ac:dyDescent="0.2">
      <c r="A10" s="27" t="s">
        <v>50</v>
      </c>
      <c r="B10" s="14"/>
      <c r="C10" s="15"/>
      <c r="D10" s="52">
        <f>SUBTOTAL(109,Tabla_Coordinador[COMISION])</f>
        <v>0</v>
      </c>
      <c r="E10" s="14"/>
      <c r="F10" s="14"/>
      <c r="G10" s="14"/>
      <c r="H10" s="14"/>
      <c r="I10" s="16"/>
      <c r="J10" s="16"/>
      <c r="K10" s="16"/>
    </row>
    <row r="11" spans="1:14" x14ac:dyDescent="0.2">
      <c r="A11" s="27"/>
      <c r="B11" s="14"/>
      <c r="C11" s="15"/>
      <c r="D11" s="52"/>
      <c r="E11" s="14"/>
      <c r="F11" s="14"/>
      <c r="G11" s="14"/>
      <c r="H11" s="53"/>
      <c r="I11" s="16"/>
      <c r="J11" s="16"/>
      <c r="K11" s="16"/>
    </row>
    <row r="12" spans="1:14" x14ac:dyDescent="0.2">
      <c r="A12" s="27" t="s">
        <v>13</v>
      </c>
      <c r="D12" s="26">
        <f>Sueldo_Base_Coordinador</f>
        <v>500</v>
      </c>
      <c r="E12" s="16"/>
      <c r="F12" s="15"/>
      <c r="H12" s="15"/>
      <c r="J12" s="24"/>
    </row>
    <row r="13" spans="1:14" ht="17" thickBot="1" x14ac:dyDescent="0.25">
      <c r="A13" s="37" t="s">
        <v>45</v>
      </c>
      <c r="B13" s="38">
        <f>IF(Total_Registros_Coordinador &gt;= Premios!H5,
    VLOOKUP(Total_Registros_Coordinador, Premios_Coordinador[], 1, TRUE),
    0
)</f>
        <v>0</v>
      </c>
      <c r="C13" s="34"/>
      <c r="D13" s="36">
        <f>IF(Premio_Coordinador &gt; 0, VLOOKUP(Premio_Coordinador, Premios_Coordinador[], 2, FALSE), 0)</f>
        <v>0</v>
      </c>
      <c r="E13" s="16"/>
      <c r="F13" s="15"/>
      <c r="H13" s="15"/>
      <c r="J13" s="24"/>
    </row>
    <row r="14" spans="1:14" x14ac:dyDescent="0.2">
      <c r="A14" s="27" t="s">
        <v>46</v>
      </c>
      <c r="B14" s="18"/>
      <c r="D14" s="28">
        <f>Tabla_Coordinador[[#Totals],[COMISION]] + Pago_Sueldo_Base_Coordinador + Pago_Premio_Coordinador</f>
        <v>500</v>
      </c>
      <c r="E14" s="16"/>
      <c r="F14" s="15"/>
      <c r="H14" s="15"/>
      <c r="J14" s="24"/>
    </row>
    <row r="15" spans="1:14" x14ac:dyDescent="0.2">
      <c r="A15" s="27" t="s">
        <v>195</v>
      </c>
      <c r="B15" s="18"/>
      <c r="C15" s="29"/>
      <c r="D15" s="40">
        <f>_xlfn.IFNA(SUMIFS(Descuentos[DESCUENTO], Descuentos[COLABORADOR], Nombre_Coordinador, Descuentos[PUESTO], Puesto_Coordinador), 0)</f>
        <v>0</v>
      </c>
      <c r="E15" s="16"/>
      <c r="F15" s="15"/>
      <c r="H15" s="15"/>
      <c r="J15" s="22"/>
      <c r="K15" s="22"/>
    </row>
    <row r="16" spans="1:14" ht="17" thickBot="1" x14ac:dyDescent="0.25">
      <c r="A16" s="37" t="s">
        <v>24</v>
      </c>
      <c r="B16" s="34"/>
      <c r="C16" s="34"/>
      <c r="D16" s="48">
        <f>(Pago_Subtotal_Coordinador * 0.05) * -1</f>
        <v>-25</v>
      </c>
      <c r="E16" s="16"/>
      <c r="F16" s="15"/>
      <c r="H16" s="15"/>
    </row>
    <row r="17" spans="1:9" ht="17" thickBot="1" x14ac:dyDescent="0.25">
      <c r="A17" s="42"/>
      <c r="C17" s="29"/>
      <c r="D17" s="28"/>
      <c r="E17" s="16"/>
      <c r="F17" s="15"/>
    </row>
    <row r="18" spans="1:9" ht="17" thickBot="1" x14ac:dyDescent="0.25">
      <c r="A18" s="37" t="s">
        <v>49</v>
      </c>
      <c r="B18" s="34"/>
      <c r="C18" s="49"/>
      <c r="D18" s="30">
        <f>Pago_Subtotal_Coordinador + Descuento_Coordinador + Deduccion_Coordinador</f>
        <v>475</v>
      </c>
      <c r="E18" s="16"/>
      <c r="F18" s="15"/>
    </row>
    <row r="19" spans="1:9" x14ac:dyDescent="0.2">
      <c r="C19" s="29"/>
      <c r="D19" s="28"/>
      <c r="E19" s="26"/>
      <c r="F19" s="26"/>
    </row>
    <row r="20" spans="1:9" x14ac:dyDescent="0.2">
      <c r="C20" s="29"/>
      <c r="D20" s="28"/>
      <c r="E20" s="26"/>
      <c r="F20" s="26"/>
      <c r="I20" s="13"/>
    </row>
    <row r="21" spans="1:9" ht="17" thickBot="1" x14ac:dyDescent="0.25">
      <c r="C21" s="37" t="s">
        <v>25</v>
      </c>
      <c r="D21" s="121" t="str" cm="1">
        <f t="array" ref="D21">NumeroATexto(Pago_Neto_Coordinador)</f>
        <v>CUATROCIENTOS SETENTA Y CINCO PESOS 00/100</v>
      </c>
      <c r="E21" s="121"/>
      <c r="F21" s="121"/>
      <c r="G21" s="121"/>
      <c r="H21" s="121"/>
      <c r="I21" s="121"/>
    </row>
    <row r="22" spans="1:9" x14ac:dyDescent="0.2">
      <c r="C22" s="27"/>
      <c r="D22" s="26"/>
      <c r="E22" s="16"/>
      <c r="F22" s="15"/>
      <c r="I22" s="13"/>
    </row>
    <row r="23" spans="1:9" x14ac:dyDescent="0.2">
      <c r="C23" s="29"/>
      <c r="D23" s="28"/>
      <c r="I23" s="13"/>
    </row>
    <row r="24" spans="1:9" ht="17" thickBot="1" x14ac:dyDescent="0.25">
      <c r="C24" s="33" t="s">
        <v>26</v>
      </c>
      <c r="D24" s="122"/>
      <c r="E24" s="122"/>
      <c r="F24" s="122"/>
      <c r="G24" s="122"/>
      <c r="H24" s="122"/>
      <c r="I24" s="122"/>
    </row>
    <row r="25" spans="1:9" x14ac:dyDescent="0.2">
      <c r="I25" s="13"/>
    </row>
    <row r="26" spans="1:9" x14ac:dyDescent="0.2">
      <c r="I26" s="13"/>
    </row>
    <row r="27" spans="1:9" x14ac:dyDescent="0.2">
      <c r="I27" s="13"/>
    </row>
    <row r="28" spans="1:9" x14ac:dyDescent="0.2">
      <c r="I28" s="13"/>
    </row>
    <row r="29" spans="1:9" x14ac:dyDescent="0.2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163" priority="8" operator="equal">
      <formula>0</formula>
    </cfRule>
    <cfRule type="cellIs" dxfId="162" priority="17" operator="equal">
      <formula>$G9=501</formula>
    </cfRule>
  </conditionalFormatting>
  <conditionalFormatting sqref="G9">
    <cfRule type="cellIs" dxfId="161" priority="2" operator="equal">
      <formula>505</formula>
    </cfRule>
    <cfRule type="cellIs" dxfId="160" priority="6" operator="equal">
      <formula>501</formula>
    </cfRule>
    <cfRule type="containsBlanks" dxfId="159" priority="9">
      <formula>LEN(TRIM(G9))=0</formula>
    </cfRule>
  </conditionalFormatting>
  <conditionalFormatting sqref="B9">
    <cfRule type="duplicateValues" dxfId="158" priority="25"/>
  </conditionalFormatting>
  <conditionalFormatting sqref="A9:K9">
    <cfRule type="expression" dxfId="157" priority="4">
      <formula>$G9 = 503</formula>
    </cfRule>
  </conditionalFormatting>
  <conditionalFormatting sqref="H9">
    <cfRule type="cellIs" dxfId="156" priority="1" stopIfTrue="1" operator="lessThan">
      <formula>299</formula>
    </cfRule>
  </conditionalFormatting>
  <dataValidations count="7">
    <dataValidation type="list" allowBlank="1" showInputMessage="1" showErrorMessage="1" sqref="B1" xr:uid="{E696B7E1-0B38-47F3-B286-84BD83122CB9}">
      <formula1>Nombres_Coordinadores</formula1>
    </dataValidation>
    <dataValidation type="list" allowBlank="1" showInputMessage="1" showErrorMessage="1" sqref="E9" xr:uid="{D2E534D9-C8AB-4C0C-A78D-08BAA8D49E2E}">
      <formula1>Nombres_Planteles</formula1>
    </dataValidation>
    <dataValidation type="custom" allowBlank="1" showInputMessage="1" showErrorMessage="1" sqref="G9" xr:uid="{52BC982C-73BF-49F1-83E3-D19029599E49}">
      <formula1>G9&lt;&gt;500</formula1>
    </dataValidation>
    <dataValidation type="date" allowBlank="1" showInputMessage="1" showErrorMessage="1" sqref="I9" xr:uid="{1CA7AFF2-EBEA-4BE0-BADB-645AB346CABC}">
      <formula1>Periodo_De_Pago_Inicial_Gerente</formula1>
      <formula2>Periodo_De_Pago_Final_Gerente</formula2>
    </dataValidation>
    <dataValidation showInputMessage="1" showErrorMessage="1" sqref="A9" xr:uid="{FE1C4E0D-2F6C-482C-9073-AD83A343D7D3}"/>
    <dataValidation type="list" allowBlank="1" showInputMessage="1" showErrorMessage="1" sqref="B2:D2" xr:uid="{049684D4-0C7F-461E-B85E-1D148FAABBAD}">
      <formula1>Razones_Sociales</formula1>
    </dataValidation>
    <dataValidation type="list" allowBlank="1" showInputMessage="1" showErrorMessage="1" sqref="F9" xr:uid="{4DA2B57B-808D-5A47-A3F4-77E8618FFDA1}">
      <formula1>Cursos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4" name="Button 8">
              <controlPr defaultSize="0" print="0" autoFill="0" autoPict="0" macro="[0]!SumPagoNetoCoordinacion">
                <anchor moveWithCells="1">
                  <from>
                    <xdr:col>12</xdr:col>
                    <xdr:colOff>152400</xdr:colOff>
                    <xdr:row>0</xdr:row>
                    <xdr:rowOff>63500</xdr:rowOff>
                  </from>
                  <to>
                    <xdr:col>13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1" id="{A96C4622-7921-4E82-92DE-710E97186F01}">
            <xm:f>COUNTIF('FERNANDO VILLALVAZO'!#REF!,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8451E6-0AF1-470E-84DE-BA92C470A910}">
          <x14:formula1>
            <xm:f>Planteles!$A$4:$A$15</xm:f>
          </x14:formula1>
          <xm:sqref>J9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33B3-8F13-4F5B-86F6-CF48FAC147A0}">
  <sheetPr codeName="Sheet7">
    <tabColor rgb="FF00B050"/>
    <pageSetUpPr fitToPage="1"/>
  </sheetPr>
  <dimension ref="A1:K23"/>
  <sheetViews>
    <sheetView workbookViewId="0">
      <selection activeCell="K61" sqref="K61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9.164062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2.5" style="13" bestFit="1" customWidth="1"/>
    <col min="8" max="8" width="12" style="13" bestFit="1" customWidth="1"/>
    <col min="9" max="9" width="29.5" style="13" bestFit="1" customWidth="1"/>
    <col min="10" max="10" width="17.6640625" style="13" bestFit="1" customWidth="1"/>
    <col min="11" max="11" width="21" style="13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/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/>
      <c r="C2" s="120"/>
      <c r="D2" s="120"/>
    </row>
    <row r="3" spans="1:11" ht="17" thickBot="1" x14ac:dyDescent="0.25">
      <c r="A3" s="43" t="s">
        <v>29</v>
      </c>
      <c r="B3" s="105"/>
      <c r="C3" s="44" t="s">
        <v>30</v>
      </c>
      <c r="D3" s="103"/>
      <c r="F3" s="20"/>
      <c r="G3" s="21"/>
      <c r="I3" s="14"/>
    </row>
    <row r="4" spans="1:11" ht="17" thickBot="1" x14ac:dyDescent="0.25">
      <c r="A4" s="43" t="s">
        <v>17</v>
      </c>
      <c r="B4" s="47">
        <f>COUNTIFS(Tabla_Promotor[GRUPO],"&lt;&gt;",
Tabla_Promotor[GRUPO],"&lt;&gt;503",
Tabla_Promotor[GRUPO],"&lt;&gt;500",
Tabla_Promotor[PAGO],"&gt;=299")</f>
        <v>0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0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/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7"/>
      <c r="B9" s="18"/>
      <c r="C9" s="18"/>
      <c r="D9" s="50">
        <f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f>
        <v>0</v>
      </c>
      <c r="E9" s="18"/>
      <c r="F9" s="18"/>
      <c r="G9" s="42"/>
      <c r="H9" s="51">
        <f>IFERROR(VLOOKUP(Tabla_Promotor[[#This Row],[CREDENCIAL]], Tabla_Gerente[[CREDENCIAL]:[PAGO]], 7, FALSE), 0)</f>
        <v>0</v>
      </c>
      <c r="I9" s="106"/>
      <c r="J9" s="19"/>
      <c r="K9" s="19"/>
    </row>
    <row r="10" spans="1:11" x14ac:dyDescent="0.2">
      <c r="A10" s="25" t="s">
        <v>50</v>
      </c>
      <c r="B10" s="14"/>
      <c r="C10" s="15"/>
      <c r="D10" s="52">
        <f>SUBTOTAL(109,Tabla_Promotor[COMISION])</f>
        <v>0</v>
      </c>
      <c r="E10" s="14"/>
      <c r="F10" s="14"/>
      <c r="G10" s="27"/>
      <c r="H10" s="53"/>
      <c r="I10" s="14"/>
      <c r="J10" s="16"/>
      <c r="K10" s="16"/>
    </row>
    <row r="11" spans="1:11" x14ac:dyDescent="0.2">
      <c r="A11" s="25"/>
      <c r="B11" s="14"/>
      <c r="C11" s="15"/>
      <c r="D11" s="52"/>
      <c r="E11" s="14"/>
      <c r="F11" s="14"/>
      <c r="G11" s="27"/>
      <c r="H11" s="53"/>
      <c r="I11" s="14"/>
      <c r="J11" s="16"/>
      <c r="K11" s="16"/>
    </row>
    <row r="12" spans="1:11" x14ac:dyDescent="0.2">
      <c r="A12" s="25" t="s">
        <v>13</v>
      </c>
      <c r="D12" s="68">
        <f>_xlfn.IFNA(VLOOKUP(Nombre_Promotor,Sueldos_Base[],2,FALSE),0)</f>
        <v>0</v>
      </c>
      <c r="E12" s="16"/>
      <c r="F12" s="15"/>
      <c r="H12" s="15"/>
      <c r="J12" s="24"/>
    </row>
    <row r="13" spans="1:11" ht="17" thickBot="1" x14ac:dyDescent="0.25">
      <c r="A13" s="37" t="s">
        <v>45</v>
      </c>
      <c r="B13" s="38">
        <f>IF(Total_Registros_Promotor &lt; Premios!A5, 0,
   VLOOKUP(Total_Registros_Promotor, Premios_Promotor[], 1, TRUE))</f>
        <v>0</v>
      </c>
      <c r="C13" s="34"/>
      <c r="D13" s="36">
        <f>IF(Premio_Promotor &gt; 0,
   VLOOKUP(Premio_Promotor, Premios_Promotor[],
      VLOOKUP(Total_Registros_Gerente, Tabulador_Premio_Promotor_Total_Gerencia[], 2, TRUE),
   FALSE),
   0)</f>
        <v>0</v>
      </c>
      <c r="E13" s="16"/>
      <c r="F13" s="15"/>
      <c r="H13" s="15"/>
      <c r="J13" s="24"/>
    </row>
    <row r="14" spans="1:11" x14ac:dyDescent="0.2">
      <c r="A14" s="27" t="s">
        <v>46</v>
      </c>
      <c r="B14" s="18"/>
      <c r="D14" s="28">
        <f>Tabla_Promotor[[#Totals],[COMISION]] + Pago_Sueldo_Base_Promotor + Pago_Premio_Promotor</f>
        <v>0</v>
      </c>
      <c r="E14" s="16"/>
      <c r="F14" s="15"/>
      <c r="H14" s="15"/>
      <c r="J14" s="24"/>
    </row>
    <row r="15" spans="1:11" x14ac:dyDescent="0.2">
      <c r="A15" s="27" t="s">
        <v>195</v>
      </c>
      <c r="B15" s="18"/>
      <c r="C15" s="29"/>
      <c r="D15" s="39">
        <f>_xlfn.IFNA(SUMIFS(Descuentos[DESCUENTO], Descuentos[COLABORADOR], Nombre_Promotor, Descuentos[PUESTO], Puesto_Promotor), 0)</f>
        <v>0</v>
      </c>
      <c r="E15" s="16" t="s">
        <v>121</v>
      </c>
      <c r="F15" s="15"/>
      <c r="H15" s="15"/>
      <c r="I15" s="18"/>
      <c r="J15" s="22"/>
      <c r="K15" s="22"/>
    </row>
    <row r="16" spans="1:11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7" t="s">
        <v>49</v>
      </c>
      <c r="B17" s="34"/>
      <c r="C17" s="49"/>
      <c r="D17" s="30">
        <f>Pago_Subtotal_Promotor + Descuento_Promotor</f>
        <v>0</v>
      </c>
      <c r="E17" s="16"/>
      <c r="F17" s="15"/>
    </row>
    <row r="18" spans="1:9" x14ac:dyDescent="0.2">
      <c r="C18" s="29"/>
      <c r="D18" s="28"/>
      <c r="E18" s="26"/>
      <c r="F18" s="26"/>
    </row>
    <row r="19" spans="1:9" x14ac:dyDescent="0.2">
      <c r="C19" s="29"/>
      <c r="D19" s="28"/>
      <c r="E19" s="26"/>
      <c r="F19" s="26"/>
    </row>
    <row r="20" spans="1:9" ht="17" thickBot="1" x14ac:dyDescent="0.25">
      <c r="C20" s="37" t="s">
        <v>25</v>
      </c>
      <c r="D20" s="121" t="str" cm="1">
        <f t="array" ref="D20">NumeroATexto(Pago_Neto_Promotor)</f>
        <v>CERO PESOS 00/100</v>
      </c>
      <c r="E20" s="121"/>
      <c r="F20" s="121"/>
      <c r="G20" s="121"/>
      <c r="H20" s="121"/>
      <c r="I20" s="121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C23" s="33" t="s">
        <v>26</v>
      </c>
      <c r="D23" s="122"/>
      <c r="E23" s="122"/>
      <c r="F23" s="122"/>
      <c r="G23" s="122"/>
      <c r="H23" s="122"/>
      <c r="I23" s="122"/>
    </row>
  </sheetData>
  <mergeCells count="4">
    <mergeCell ref="B1:D1"/>
    <mergeCell ref="B2:D2"/>
    <mergeCell ref="D20:I20"/>
    <mergeCell ref="D23:I23"/>
  </mergeCells>
  <phoneticPr fontId="7" type="noConversion"/>
  <conditionalFormatting sqref="D9">
    <cfRule type="expression" dxfId="154" priority="3">
      <formula>$G9=501</formula>
    </cfRule>
    <cfRule type="cellIs" dxfId="153" priority="7" operator="equal">
      <formula>0</formula>
    </cfRule>
  </conditionalFormatting>
  <conditionalFormatting sqref="G9">
    <cfRule type="cellIs" dxfId="152" priority="4" operator="equal">
      <formula>503</formula>
    </cfRule>
    <cfRule type="cellIs" dxfId="151" priority="6" operator="equal">
      <formula>501</formula>
    </cfRule>
  </conditionalFormatting>
  <conditionalFormatting sqref="B9">
    <cfRule type="duplicateValues" dxfId="150" priority="27"/>
  </conditionalFormatting>
  <conditionalFormatting sqref="H9">
    <cfRule type="cellIs" dxfId="149" priority="1" operator="lessThan">
      <formula>299</formula>
    </cfRule>
  </conditionalFormatting>
  <dataValidations count="6">
    <dataValidation type="list" allowBlank="1" showInputMessage="1" showErrorMessage="1" sqref="B1" xr:uid="{322A9DA1-A27E-4B8C-A0A9-1D7D9C730628}">
      <formula1>Nombres_Promotores</formula1>
    </dataValidation>
    <dataValidation type="list" allowBlank="1" showInputMessage="1" showErrorMessage="1" sqref="E9" xr:uid="{CE75A24A-1C97-4075-AD01-9E3458A5D2F7}">
      <formula1>Nombres_Planteles</formula1>
    </dataValidation>
    <dataValidation type="custom" allowBlank="1" showInputMessage="1" showErrorMessage="1" sqref="G9" xr:uid="{FE5A613E-D7DA-432E-BB91-992FF7C3F51A}">
      <formula1>G9&lt;&gt;500</formula1>
    </dataValidation>
    <dataValidation type="date" allowBlank="1" showInputMessage="1" showErrorMessage="1" sqref="I9" xr:uid="{B41472E2-F336-4DFB-987A-D57541B2589C}">
      <formula1>Periodo_De_Pago_Inicial_Gerente</formula1>
      <formula2>Periodo_De_Pago_Final_Gerente</formula2>
    </dataValidation>
    <dataValidation type="list" allowBlank="1" showInputMessage="1" showErrorMessage="1" sqref="B2:D2" xr:uid="{97706651-34B6-49BC-B594-2949CA82725D}">
      <formula1>Razones_Sociales</formula1>
    </dataValidation>
    <dataValidation type="list" allowBlank="1" showInputMessage="1" showErrorMessage="1" sqref="F9" xr:uid="{84323033-1B23-A047-9683-019E1F381FAA}">
      <formula1>Cursos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2" id="{686F8BA5-6706-45E7-A1E7-986D6339DEE9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E0698A-06B6-4332-9CB4-35D696D672A5}">
          <x14:formula1>
            <xm:f>Planteles!$A$4:$A$15</xm:f>
          </x14:formula1>
          <xm:sqref>J9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6ABE-343B-4409-BC3A-BF5870DEF2C8}">
  <sheetPr codeName="Sheet1">
    <tabColor rgb="FFFFC000"/>
  </sheetPr>
  <dimension ref="A1:O119"/>
  <sheetViews>
    <sheetView zoomScaleNormal="100" workbookViewId="0">
      <selection activeCell="B16" sqref="B16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5.83203125" style="13" bestFit="1" customWidth="1"/>
    <col min="4" max="4" width="19.5" style="13" bestFit="1" customWidth="1"/>
    <col min="5" max="5" width="19.33203125" style="13" bestFit="1" customWidth="1"/>
    <col min="6" max="6" width="17.33203125" style="13" bestFit="1" customWidth="1"/>
    <col min="7" max="7" width="12.33203125" style="13" bestFit="1" customWidth="1"/>
    <col min="8" max="8" width="11.6640625" style="13" bestFit="1" customWidth="1"/>
    <col min="9" max="9" width="21" style="13" bestFit="1" customWidth="1"/>
    <col min="10" max="10" width="19.83203125" style="13" bestFit="1" customWidth="1"/>
    <col min="11" max="11" width="15.83203125" style="13" bestFit="1" customWidth="1"/>
    <col min="12" max="12" width="19" style="13" bestFit="1" customWidth="1"/>
    <col min="13" max="13" width="2.83203125" style="13" customWidth="1"/>
    <col min="14" max="15" width="12.5" style="13" customWidth="1"/>
    <col min="16" max="16" width="2.83203125" style="13" customWidth="1"/>
    <col min="17" max="23" width="10.6640625" style="13" customWidth="1"/>
    <col min="24" max="16384" width="14.5" style="13"/>
  </cols>
  <sheetData>
    <row r="1" spans="1:15" ht="17" thickBot="1" x14ac:dyDescent="0.25">
      <c r="A1" s="32" t="s">
        <v>28</v>
      </c>
      <c r="B1" s="123" t="s">
        <v>78</v>
      </c>
      <c r="C1" s="123"/>
      <c r="D1" s="123"/>
      <c r="F1" s="43" t="s">
        <v>116</v>
      </c>
      <c r="G1" s="45" t="s">
        <v>117</v>
      </c>
      <c r="I1" s="76" t="s">
        <v>167</v>
      </c>
      <c r="J1" s="78">
        <f>IFERROR(Total_De_La_Gerencia/Total_Registros_Gerente, 0)</f>
        <v>787.50568181818187</v>
      </c>
      <c r="N1" s="94"/>
      <c r="O1" s="94"/>
    </row>
    <row r="2" spans="1:15" ht="17" thickBot="1" x14ac:dyDescent="0.25">
      <c r="A2" s="43" t="s">
        <v>31</v>
      </c>
      <c r="B2" s="124" t="s">
        <v>303</v>
      </c>
      <c r="C2" s="124"/>
      <c r="D2" s="124"/>
      <c r="N2" s="94"/>
      <c r="O2" s="94"/>
    </row>
    <row r="3" spans="1:15" ht="17" thickBot="1" x14ac:dyDescent="0.25">
      <c r="A3" s="43" t="s">
        <v>29</v>
      </c>
      <c r="B3" s="98">
        <f>DATE(2025,1,1) + (Numero_de_semana-1)*7 - WEEKDAY(DATE(2025,1,1),2) + 4</f>
        <v>45743</v>
      </c>
      <c r="C3" s="44" t="s">
        <v>30</v>
      </c>
      <c r="D3" s="100">
        <f>DATE(2025,1,1) + (Numero_de_semana-1)*7 - WEEKDAY(DATE(2025,1,1),2) + 11</f>
        <v>45750</v>
      </c>
      <c r="F3" s="20"/>
      <c r="G3" s="21"/>
      <c r="N3" s="94"/>
      <c r="O3" s="94"/>
    </row>
    <row r="4" spans="1:15" s="21" customFormat="1" ht="18" thickBot="1" x14ac:dyDescent="0.25">
      <c r="A4" s="88" t="s">
        <v>17</v>
      </c>
      <c r="B4" s="86" cm="1">
        <f t="array" ref="B4">COUNTIFS(
    Tabla_Gerente[GRUPO], "&lt;&gt;",
    Tabla_Gerente[GRUPO], "&lt;&gt;503",
    Tabla_Gerente[GRUPO], "&lt;&gt;500",
    Tabla_Gerente[PAGO], "&gt;=299"
)
-
SUM(
    IF(COUNTIF(Tabla_Gerente[CREDENCIAL], Tabla_Gerente[CREDENCIAL]) &gt; 1,
       1 / COUNTIF(Tabla_Gerente[CREDENCIAL], Tabla_Gerente[CREDENCIAL]),
       0
    )
)</f>
        <v>88</v>
      </c>
      <c r="C4" s="89"/>
      <c r="F4" s="90"/>
      <c r="G4" s="90"/>
      <c r="H4" s="89"/>
      <c r="I4" s="91" t="s">
        <v>16</v>
      </c>
      <c r="J4" s="92">
        <v>69300.5</v>
      </c>
      <c r="K4" s="93"/>
      <c r="N4" s="95"/>
      <c r="O4" s="95"/>
    </row>
    <row r="5" spans="1:15" ht="17" thickBot="1" x14ac:dyDescent="0.25">
      <c r="A5" s="43" t="s">
        <v>32</v>
      </c>
      <c r="B5" s="77">
        <v>13</v>
      </c>
      <c r="C5" s="87"/>
      <c r="E5" s="18"/>
      <c r="F5" s="18" t="s">
        <v>121</v>
      </c>
      <c r="G5" s="18"/>
      <c r="H5" s="17"/>
      <c r="K5" s="23"/>
    </row>
    <row r="6" spans="1:15" ht="17" thickBot="1" x14ac:dyDescent="0.25">
      <c r="A6" s="43" t="s">
        <v>27</v>
      </c>
      <c r="B6" s="99">
        <v>45748</v>
      </c>
      <c r="C6" s="17"/>
      <c r="E6" s="18"/>
      <c r="F6" s="18"/>
      <c r="G6" s="18"/>
      <c r="H6" s="17"/>
      <c r="J6" s="23"/>
      <c r="K6" s="23"/>
    </row>
    <row r="7" spans="1:15" x14ac:dyDescent="0.2">
      <c r="E7" s="13" t="s">
        <v>121</v>
      </c>
    </row>
    <row r="8" spans="1:15" x14ac:dyDescent="0.2">
      <c r="A8" s="109" t="s">
        <v>6</v>
      </c>
      <c r="B8" s="110" t="s">
        <v>18</v>
      </c>
      <c r="C8" s="110" t="s">
        <v>110</v>
      </c>
      <c r="D8" s="111" t="s">
        <v>34</v>
      </c>
      <c r="E8" s="110" t="s">
        <v>33</v>
      </c>
      <c r="F8" s="110" t="s">
        <v>64</v>
      </c>
      <c r="G8" s="110" t="s">
        <v>20</v>
      </c>
      <c r="H8" s="111" t="s">
        <v>1</v>
      </c>
      <c r="I8" s="110" t="s">
        <v>65</v>
      </c>
      <c r="J8" s="110" t="s">
        <v>7</v>
      </c>
      <c r="K8" s="110" t="s">
        <v>196</v>
      </c>
      <c r="L8" s="110" t="s">
        <v>197</v>
      </c>
    </row>
    <row r="9" spans="1:15" x14ac:dyDescent="0.2">
      <c r="A9" s="79" t="s">
        <v>76</v>
      </c>
      <c r="B9" s="79">
        <v>134686</v>
      </c>
      <c r="C9" s="79" t="s">
        <v>200</v>
      </c>
      <c r="D9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9" s="79" t="s">
        <v>35</v>
      </c>
      <c r="F9" s="79" t="s">
        <v>311</v>
      </c>
      <c r="G9" s="79">
        <v>501</v>
      </c>
      <c r="H9" s="117">
        <v>300</v>
      </c>
      <c r="I9" s="118">
        <v>45748</v>
      </c>
      <c r="J9" s="79" t="s">
        <v>74</v>
      </c>
      <c r="K9" s="79"/>
      <c r="L9" s="79"/>
    </row>
    <row r="10" spans="1:15" x14ac:dyDescent="0.2">
      <c r="A10" s="79" t="s">
        <v>76</v>
      </c>
      <c r="B10" s="79">
        <v>134687</v>
      </c>
      <c r="C10" s="79" t="s">
        <v>201</v>
      </c>
      <c r="D10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0" s="79" t="s">
        <v>35</v>
      </c>
      <c r="F10" s="79" t="s">
        <v>312</v>
      </c>
      <c r="G10" s="79">
        <v>501</v>
      </c>
      <c r="H10" s="117">
        <v>350</v>
      </c>
      <c r="I10" s="118">
        <v>45749</v>
      </c>
      <c r="J10" s="79" t="s">
        <v>104</v>
      </c>
      <c r="K10" s="79"/>
      <c r="L10" s="79"/>
    </row>
    <row r="11" spans="1:15" x14ac:dyDescent="0.2">
      <c r="A11" s="79" t="s">
        <v>76</v>
      </c>
      <c r="B11" s="79">
        <v>134688</v>
      </c>
      <c r="C11" s="79" t="s">
        <v>202</v>
      </c>
      <c r="D11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1" s="79" t="s">
        <v>35</v>
      </c>
      <c r="F11" s="79" t="s">
        <v>311</v>
      </c>
      <c r="G11" s="79">
        <v>501</v>
      </c>
      <c r="H11" s="117">
        <v>298</v>
      </c>
      <c r="I11" s="118">
        <v>45748</v>
      </c>
      <c r="J11" s="79" t="s">
        <v>104</v>
      </c>
      <c r="K11" s="79"/>
      <c r="L11" s="79"/>
    </row>
    <row r="12" spans="1:15" x14ac:dyDescent="0.2">
      <c r="A12" s="79" t="s">
        <v>76</v>
      </c>
      <c r="B12" s="79">
        <v>134689</v>
      </c>
      <c r="C12" s="79" t="s">
        <v>203</v>
      </c>
      <c r="D12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2" s="79" t="s">
        <v>35</v>
      </c>
      <c r="F12" s="79" t="s">
        <v>313</v>
      </c>
      <c r="G12" s="79">
        <v>1344</v>
      </c>
      <c r="H12" s="117">
        <v>400</v>
      </c>
      <c r="I12" s="118">
        <v>45749</v>
      </c>
      <c r="J12" s="79" t="s">
        <v>104</v>
      </c>
      <c r="K12" s="79"/>
      <c r="L12" s="79"/>
    </row>
    <row r="13" spans="1:15" x14ac:dyDescent="0.2">
      <c r="A13" s="79" t="s">
        <v>76</v>
      </c>
      <c r="B13" s="79">
        <v>134690</v>
      </c>
      <c r="C13" s="79" t="s">
        <v>204</v>
      </c>
      <c r="D13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3" s="79" t="s">
        <v>35</v>
      </c>
      <c r="F13" s="79" t="s">
        <v>314</v>
      </c>
      <c r="G13" s="79">
        <v>1322</v>
      </c>
      <c r="H13" s="117">
        <v>500</v>
      </c>
      <c r="I13" s="118">
        <v>45748</v>
      </c>
      <c r="J13" s="79" t="s">
        <v>104</v>
      </c>
      <c r="K13" s="79"/>
      <c r="L13" s="79"/>
    </row>
    <row r="14" spans="1:15" x14ac:dyDescent="0.2">
      <c r="A14" s="79" t="s">
        <v>76</v>
      </c>
      <c r="B14" s="79">
        <v>134691</v>
      </c>
      <c r="C14" s="79" t="s">
        <v>205</v>
      </c>
      <c r="D14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4" s="79" t="s">
        <v>35</v>
      </c>
      <c r="F14" s="79" t="s">
        <v>315</v>
      </c>
      <c r="G14" s="79">
        <v>503</v>
      </c>
      <c r="H14" s="117">
        <v>299</v>
      </c>
      <c r="I14" s="118">
        <v>45749</v>
      </c>
      <c r="J14" s="79" t="s">
        <v>73</v>
      </c>
      <c r="K14" s="79"/>
      <c r="L14" s="79"/>
    </row>
    <row r="15" spans="1:15" x14ac:dyDescent="0.2">
      <c r="A15" s="79" t="s">
        <v>76</v>
      </c>
      <c r="B15" s="79">
        <v>134692</v>
      </c>
      <c r="C15" s="79" t="s">
        <v>206</v>
      </c>
      <c r="D15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5" s="79" t="s">
        <v>23</v>
      </c>
      <c r="F15" s="79" t="s">
        <v>316</v>
      </c>
      <c r="G15" s="79">
        <v>1343</v>
      </c>
      <c r="H15" s="117">
        <v>300</v>
      </c>
      <c r="I15" s="118">
        <v>45746</v>
      </c>
      <c r="J15" s="79" t="s">
        <v>73</v>
      </c>
      <c r="K15" s="79"/>
      <c r="L15" s="79"/>
    </row>
    <row r="16" spans="1:15" x14ac:dyDescent="0.2">
      <c r="A16" s="79" t="s">
        <v>76</v>
      </c>
      <c r="B16" s="79">
        <v>134693</v>
      </c>
      <c r="C16" s="79" t="s">
        <v>207</v>
      </c>
      <c r="D16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6" s="79" t="s">
        <v>23</v>
      </c>
      <c r="F16" s="79" t="s">
        <v>315</v>
      </c>
      <c r="G16" s="79">
        <v>503</v>
      </c>
      <c r="H16" s="117">
        <v>350</v>
      </c>
      <c r="I16" s="118">
        <v>45749</v>
      </c>
      <c r="J16" s="79" t="s">
        <v>73</v>
      </c>
      <c r="K16" s="79"/>
      <c r="L16" s="79"/>
    </row>
    <row r="17" spans="1:12" x14ac:dyDescent="0.2">
      <c r="A17" s="79" t="s">
        <v>76</v>
      </c>
      <c r="B17" s="79">
        <v>134694</v>
      </c>
      <c r="C17" s="79" t="s">
        <v>208</v>
      </c>
      <c r="D17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7" s="79" t="s">
        <v>23</v>
      </c>
      <c r="F17" s="79" t="s">
        <v>316</v>
      </c>
      <c r="G17" s="79">
        <v>1344</v>
      </c>
      <c r="H17" s="117">
        <v>350</v>
      </c>
      <c r="I17" s="118">
        <v>45746</v>
      </c>
      <c r="J17" s="79" t="s">
        <v>73</v>
      </c>
      <c r="K17" s="79"/>
      <c r="L17" s="79"/>
    </row>
    <row r="18" spans="1:12" x14ac:dyDescent="0.2">
      <c r="A18" s="79" t="s">
        <v>76</v>
      </c>
      <c r="B18" s="79">
        <v>134695</v>
      </c>
      <c r="C18" s="79" t="s">
        <v>209</v>
      </c>
      <c r="D18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8" s="79" t="s">
        <v>23</v>
      </c>
      <c r="F18" s="79" t="s">
        <v>317</v>
      </c>
      <c r="G18" s="79">
        <v>1345</v>
      </c>
      <c r="H18" s="117">
        <v>400</v>
      </c>
      <c r="I18" s="118">
        <v>45749</v>
      </c>
      <c r="J18" s="79" t="s">
        <v>73</v>
      </c>
      <c r="K18" s="79"/>
      <c r="L18" s="79"/>
    </row>
    <row r="19" spans="1:12" x14ac:dyDescent="0.2">
      <c r="A19" s="79" t="s">
        <v>76</v>
      </c>
      <c r="B19" s="79">
        <v>134696</v>
      </c>
      <c r="C19" s="79" t="s">
        <v>210</v>
      </c>
      <c r="D19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9" s="79" t="s">
        <v>23</v>
      </c>
      <c r="F19" s="79" t="s">
        <v>318</v>
      </c>
      <c r="G19" s="79">
        <v>1346</v>
      </c>
      <c r="H19" s="117">
        <v>500</v>
      </c>
      <c r="I19" s="118">
        <v>45746</v>
      </c>
      <c r="J19" s="79" t="s">
        <v>74</v>
      </c>
      <c r="K19" s="79"/>
      <c r="L19" s="79"/>
    </row>
    <row r="20" spans="1:12" x14ac:dyDescent="0.2">
      <c r="A20" s="79" t="s">
        <v>76</v>
      </c>
      <c r="B20" s="79">
        <v>134697</v>
      </c>
      <c r="C20" s="79" t="s">
        <v>211</v>
      </c>
      <c r="D20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20" s="79" t="s">
        <v>23</v>
      </c>
      <c r="F20" s="79" t="s">
        <v>319</v>
      </c>
      <c r="G20" s="79">
        <v>505</v>
      </c>
      <c r="H20" s="117">
        <v>299</v>
      </c>
      <c r="I20" s="118">
        <v>45743</v>
      </c>
      <c r="J20" s="79" t="s">
        <v>74</v>
      </c>
      <c r="K20" s="79"/>
      <c r="L20" s="79"/>
    </row>
    <row r="21" spans="1:12" x14ac:dyDescent="0.2">
      <c r="A21" s="79" t="s">
        <v>76</v>
      </c>
      <c r="B21" s="79">
        <v>134698</v>
      </c>
      <c r="C21" s="79" t="s">
        <v>212</v>
      </c>
      <c r="D21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1" s="79" t="s">
        <v>23</v>
      </c>
      <c r="F21" s="79" t="s">
        <v>318</v>
      </c>
      <c r="G21" s="79">
        <v>1346</v>
      </c>
      <c r="H21" s="117">
        <v>300</v>
      </c>
      <c r="I21" s="118">
        <v>45746</v>
      </c>
      <c r="J21" s="79" t="s">
        <v>74</v>
      </c>
      <c r="K21" s="79"/>
      <c r="L21" s="79"/>
    </row>
    <row r="22" spans="1:12" x14ac:dyDescent="0.2">
      <c r="A22" s="79" t="s">
        <v>76</v>
      </c>
      <c r="B22" s="79">
        <v>134699</v>
      </c>
      <c r="C22" s="79" t="s">
        <v>213</v>
      </c>
      <c r="D22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2" s="79" t="s">
        <v>23</v>
      </c>
      <c r="F22" s="79" t="s">
        <v>322</v>
      </c>
      <c r="G22" s="79">
        <v>1347</v>
      </c>
      <c r="H22" s="117">
        <v>350</v>
      </c>
      <c r="I22" s="118">
        <v>45744</v>
      </c>
      <c r="J22" s="79" t="s">
        <v>74</v>
      </c>
      <c r="K22" s="79"/>
      <c r="L22" s="79"/>
    </row>
    <row r="23" spans="1:12" x14ac:dyDescent="0.2">
      <c r="A23" s="79" t="s">
        <v>76</v>
      </c>
      <c r="B23" s="79">
        <v>134700</v>
      </c>
      <c r="C23" s="79" t="s">
        <v>214</v>
      </c>
      <c r="D23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3" s="79" t="s">
        <v>23</v>
      </c>
      <c r="F23" s="79" t="s">
        <v>311</v>
      </c>
      <c r="G23" s="79">
        <v>1347</v>
      </c>
      <c r="H23" s="117">
        <v>350</v>
      </c>
      <c r="I23" s="118">
        <v>45746</v>
      </c>
      <c r="J23" s="79" t="s">
        <v>74</v>
      </c>
      <c r="K23" s="79"/>
      <c r="L23" s="79"/>
    </row>
    <row r="24" spans="1:12" x14ac:dyDescent="0.2">
      <c r="A24" s="79" t="s">
        <v>76</v>
      </c>
      <c r="B24" s="79">
        <v>134701</v>
      </c>
      <c r="C24" s="79" t="s">
        <v>215</v>
      </c>
      <c r="D24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4" s="79" t="s">
        <v>23</v>
      </c>
      <c r="F24" s="79" t="s">
        <v>312</v>
      </c>
      <c r="G24" s="79">
        <v>1343</v>
      </c>
      <c r="H24" s="117">
        <v>400</v>
      </c>
      <c r="I24" s="118">
        <v>45745</v>
      </c>
      <c r="J24" s="79" t="s">
        <v>105</v>
      </c>
      <c r="K24" s="79"/>
      <c r="L24" s="79"/>
    </row>
    <row r="25" spans="1:12" x14ac:dyDescent="0.2">
      <c r="A25" s="79" t="s">
        <v>76</v>
      </c>
      <c r="B25" s="79">
        <v>134702</v>
      </c>
      <c r="C25" s="79" t="s">
        <v>216</v>
      </c>
      <c r="D25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5" s="79" t="s">
        <v>23</v>
      </c>
      <c r="F25" s="79" t="s">
        <v>311</v>
      </c>
      <c r="G25" s="79">
        <v>1342</v>
      </c>
      <c r="H25" s="117">
        <v>500</v>
      </c>
      <c r="I25" s="118">
        <v>45748</v>
      </c>
      <c r="J25" s="79" t="s">
        <v>105</v>
      </c>
      <c r="K25" s="79"/>
      <c r="L25" s="79"/>
    </row>
    <row r="26" spans="1:12" x14ac:dyDescent="0.2">
      <c r="A26" s="79" t="s">
        <v>76</v>
      </c>
      <c r="B26" s="79">
        <v>134703</v>
      </c>
      <c r="C26" s="79" t="s">
        <v>217</v>
      </c>
      <c r="D26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26" s="79" t="s">
        <v>42</v>
      </c>
      <c r="F26" s="79" t="s">
        <v>313</v>
      </c>
      <c r="G26" s="79">
        <v>1342</v>
      </c>
      <c r="H26" s="117">
        <v>200</v>
      </c>
      <c r="I26" s="118">
        <v>45744</v>
      </c>
      <c r="J26" s="79" t="s">
        <v>105</v>
      </c>
      <c r="K26" s="79"/>
      <c r="L26" s="79"/>
    </row>
    <row r="27" spans="1:12" x14ac:dyDescent="0.2">
      <c r="A27" s="79" t="s">
        <v>76</v>
      </c>
      <c r="B27" s="79">
        <v>134704</v>
      </c>
      <c r="C27" s="79" t="s">
        <v>218</v>
      </c>
      <c r="D27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7" s="79" t="s">
        <v>42</v>
      </c>
      <c r="F27" s="79" t="s">
        <v>314</v>
      </c>
      <c r="G27" s="79">
        <v>1344</v>
      </c>
      <c r="H27" s="117">
        <v>300</v>
      </c>
      <c r="I27" s="118">
        <v>45743</v>
      </c>
      <c r="J27" s="79" t="s">
        <v>105</v>
      </c>
      <c r="K27" s="79"/>
      <c r="L27" s="79"/>
    </row>
    <row r="28" spans="1:12" x14ac:dyDescent="0.2">
      <c r="A28" s="79" t="s">
        <v>76</v>
      </c>
      <c r="B28" s="79">
        <v>134705</v>
      </c>
      <c r="C28" s="79" t="s">
        <v>219</v>
      </c>
      <c r="D28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8" s="79" t="s">
        <v>42</v>
      </c>
      <c r="F28" s="79" t="s">
        <v>315</v>
      </c>
      <c r="G28" s="79">
        <v>1345</v>
      </c>
      <c r="H28" s="117">
        <v>350</v>
      </c>
      <c r="I28" s="118">
        <v>45746</v>
      </c>
      <c r="J28" s="79" t="s">
        <v>105</v>
      </c>
      <c r="K28" s="79"/>
      <c r="L28" s="79"/>
    </row>
    <row r="29" spans="1:12" x14ac:dyDescent="0.2">
      <c r="A29" s="79" t="s">
        <v>76</v>
      </c>
      <c r="B29" s="79">
        <v>134706</v>
      </c>
      <c r="C29" s="79" t="s">
        <v>220</v>
      </c>
      <c r="D29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9" s="79" t="s">
        <v>42</v>
      </c>
      <c r="F29" s="79" t="s">
        <v>311</v>
      </c>
      <c r="G29" s="79">
        <v>1347</v>
      </c>
      <c r="H29" s="117">
        <v>350</v>
      </c>
      <c r="I29" s="118">
        <v>45744</v>
      </c>
      <c r="J29" s="79" t="s">
        <v>66</v>
      </c>
      <c r="K29" s="79"/>
      <c r="L29" s="79"/>
    </row>
    <row r="30" spans="1:12" x14ac:dyDescent="0.2">
      <c r="A30" s="79" t="s">
        <v>76</v>
      </c>
      <c r="B30" s="79">
        <v>134707</v>
      </c>
      <c r="C30" s="79" t="s">
        <v>221</v>
      </c>
      <c r="D30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0" s="79" t="s">
        <v>42</v>
      </c>
      <c r="F30" s="79" t="s">
        <v>312</v>
      </c>
      <c r="G30" s="79">
        <v>1341</v>
      </c>
      <c r="H30" s="117">
        <v>400</v>
      </c>
      <c r="I30" s="118">
        <v>45746</v>
      </c>
      <c r="J30" s="79" t="s">
        <v>66</v>
      </c>
      <c r="K30" s="79"/>
      <c r="L30" s="79"/>
    </row>
    <row r="31" spans="1:12" x14ac:dyDescent="0.2">
      <c r="A31" s="79" t="s">
        <v>76</v>
      </c>
      <c r="B31" s="79">
        <v>134708</v>
      </c>
      <c r="C31" s="79" t="s">
        <v>222</v>
      </c>
      <c r="D31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1" s="79" t="s">
        <v>42</v>
      </c>
      <c r="F31" s="79" t="s">
        <v>311</v>
      </c>
      <c r="G31" s="79">
        <v>1342</v>
      </c>
      <c r="H31" s="117">
        <v>500</v>
      </c>
      <c r="I31" s="118">
        <v>45745</v>
      </c>
      <c r="J31" s="79" t="s">
        <v>66</v>
      </c>
      <c r="K31" s="79"/>
      <c r="L31" s="79"/>
    </row>
    <row r="32" spans="1:12" x14ac:dyDescent="0.2">
      <c r="A32" s="79" t="s">
        <v>76</v>
      </c>
      <c r="B32" s="79">
        <v>134709</v>
      </c>
      <c r="C32" s="79" t="s">
        <v>223</v>
      </c>
      <c r="D32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2" s="79" t="s">
        <v>42</v>
      </c>
      <c r="F32" s="79" t="s">
        <v>312</v>
      </c>
      <c r="G32" s="79">
        <v>1342</v>
      </c>
      <c r="H32" s="117">
        <v>300</v>
      </c>
      <c r="I32" s="118">
        <v>45743</v>
      </c>
      <c r="J32" s="79" t="s">
        <v>66</v>
      </c>
      <c r="K32" s="79"/>
      <c r="L32" s="79"/>
    </row>
    <row r="33" spans="1:12" x14ac:dyDescent="0.2">
      <c r="A33" s="79" t="s">
        <v>76</v>
      </c>
      <c r="B33" s="79">
        <v>134710</v>
      </c>
      <c r="C33" s="79" t="s">
        <v>224</v>
      </c>
      <c r="D33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3" s="79" t="s">
        <v>42</v>
      </c>
      <c r="F33" s="79" t="s">
        <v>315</v>
      </c>
      <c r="G33" s="79">
        <v>1342</v>
      </c>
      <c r="H33" s="117">
        <v>350</v>
      </c>
      <c r="I33" s="118">
        <v>45746</v>
      </c>
      <c r="J33" s="79" t="s">
        <v>66</v>
      </c>
      <c r="K33" s="79"/>
      <c r="L33" s="79"/>
    </row>
    <row r="34" spans="1:12" x14ac:dyDescent="0.2">
      <c r="A34" s="79" t="s">
        <v>76</v>
      </c>
      <c r="B34" s="79">
        <v>134711</v>
      </c>
      <c r="C34" s="79" t="s">
        <v>225</v>
      </c>
      <c r="D34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4" s="79" t="s">
        <v>42</v>
      </c>
      <c r="F34" s="79" t="s">
        <v>316</v>
      </c>
      <c r="G34" s="79">
        <v>1342</v>
      </c>
      <c r="H34" s="117">
        <v>350</v>
      </c>
      <c r="I34" s="118">
        <v>45744</v>
      </c>
      <c r="J34" s="79" t="s">
        <v>75</v>
      </c>
      <c r="K34" s="79"/>
      <c r="L34" s="79"/>
    </row>
    <row r="35" spans="1:12" x14ac:dyDescent="0.2">
      <c r="A35" s="79" t="s">
        <v>76</v>
      </c>
      <c r="B35" s="79">
        <v>134712</v>
      </c>
      <c r="C35" s="79" t="s">
        <v>226</v>
      </c>
      <c r="D35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5" s="79" t="s">
        <v>42</v>
      </c>
      <c r="F35" s="79" t="s">
        <v>317</v>
      </c>
      <c r="G35" s="79">
        <v>1342</v>
      </c>
      <c r="H35" s="117">
        <v>400</v>
      </c>
      <c r="I35" s="118">
        <v>45746</v>
      </c>
      <c r="J35" s="79" t="s">
        <v>75</v>
      </c>
      <c r="K35" s="79"/>
      <c r="L35" s="79"/>
    </row>
    <row r="36" spans="1:12" x14ac:dyDescent="0.2">
      <c r="A36" s="79" t="s">
        <v>77</v>
      </c>
      <c r="B36" s="79">
        <v>134713</v>
      </c>
      <c r="C36" s="79" t="s">
        <v>227</v>
      </c>
      <c r="D36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6" s="79" t="s">
        <v>42</v>
      </c>
      <c r="F36" s="79" t="s">
        <v>318</v>
      </c>
      <c r="G36" s="79">
        <v>1342</v>
      </c>
      <c r="H36" s="117">
        <v>500</v>
      </c>
      <c r="I36" s="118">
        <v>45745</v>
      </c>
      <c r="J36" s="79" t="s">
        <v>68</v>
      </c>
      <c r="K36" s="79"/>
      <c r="L36" s="79"/>
    </row>
    <row r="37" spans="1:12" x14ac:dyDescent="0.2">
      <c r="A37" s="79" t="s">
        <v>77</v>
      </c>
      <c r="B37" s="79">
        <v>134714</v>
      </c>
      <c r="C37" s="79" t="s">
        <v>228</v>
      </c>
      <c r="D37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7" s="79" t="s">
        <v>41</v>
      </c>
      <c r="F37" s="79" t="s">
        <v>319</v>
      </c>
      <c r="G37" s="79">
        <v>1342</v>
      </c>
      <c r="H37" s="117">
        <v>299</v>
      </c>
      <c r="I37" s="118">
        <v>45748</v>
      </c>
      <c r="J37" s="79" t="s">
        <v>68</v>
      </c>
      <c r="K37" s="79"/>
      <c r="L37" s="79"/>
    </row>
    <row r="38" spans="1:12" x14ac:dyDescent="0.2">
      <c r="A38" s="79" t="s">
        <v>77</v>
      </c>
      <c r="B38" s="79">
        <v>134715</v>
      </c>
      <c r="C38" s="79" t="s">
        <v>229</v>
      </c>
      <c r="D38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8" s="79" t="s">
        <v>41</v>
      </c>
      <c r="F38" s="79" t="s">
        <v>318</v>
      </c>
      <c r="G38" s="79">
        <v>1342</v>
      </c>
      <c r="H38" s="117">
        <v>300</v>
      </c>
      <c r="I38" s="118">
        <v>45744</v>
      </c>
      <c r="J38" s="79" t="s">
        <v>68</v>
      </c>
      <c r="K38" s="79"/>
      <c r="L38" s="79"/>
    </row>
    <row r="39" spans="1:12" x14ac:dyDescent="0.2">
      <c r="A39" s="79" t="s">
        <v>77</v>
      </c>
      <c r="B39" s="79">
        <v>134716</v>
      </c>
      <c r="C39" s="79" t="s">
        <v>230</v>
      </c>
      <c r="D39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9" s="79" t="s">
        <v>41</v>
      </c>
      <c r="F39" s="79" t="s">
        <v>313</v>
      </c>
      <c r="G39" s="79">
        <v>1342</v>
      </c>
      <c r="H39" s="117">
        <v>350</v>
      </c>
      <c r="I39" s="118">
        <v>45748</v>
      </c>
      <c r="J39" s="79" t="s">
        <v>68</v>
      </c>
      <c r="K39" s="79"/>
      <c r="L39" s="79"/>
    </row>
    <row r="40" spans="1:12" x14ac:dyDescent="0.2">
      <c r="A40" s="79" t="s">
        <v>77</v>
      </c>
      <c r="B40" s="79">
        <v>134717</v>
      </c>
      <c r="C40" s="79" t="s">
        <v>231</v>
      </c>
      <c r="D40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0" s="79" t="s">
        <v>41</v>
      </c>
      <c r="F40" s="79" t="s">
        <v>314</v>
      </c>
      <c r="G40" s="79">
        <v>1342</v>
      </c>
      <c r="H40" s="117">
        <v>350</v>
      </c>
      <c r="I40" s="118">
        <v>45746</v>
      </c>
      <c r="J40" s="79" t="s">
        <v>68</v>
      </c>
      <c r="K40" s="79"/>
      <c r="L40" s="79"/>
    </row>
    <row r="41" spans="1:12" x14ac:dyDescent="0.2">
      <c r="A41" s="79" t="s">
        <v>77</v>
      </c>
      <c r="B41" s="79">
        <v>134718</v>
      </c>
      <c r="C41" s="79" t="s">
        <v>232</v>
      </c>
      <c r="D41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1" s="79" t="s">
        <v>41</v>
      </c>
      <c r="F41" s="79" t="s">
        <v>315</v>
      </c>
      <c r="G41" s="79">
        <v>1342</v>
      </c>
      <c r="H41" s="117">
        <v>400</v>
      </c>
      <c r="I41" s="118">
        <v>45744</v>
      </c>
      <c r="J41" s="79" t="s">
        <v>68</v>
      </c>
      <c r="K41" s="79"/>
      <c r="L41" s="79"/>
    </row>
    <row r="42" spans="1:12" x14ac:dyDescent="0.2">
      <c r="A42" s="79" t="s">
        <v>77</v>
      </c>
      <c r="B42" s="79">
        <v>134719</v>
      </c>
      <c r="C42" s="79" t="s">
        <v>233</v>
      </c>
      <c r="D42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2" s="79" t="s">
        <v>41</v>
      </c>
      <c r="F42" s="79" t="s">
        <v>311</v>
      </c>
      <c r="G42" s="79">
        <v>1342</v>
      </c>
      <c r="H42" s="117">
        <v>500</v>
      </c>
      <c r="I42" s="118">
        <v>45748</v>
      </c>
      <c r="J42" s="79" t="s">
        <v>68</v>
      </c>
      <c r="K42" s="79"/>
      <c r="L42" s="79"/>
    </row>
    <row r="43" spans="1:12" x14ac:dyDescent="0.2">
      <c r="A43" s="79" t="s">
        <v>77</v>
      </c>
      <c r="B43" s="79">
        <v>134720</v>
      </c>
      <c r="C43" s="79" t="s">
        <v>234</v>
      </c>
      <c r="D43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3" s="79" t="s">
        <v>43</v>
      </c>
      <c r="F43" s="79" t="s">
        <v>312</v>
      </c>
      <c r="G43" s="79">
        <v>1342</v>
      </c>
      <c r="H43" s="117">
        <v>400</v>
      </c>
      <c r="I43" s="118">
        <v>45749</v>
      </c>
      <c r="J43" s="79" t="s">
        <v>68</v>
      </c>
      <c r="K43" s="79"/>
      <c r="L43" s="79"/>
    </row>
    <row r="44" spans="1:12" x14ac:dyDescent="0.2">
      <c r="A44" s="79" t="s">
        <v>77</v>
      </c>
      <c r="B44" s="79">
        <v>134721</v>
      </c>
      <c r="C44" s="79" t="s">
        <v>235</v>
      </c>
      <c r="D44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4" s="79" t="s">
        <v>43</v>
      </c>
      <c r="F44" s="79" t="s">
        <v>311</v>
      </c>
      <c r="G44" s="79">
        <v>1342</v>
      </c>
      <c r="H44" s="117">
        <v>500</v>
      </c>
      <c r="I44" s="118">
        <v>45748</v>
      </c>
      <c r="J44" s="79" t="s">
        <v>68</v>
      </c>
      <c r="K44" s="79"/>
      <c r="L44" s="79"/>
    </row>
    <row r="45" spans="1:12" x14ac:dyDescent="0.2">
      <c r="A45" s="79" t="s">
        <v>77</v>
      </c>
      <c r="B45" s="79">
        <v>134722</v>
      </c>
      <c r="C45" s="79" t="s">
        <v>236</v>
      </c>
      <c r="D45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45" s="79" t="s">
        <v>43</v>
      </c>
      <c r="F45" s="79" t="s">
        <v>313</v>
      </c>
      <c r="G45" s="79">
        <v>1342</v>
      </c>
      <c r="H45" s="117">
        <v>200</v>
      </c>
      <c r="I45" s="118">
        <v>45749</v>
      </c>
      <c r="J45" s="79" t="s">
        <v>108</v>
      </c>
      <c r="K45" s="79"/>
      <c r="L45" s="79"/>
    </row>
    <row r="46" spans="1:12" x14ac:dyDescent="0.2">
      <c r="A46" s="79" t="s">
        <v>77</v>
      </c>
      <c r="B46" s="79">
        <v>134723</v>
      </c>
      <c r="C46" s="79" t="s">
        <v>237</v>
      </c>
      <c r="D46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6" s="79" t="s">
        <v>43</v>
      </c>
      <c r="F46" s="79" t="s">
        <v>311</v>
      </c>
      <c r="G46" s="79">
        <v>1342</v>
      </c>
      <c r="H46" s="117">
        <v>300</v>
      </c>
      <c r="I46" s="118">
        <v>45748</v>
      </c>
      <c r="J46" s="79" t="s">
        <v>108</v>
      </c>
      <c r="K46" s="79"/>
      <c r="L46" s="79"/>
    </row>
    <row r="47" spans="1:12" x14ac:dyDescent="0.2">
      <c r="A47" s="79" t="s">
        <v>77</v>
      </c>
      <c r="B47" s="79">
        <v>134724</v>
      </c>
      <c r="C47" s="79" t="s">
        <v>238</v>
      </c>
      <c r="D47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7" s="79" t="s">
        <v>43</v>
      </c>
      <c r="F47" s="79" t="s">
        <v>312</v>
      </c>
      <c r="G47" s="79">
        <v>1342</v>
      </c>
      <c r="H47" s="117">
        <v>350</v>
      </c>
      <c r="I47" s="118">
        <v>45749</v>
      </c>
      <c r="J47" s="79" t="s">
        <v>108</v>
      </c>
      <c r="K47" s="79"/>
      <c r="L47" s="79"/>
    </row>
    <row r="48" spans="1:12" x14ac:dyDescent="0.2">
      <c r="A48" s="79" t="s">
        <v>77</v>
      </c>
      <c r="B48" s="79">
        <v>134725</v>
      </c>
      <c r="C48" s="79" t="s">
        <v>239</v>
      </c>
      <c r="D48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48" s="79" t="s">
        <v>43</v>
      </c>
      <c r="F48" s="79" t="s">
        <v>311</v>
      </c>
      <c r="G48" s="79">
        <v>503</v>
      </c>
      <c r="H48" s="117">
        <v>350</v>
      </c>
      <c r="I48" s="118">
        <v>45746</v>
      </c>
      <c r="J48" s="79" t="s">
        <v>108</v>
      </c>
      <c r="K48" s="79"/>
      <c r="L48" s="79"/>
    </row>
    <row r="49" spans="1:12" x14ac:dyDescent="0.2">
      <c r="A49" s="79" t="s">
        <v>77</v>
      </c>
      <c r="B49" s="79">
        <v>134726</v>
      </c>
      <c r="C49" s="79" t="s">
        <v>240</v>
      </c>
      <c r="D49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9" s="79" t="s">
        <v>43</v>
      </c>
      <c r="F49" s="79" t="s">
        <v>313</v>
      </c>
      <c r="G49" s="79">
        <v>1342</v>
      </c>
      <c r="H49" s="117">
        <v>400</v>
      </c>
      <c r="I49" s="118">
        <v>45749</v>
      </c>
      <c r="J49" s="79" t="s">
        <v>108</v>
      </c>
      <c r="K49" s="79"/>
      <c r="L49" s="79"/>
    </row>
    <row r="50" spans="1:12" x14ac:dyDescent="0.2">
      <c r="A50" s="79" t="s">
        <v>77</v>
      </c>
      <c r="B50" s="79">
        <v>134727</v>
      </c>
      <c r="C50" s="79" t="s">
        <v>241</v>
      </c>
      <c r="D50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0" s="79" t="s">
        <v>43</v>
      </c>
      <c r="F50" s="79" t="s">
        <v>314</v>
      </c>
      <c r="G50" s="79">
        <v>1342</v>
      </c>
      <c r="H50" s="117">
        <v>500</v>
      </c>
      <c r="I50" s="118">
        <v>45746</v>
      </c>
      <c r="J50" s="79" t="s">
        <v>108</v>
      </c>
      <c r="K50" s="79"/>
      <c r="L50" s="79"/>
    </row>
    <row r="51" spans="1:12" x14ac:dyDescent="0.2">
      <c r="A51" s="79" t="s">
        <v>77</v>
      </c>
      <c r="B51" s="79">
        <v>134728</v>
      </c>
      <c r="C51" s="79" t="s">
        <v>242</v>
      </c>
      <c r="D51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1" s="79" t="s">
        <v>44</v>
      </c>
      <c r="F51" s="79" t="s">
        <v>315</v>
      </c>
      <c r="G51" s="79">
        <v>1342</v>
      </c>
      <c r="H51" s="117">
        <v>299</v>
      </c>
      <c r="I51" s="118">
        <v>45746</v>
      </c>
      <c r="J51" s="79" t="s">
        <v>108</v>
      </c>
      <c r="K51" s="79"/>
      <c r="L51" s="79"/>
    </row>
    <row r="52" spans="1:12" x14ac:dyDescent="0.2">
      <c r="A52" s="79" t="s">
        <v>77</v>
      </c>
      <c r="B52" s="79">
        <v>134729</v>
      </c>
      <c r="C52" s="79" t="s">
        <v>243</v>
      </c>
      <c r="D52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52" s="79" t="s">
        <v>44</v>
      </c>
      <c r="F52" s="79" t="s">
        <v>311</v>
      </c>
      <c r="G52" s="79">
        <v>501</v>
      </c>
      <c r="H52" s="117">
        <v>300</v>
      </c>
      <c r="I52" s="118">
        <v>45749</v>
      </c>
      <c r="J52" s="79" t="s">
        <v>108</v>
      </c>
      <c r="K52" s="79"/>
      <c r="L52" s="79"/>
    </row>
    <row r="53" spans="1:12" x14ac:dyDescent="0.2">
      <c r="A53" s="79" t="s">
        <v>77</v>
      </c>
      <c r="B53" s="79">
        <v>134730</v>
      </c>
      <c r="C53" s="79" t="s">
        <v>244</v>
      </c>
      <c r="D53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3" s="79" t="s">
        <v>44</v>
      </c>
      <c r="F53" s="79" t="s">
        <v>312</v>
      </c>
      <c r="G53" s="79">
        <v>1342</v>
      </c>
      <c r="H53" s="117">
        <v>350</v>
      </c>
      <c r="I53" s="118">
        <v>45746</v>
      </c>
      <c r="J53" s="79" t="s">
        <v>108</v>
      </c>
      <c r="K53" s="79"/>
      <c r="L53" s="79"/>
    </row>
    <row r="54" spans="1:12" x14ac:dyDescent="0.2">
      <c r="A54" s="79" t="s">
        <v>77</v>
      </c>
      <c r="B54" s="79">
        <v>134731</v>
      </c>
      <c r="C54" s="79" t="s">
        <v>245</v>
      </c>
      <c r="D54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4" s="79" t="s">
        <v>44</v>
      </c>
      <c r="F54" s="79" t="s">
        <v>311</v>
      </c>
      <c r="G54" s="79">
        <v>1342</v>
      </c>
      <c r="H54" s="117">
        <v>350</v>
      </c>
      <c r="I54" s="118">
        <v>45749</v>
      </c>
      <c r="J54" s="79" t="s">
        <v>108</v>
      </c>
      <c r="K54" s="79"/>
      <c r="L54" s="79"/>
    </row>
    <row r="55" spans="1:12" x14ac:dyDescent="0.2">
      <c r="A55" s="79" t="s">
        <v>77</v>
      </c>
      <c r="B55" s="79">
        <v>134732</v>
      </c>
      <c r="C55" s="79" t="s">
        <v>246</v>
      </c>
      <c r="D55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5" s="79" t="s">
        <v>44</v>
      </c>
      <c r="F55" s="79" t="s">
        <v>313</v>
      </c>
      <c r="G55" s="79">
        <v>1342</v>
      </c>
      <c r="H55" s="117">
        <v>400</v>
      </c>
      <c r="I55" s="118">
        <v>45746</v>
      </c>
      <c r="J55" s="79" t="s">
        <v>186</v>
      </c>
      <c r="K55" s="79"/>
      <c r="L55" s="79"/>
    </row>
    <row r="56" spans="1:12" x14ac:dyDescent="0.2">
      <c r="A56" s="79" t="s">
        <v>77</v>
      </c>
      <c r="B56" s="79">
        <v>134733</v>
      </c>
      <c r="C56" s="79" t="s">
        <v>247</v>
      </c>
      <c r="D56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6" s="79" t="s">
        <v>44</v>
      </c>
      <c r="F56" s="79" t="s">
        <v>314</v>
      </c>
      <c r="G56" s="79">
        <v>1342</v>
      </c>
      <c r="H56" s="117">
        <v>500</v>
      </c>
      <c r="I56" s="118">
        <v>45743</v>
      </c>
      <c r="J56" s="79" t="s">
        <v>186</v>
      </c>
      <c r="K56" s="79"/>
      <c r="L56" s="79"/>
    </row>
    <row r="57" spans="1:12" x14ac:dyDescent="0.2">
      <c r="A57" s="79" t="s">
        <v>77</v>
      </c>
      <c r="B57" s="79">
        <v>134734</v>
      </c>
      <c r="C57" s="79" t="s">
        <v>250</v>
      </c>
      <c r="D57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7" s="79" t="s">
        <v>44</v>
      </c>
      <c r="F57" s="79" t="s">
        <v>311</v>
      </c>
      <c r="G57" s="79">
        <v>1342</v>
      </c>
      <c r="H57" s="117">
        <v>299</v>
      </c>
      <c r="I57" s="118">
        <v>45746</v>
      </c>
      <c r="J57" s="79" t="s">
        <v>186</v>
      </c>
      <c r="K57" s="79"/>
      <c r="L57" s="79"/>
    </row>
    <row r="58" spans="1:12" x14ac:dyDescent="0.2">
      <c r="A58" s="79" t="s">
        <v>77</v>
      </c>
      <c r="B58" s="79">
        <v>134735</v>
      </c>
      <c r="C58" s="79" t="s">
        <v>251</v>
      </c>
      <c r="D58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8" s="79" t="s">
        <v>44</v>
      </c>
      <c r="F58" s="79" t="s">
        <v>312</v>
      </c>
      <c r="G58" s="79">
        <v>1342</v>
      </c>
      <c r="H58" s="117">
        <v>300</v>
      </c>
      <c r="I58" s="118">
        <v>45744</v>
      </c>
      <c r="J58" s="79" t="s">
        <v>186</v>
      </c>
      <c r="K58" s="79"/>
      <c r="L58" s="79"/>
    </row>
    <row r="59" spans="1:12" x14ac:dyDescent="0.2">
      <c r="A59" s="79" t="s">
        <v>77</v>
      </c>
      <c r="B59" s="79">
        <v>134736</v>
      </c>
      <c r="C59" s="79" t="s">
        <v>252</v>
      </c>
      <c r="D59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9" s="79" t="s">
        <v>44</v>
      </c>
      <c r="F59" s="79" t="s">
        <v>311</v>
      </c>
      <c r="G59" s="79">
        <v>1342</v>
      </c>
      <c r="H59" s="117">
        <v>350</v>
      </c>
      <c r="I59" s="118">
        <v>45746</v>
      </c>
      <c r="J59" s="79" t="s">
        <v>186</v>
      </c>
      <c r="K59" s="79"/>
      <c r="L59" s="79"/>
    </row>
    <row r="60" spans="1:12" x14ac:dyDescent="0.2">
      <c r="A60" s="79" t="s">
        <v>77</v>
      </c>
      <c r="B60" s="79">
        <v>134737</v>
      </c>
      <c r="C60" s="79" t="s">
        <v>253</v>
      </c>
      <c r="D60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0" s="79" t="s">
        <v>36</v>
      </c>
      <c r="F60" s="79" t="s">
        <v>313</v>
      </c>
      <c r="G60" s="79">
        <v>1342</v>
      </c>
      <c r="H60" s="117">
        <v>299</v>
      </c>
      <c r="I60" s="118">
        <v>45745</v>
      </c>
      <c r="J60" s="79" t="s">
        <v>186</v>
      </c>
      <c r="K60" s="79"/>
      <c r="L60" s="79"/>
    </row>
    <row r="61" spans="1:12" x14ac:dyDescent="0.2">
      <c r="A61" s="79" t="s">
        <v>77</v>
      </c>
      <c r="B61" s="79">
        <v>134738</v>
      </c>
      <c r="C61" s="79" t="s">
        <v>254</v>
      </c>
      <c r="D61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1" s="79" t="s">
        <v>36</v>
      </c>
      <c r="F61" s="79" t="s">
        <v>314</v>
      </c>
      <c r="G61" s="79">
        <v>1342</v>
      </c>
      <c r="H61" s="117">
        <v>300</v>
      </c>
      <c r="I61" s="118">
        <v>45748</v>
      </c>
      <c r="J61" s="79" t="s">
        <v>186</v>
      </c>
      <c r="K61" s="79"/>
      <c r="L61" s="79"/>
    </row>
    <row r="62" spans="1:12" x14ac:dyDescent="0.2">
      <c r="A62" s="79" t="s">
        <v>77</v>
      </c>
      <c r="B62" s="79">
        <v>134739</v>
      </c>
      <c r="C62" s="79" t="s">
        <v>255</v>
      </c>
      <c r="D62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62" s="79" t="s">
        <v>36</v>
      </c>
      <c r="F62" s="79" t="s">
        <v>315</v>
      </c>
      <c r="G62" s="79">
        <v>501</v>
      </c>
      <c r="H62" s="117">
        <v>350</v>
      </c>
      <c r="I62" s="118">
        <v>45744</v>
      </c>
      <c r="J62" s="79" t="s">
        <v>186</v>
      </c>
      <c r="K62" s="79"/>
      <c r="L62" s="79"/>
    </row>
    <row r="63" spans="1:12" x14ac:dyDescent="0.2">
      <c r="A63" s="79" t="s">
        <v>77</v>
      </c>
      <c r="B63" s="79">
        <v>134740</v>
      </c>
      <c r="C63" s="79" t="s">
        <v>256</v>
      </c>
      <c r="D63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3" s="79" t="s">
        <v>36</v>
      </c>
      <c r="F63" s="79" t="s">
        <v>316</v>
      </c>
      <c r="G63" s="79">
        <v>1342</v>
      </c>
      <c r="H63" s="117">
        <v>350</v>
      </c>
      <c r="I63" s="118">
        <v>45748</v>
      </c>
      <c r="J63" s="79" t="s">
        <v>67</v>
      </c>
      <c r="K63" s="79"/>
      <c r="L63" s="79"/>
    </row>
    <row r="64" spans="1:12" x14ac:dyDescent="0.2">
      <c r="A64" s="79" t="s">
        <v>77</v>
      </c>
      <c r="B64" s="79">
        <v>134741</v>
      </c>
      <c r="C64" s="79" t="s">
        <v>257</v>
      </c>
      <c r="D64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4" s="79" t="s">
        <v>36</v>
      </c>
      <c r="F64" s="79" t="s">
        <v>317</v>
      </c>
      <c r="G64" s="79">
        <v>1342</v>
      </c>
      <c r="H64" s="117">
        <v>400</v>
      </c>
      <c r="I64" s="118">
        <v>45749</v>
      </c>
      <c r="J64" s="79" t="s">
        <v>67</v>
      </c>
      <c r="K64" s="79"/>
      <c r="L64" s="79"/>
    </row>
    <row r="65" spans="1:12" x14ac:dyDescent="0.2">
      <c r="A65" s="79" t="s">
        <v>77</v>
      </c>
      <c r="B65" s="79">
        <v>134742</v>
      </c>
      <c r="C65" s="79" t="s">
        <v>258</v>
      </c>
      <c r="D65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5" s="79" t="s">
        <v>36</v>
      </c>
      <c r="F65" s="79" t="s">
        <v>318</v>
      </c>
      <c r="G65" s="79">
        <v>1342</v>
      </c>
      <c r="H65" s="117">
        <v>500</v>
      </c>
      <c r="I65" s="118">
        <v>45746</v>
      </c>
      <c r="J65" s="79" t="s">
        <v>67</v>
      </c>
      <c r="K65" s="79"/>
      <c r="L65" s="79"/>
    </row>
    <row r="66" spans="1:12" x14ac:dyDescent="0.2">
      <c r="A66" s="79" t="s">
        <v>77</v>
      </c>
      <c r="B66" s="79">
        <v>134743</v>
      </c>
      <c r="C66" s="79" t="s">
        <v>259</v>
      </c>
      <c r="D66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6" s="79" t="s">
        <v>36</v>
      </c>
      <c r="F66" s="79" t="s">
        <v>319</v>
      </c>
      <c r="G66" s="79">
        <v>1342</v>
      </c>
      <c r="H66" s="117">
        <v>299</v>
      </c>
      <c r="I66" s="118">
        <v>45749</v>
      </c>
      <c r="J66" s="79" t="s">
        <v>67</v>
      </c>
      <c r="K66" s="79"/>
      <c r="L66" s="79"/>
    </row>
    <row r="67" spans="1:12" x14ac:dyDescent="0.2">
      <c r="A67" s="79" t="s">
        <v>77</v>
      </c>
      <c r="B67" s="79">
        <v>134744</v>
      </c>
      <c r="C67" s="79" t="s">
        <v>260</v>
      </c>
      <c r="D67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7" s="79" t="s">
        <v>36</v>
      </c>
      <c r="F67" s="79" t="s">
        <v>318</v>
      </c>
      <c r="G67" s="79">
        <v>1342</v>
      </c>
      <c r="H67" s="117">
        <v>300</v>
      </c>
      <c r="I67" s="118">
        <v>45746</v>
      </c>
      <c r="J67" s="79" t="s">
        <v>67</v>
      </c>
      <c r="K67" s="79"/>
      <c r="L67" s="79"/>
    </row>
    <row r="68" spans="1:12" x14ac:dyDescent="0.2">
      <c r="A68" s="79" t="s">
        <v>71</v>
      </c>
      <c r="B68" s="79">
        <v>134745</v>
      </c>
      <c r="C68" s="79" t="s">
        <v>261</v>
      </c>
      <c r="D68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8" s="79" t="s">
        <v>36</v>
      </c>
      <c r="F68" s="79" t="s">
        <v>313</v>
      </c>
      <c r="G68" s="79">
        <v>1342</v>
      </c>
      <c r="H68" s="117">
        <v>350</v>
      </c>
      <c r="I68" s="118">
        <v>45749</v>
      </c>
      <c r="J68" s="79" t="s">
        <v>70</v>
      </c>
      <c r="K68" s="79"/>
      <c r="L68" s="79"/>
    </row>
    <row r="69" spans="1:12" x14ac:dyDescent="0.2">
      <c r="A69" s="79" t="s">
        <v>71</v>
      </c>
      <c r="B69" s="79">
        <v>134746</v>
      </c>
      <c r="C69" s="79" t="s">
        <v>262</v>
      </c>
      <c r="D69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69" s="79" t="s">
        <v>36</v>
      </c>
      <c r="F69" s="79" t="s">
        <v>314</v>
      </c>
      <c r="G69" s="79">
        <v>503</v>
      </c>
      <c r="H69" s="117">
        <v>350</v>
      </c>
      <c r="I69" s="118">
        <v>45746</v>
      </c>
      <c r="J69" s="79" t="s">
        <v>70</v>
      </c>
      <c r="K69" s="79"/>
      <c r="L69" s="79"/>
    </row>
    <row r="70" spans="1:12" x14ac:dyDescent="0.2">
      <c r="A70" s="79" t="s">
        <v>71</v>
      </c>
      <c r="B70" s="79">
        <v>134747</v>
      </c>
      <c r="C70" s="79" t="s">
        <v>263</v>
      </c>
      <c r="D70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70" s="79" t="s">
        <v>36</v>
      </c>
      <c r="F70" s="79" t="s">
        <v>315</v>
      </c>
      <c r="G70" s="79">
        <v>1342</v>
      </c>
      <c r="H70" s="117">
        <v>400</v>
      </c>
      <c r="I70" s="118">
        <v>45743</v>
      </c>
      <c r="J70" s="79" t="s">
        <v>70</v>
      </c>
      <c r="K70" s="79"/>
      <c r="L70" s="79"/>
    </row>
    <row r="71" spans="1:12" x14ac:dyDescent="0.2">
      <c r="A71" s="79" t="s">
        <v>71</v>
      </c>
      <c r="B71" s="79">
        <v>134748</v>
      </c>
      <c r="C71" s="79" t="s">
        <v>264</v>
      </c>
      <c r="D71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71" s="79" t="s">
        <v>36</v>
      </c>
      <c r="F71" s="79" t="s">
        <v>316</v>
      </c>
      <c r="G71" s="79">
        <v>1342</v>
      </c>
      <c r="H71" s="117">
        <v>500</v>
      </c>
      <c r="I71" s="118">
        <v>45746</v>
      </c>
      <c r="J71" s="79" t="s">
        <v>70</v>
      </c>
      <c r="K71" s="79"/>
      <c r="L71" s="79"/>
    </row>
    <row r="72" spans="1:12" x14ac:dyDescent="0.2">
      <c r="A72" s="79" t="s">
        <v>71</v>
      </c>
      <c r="B72" s="79">
        <v>134749</v>
      </c>
      <c r="C72" s="79" t="s">
        <v>265</v>
      </c>
      <c r="D72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72" s="79" t="s">
        <v>36</v>
      </c>
      <c r="F72" s="79" t="s">
        <v>317</v>
      </c>
      <c r="G72" s="79">
        <v>1342</v>
      </c>
      <c r="H72" s="117">
        <v>299</v>
      </c>
      <c r="I72" s="118">
        <v>45744</v>
      </c>
      <c r="J72" s="79" t="s">
        <v>70</v>
      </c>
      <c r="K72" s="79"/>
      <c r="L72" s="79"/>
    </row>
    <row r="73" spans="1:12" x14ac:dyDescent="0.2">
      <c r="A73" s="79" t="s">
        <v>71</v>
      </c>
      <c r="B73" s="79">
        <v>134750</v>
      </c>
      <c r="C73" s="79" t="s">
        <v>266</v>
      </c>
      <c r="D73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73" s="79" t="s">
        <v>37</v>
      </c>
      <c r="F73" s="79" t="s">
        <v>311</v>
      </c>
      <c r="G73" s="79">
        <v>1342</v>
      </c>
      <c r="H73" s="117">
        <v>350</v>
      </c>
      <c r="I73" s="118">
        <v>45745</v>
      </c>
      <c r="J73" s="79" t="s">
        <v>70</v>
      </c>
      <c r="K73" s="79"/>
      <c r="L73" s="79"/>
    </row>
    <row r="74" spans="1:12" x14ac:dyDescent="0.2">
      <c r="A74" s="79" t="s">
        <v>71</v>
      </c>
      <c r="B74" s="79">
        <v>134751</v>
      </c>
      <c r="C74" s="79" t="s">
        <v>267</v>
      </c>
      <c r="D74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74" s="79" t="s">
        <v>37</v>
      </c>
      <c r="F74" s="79" t="s">
        <v>312</v>
      </c>
      <c r="G74" s="79">
        <v>1342</v>
      </c>
      <c r="H74" s="117">
        <v>300</v>
      </c>
      <c r="I74" s="118">
        <v>45743</v>
      </c>
      <c r="J74" s="79" t="s">
        <v>70</v>
      </c>
      <c r="K74" s="79"/>
      <c r="L74" s="79"/>
    </row>
    <row r="75" spans="1:12" x14ac:dyDescent="0.2">
      <c r="A75" s="79" t="s">
        <v>71</v>
      </c>
      <c r="B75" s="79">
        <v>134752</v>
      </c>
      <c r="C75" s="79" t="s">
        <v>268</v>
      </c>
      <c r="D75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75" s="79" t="s">
        <v>37</v>
      </c>
      <c r="F75" s="79" t="s">
        <v>311</v>
      </c>
      <c r="G75" s="79">
        <v>1342</v>
      </c>
      <c r="H75" s="117">
        <v>350</v>
      </c>
      <c r="I75" s="118">
        <v>45746</v>
      </c>
      <c r="J75" s="79" t="s">
        <v>70</v>
      </c>
      <c r="K75" s="79"/>
      <c r="L75" s="79"/>
    </row>
    <row r="76" spans="1:12" x14ac:dyDescent="0.2">
      <c r="A76" s="79" t="s">
        <v>71</v>
      </c>
      <c r="B76" s="79">
        <v>134753</v>
      </c>
      <c r="C76" s="79" t="s">
        <v>269</v>
      </c>
      <c r="D76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76" s="79" t="s">
        <v>37</v>
      </c>
      <c r="F76" s="79" t="s">
        <v>313</v>
      </c>
      <c r="G76" s="79">
        <v>503</v>
      </c>
      <c r="H76" s="117">
        <v>350</v>
      </c>
      <c r="I76" s="118">
        <v>45744</v>
      </c>
      <c r="J76" s="79" t="s">
        <v>70</v>
      </c>
      <c r="K76" s="79"/>
      <c r="L76" s="79"/>
    </row>
    <row r="77" spans="1:12" x14ac:dyDescent="0.2">
      <c r="A77" s="79" t="s">
        <v>71</v>
      </c>
      <c r="B77" s="79">
        <v>134754</v>
      </c>
      <c r="C77" s="79" t="s">
        <v>270</v>
      </c>
      <c r="D77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77" s="79" t="s">
        <v>37</v>
      </c>
      <c r="F77" s="79" t="s">
        <v>314</v>
      </c>
      <c r="G77" s="79">
        <v>1342</v>
      </c>
      <c r="H77" s="117">
        <v>400</v>
      </c>
      <c r="I77" s="118">
        <v>45746</v>
      </c>
      <c r="J77" s="79" t="s">
        <v>70</v>
      </c>
      <c r="K77" s="79"/>
      <c r="L77" s="79"/>
    </row>
    <row r="78" spans="1:12" x14ac:dyDescent="0.2">
      <c r="A78" s="79" t="s">
        <v>71</v>
      </c>
      <c r="B78" s="79">
        <v>134755</v>
      </c>
      <c r="C78" s="79" t="s">
        <v>271</v>
      </c>
      <c r="D78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78" s="79" t="s">
        <v>37</v>
      </c>
      <c r="F78" s="79" t="s">
        <v>315</v>
      </c>
      <c r="G78" s="79">
        <v>1342</v>
      </c>
      <c r="H78" s="117">
        <v>500</v>
      </c>
      <c r="I78" s="118">
        <v>45745</v>
      </c>
      <c r="J78" s="79" t="s">
        <v>72</v>
      </c>
      <c r="K78" s="79"/>
      <c r="L78" s="79"/>
    </row>
    <row r="79" spans="1:12" x14ac:dyDescent="0.2">
      <c r="A79" s="79" t="s">
        <v>71</v>
      </c>
      <c r="B79" s="79">
        <v>134756</v>
      </c>
      <c r="C79" s="79" t="s">
        <v>272</v>
      </c>
      <c r="D79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79" s="79" t="s">
        <v>109</v>
      </c>
      <c r="F79" s="79" t="s">
        <v>316</v>
      </c>
      <c r="G79" s="79">
        <v>1342</v>
      </c>
      <c r="H79" s="117">
        <v>300</v>
      </c>
      <c r="I79" s="118">
        <v>45748</v>
      </c>
      <c r="J79" s="79" t="s">
        <v>72</v>
      </c>
      <c r="K79" s="79"/>
      <c r="L79" s="79"/>
    </row>
    <row r="80" spans="1:12" x14ac:dyDescent="0.2">
      <c r="A80" s="79" t="s">
        <v>71</v>
      </c>
      <c r="B80" s="79">
        <v>134757</v>
      </c>
      <c r="C80" s="79" t="s">
        <v>273</v>
      </c>
      <c r="D80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80" s="79" t="s">
        <v>109</v>
      </c>
      <c r="F80" s="79" t="s">
        <v>317</v>
      </c>
      <c r="G80" s="79">
        <v>1342</v>
      </c>
      <c r="H80" s="117">
        <v>350</v>
      </c>
      <c r="I80" s="118">
        <v>45744</v>
      </c>
      <c r="J80" s="79" t="s">
        <v>72</v>
      </c>
      <c r="K80" s="79"/>
      <c r="L80" s="79"/>
    </row>
    <row r="81" spans="1:12" x14ac:dyDescent="0.2">
      <c r="A81" s="79" t="s">
        <v>71</v>
      </c>
      <c r="B81" s="79">
        <v>134758</v>
      </c>
      <c r="C81" s="79" t="s">
        <v>274</v>
      </c>
      <c r="D81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81" s="79" t="s">
        <v>109</v>
      </c>
      <c r="F81" s="79" t="s">
        <v>318</v>
      </c>
      <c r="G81" s="79">
        <v>1342</v>
      </c>
      <c r="H81" s="117">
        <v>350</v>
      </c>
      <c r="I81" s="118">
        <v>45748</v>
      </c>
      <c r="J81" s="79" t="s">
        <v>72</v>
      </c>
      <c r="K81" s="79"/>
      <c r="L81" s="79"/>
    </row>
    <row r="82" spans="1:12" x14ac:dyDescent="0.2">
      <c r="A82" s="79" t="s">
        <v>71</v>
      </c>
      <c r="B82" s="79">
        <v>134759</v>
      </c>
      <c r="C82" s="79" t="s">
        <v>275</v>
      </c>
      <c r="D82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82" s="79" t="s">
        <v>39</v>
      </c>
      <c r="F82" s="79" t="s">
        <v>319</v>
      </c>
      <c r="G82" s="79">
        <v>1342</v>
      </c>
      <c r="H82" s="117">
        <v>400</v>
      </c>
      <c r="I82" s="118">
        <v>45749</v>
      </c>
      <c r="J82" s="79" t="s">
        <v>72</v>
      </c>
      <c r="K82" s="79"/>
      <c r="L82" s="79"/>
    </row>
    <row r="83" spans="1:12" x14ac:dyDescent="0.2">
      <c r="A83" s="79" t="s">
        <v>71</v>
      </c>
      <c r="B83" s="79">
        <v>134760</v>
      </c>
      <c r="C83" s="79" t="s">
        <v>276</v>
      </c>
      <c r="D83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83" s="79" t="s">
        <v>39</v>
      </c>
      <c r="F83" s="79" t="s">
        <v>318</v>
      </c>
      <c r="G83" s="79">
        <v>1342</v>
      </c>
      <c r="H83" s="117">
        <v>500</v>
      </c>
      <c r="I83" s="118">
        <v>45749</v>
      </c>
      <c r="J83" s="79" t="s">
        <v>72</v>
      </c>
      <c r="K83" s="79"/>
      <c r="L83" s="79"/>
    </row>
    <row r="84" spans="1:12" x14ac:dyDescent="0.2">
      <c r="A84" s="79" t="s">
        <v>71</v>
      </c>
      <c r="B84" s="79">
        <v>134761</v>
      </c>
      <c r="C84" s="79" t="s">
        <v>277</v>
      </c>
      <c r="D84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84" s="79" t="s">
        <v>39</v>
      </c>
      <c r="F84" s="79" t="s">
        <v>320</v>
      </c>
      <c r="G84" s="79">
        <v>1342</v>
      </c>
      <c r="H84" s="117">
        <v>299</v>
      </c>
      <c r="I84" s="118">
        <v>45748</v>
      </c>
      <c r="J84" s="79" t="s">
        <v>72</v>
      </c>
      <c r="K84" s="79"/>
      <c r="L84" s="79"/>
    </row>
    <row r="85" spans="1:12" x14ac:dyDescent="0.2">
      <c r="A85" s="79" t="s">
        <v>71</v>
      </c>
      <c r="B85" s="79">
        <v>134762</v>
      </c>
      <c r="C85" s="79" t="s">
        <v>278</v>
      </c>
      <c r="D85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85" s="79" t="s">
        <v>39</v>
      </c>
      <c r="F85" s="79" t="s">
        <v>321</v>
      </c>
      <c r="G85" s="79">
        <v>1342</v>
      </c>
      <c r="H85" s="117">
        <v>300</v>
      </c>
      <c r="I85" s="118">
        <v>45746</v>
      </c>
      <c r="J85" s="79" t="s">
        <v>106</v>
      </c>
      <c r="K85" s="79"/>
      <c r="L85" s="79"/>
    </row>
    <row r="86" spans="1:12" x14ac:dyDescent="0.2">
      <c r="A86" s="79" t="s">
        <v>71</v>
      </c>
      <c r="B86" s="79">
        <v>134763</v>
      </c>
      <c r="C86" s="79" t="s">
        <v>279</v>
      </c>
      <c r="D86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86" s="79" t="s">
        <v>39</v>
      </c>
      <c r="F86" s="79" t="s">
        <v>315</v>
      </c>
      <c r="G86" s="79">
        <v>1342</v>
      </c>
      <c r="H86" s="117">
        <v>350</v>
      </c>
      <c r="I86" s="118">
        <v>45744</v>
      </c>
      <c r="J86" s="79" t="s">
        <v>106</v>
      </c>
      <c r="K86" s="79"/>
      <c r="L86" s="79"/>
    </row>
    <row r="87" spans="1:12" x14ac:dyDescent="0.2">
      <c r="A87" s="79" t="s">
        <v>71</v>
      </c>
      <c r="B87" s="79">
        <v>134764</v>
      </c>
      <c r="C87" s="79" t="s">
        <v>280</v>
      </c>
      <c r="D87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87" s="79" t="s">
        <v>39</v>
      </c>
      <c r="F87" s="79" t="s">
        <v>316</v>
      </c>
      <c r="G87" s="79">
        <v>1342</v>
      </c>
      <c r="H87" s="117">
        <v>350</v>
      </c>
      <c r="I87" s="118">
        <v>45748</v>
      </c>
      <c r="J87" s="79" t="s">
        <v>106</v>
      </c>
      <c r="K87" s="79"/>
      <c r="L87" s="79"/>
    </row>
    <row r="88" spans="1:12" x14ac:dyDescent="0.2">
      <c r="A88" s="79" t="s">
        <v>71</v>
      </c>
      <c r="B88" s="79">
        <v>134765</v>
      </c>
      <c r="C88" s="79" t="s">
        <v>281</v>
      </c>
      <c r="D88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88" s="79" t="s">
        <v>38</v>
      </c>
      <c r="F88" s="79" t="s">
        <v>317</v>
      </c>
      <c r="G88" s="79">
        <v>501</v>
      </c>
      <c r="H88" s="117">
        <v>400</v>
      </c>
      <c r="I88" s="118">
        <v>45744</v>
      </c>
      <c r="J88" s="79" t="s">
        <v>106</v>
      </c>
      <c r="K88" s="79"/>
      <c r="L88" s="79"/>
    </row>
    <row r="89" spans="1:12" x14ac:dyDescent="0.2">
      <c r="A89" s="79" t="s">
        <v>71</v>
      </c>
      <c r="B89" s="79">
        <v>134766</v>
      </c>
      <c r="C89" s="79" t="s">
        <v>282</v>
      </c>
      <c r="D89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89" s="79" t="s">
        <v>38</v>
      </c>
      <c r="F89" s="79" t="s">
        <v>318</v>
      </c>
      <c r="G89" s="79">
        <v>1342</v>
      </c>
      <c r="H89" s="117">
        <v>500</v>
      </c>
      <c r="I89" s="118">
        <v>45746</v>
      </c>
      <c r="J89" s="79" t="s">
        <v>106</v>
      </c>
      <c r="K89" s="79"/>
      <c r="L89" s="79"/>
    </row>
    <row r="90" spans="1:12" x14ac:dyDescent="0.2">
      <c r="A90" s="79" t="s">
        <v>71</v>
      </c>
      <c r="B90" s="79">
        <v>134767</v>
      </c>
      <c r="C90" s="79" t="s">
        <v>283</v>
      </c>
      <c r="D90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90" s="79" t="s">
        <v>38</v>
      </c>
      <c r="F90" s="79" t="s">
        <v>319</v>
      </c>
      <c r="G90" s="79">
        <v>1342</v>
      </c>
      <c r="H90" s="117">
        <v>299</v>
      </c>
      <c r="I90" s="118">
        <v>45748</v>
      </c>
      <c r="J90" s="79" t="s">
        <v>106</v>
      </c>
      <c r="K90" s="79"/>
      <c r="L90" s="79"/>
    </row>
    <row r="91" spans="1:12" x14ac:dyDescent="0.2">
      <c r="A91" s="79" t="s">
        <v>71</v>
      </c>
      <c r="B91" s="79">
        <v>134768</v>
      </c>
      <c r="C91" s="79" t="s">
        <v>284</v>
      </c>
      <c r="D91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91" s="79" t="s">
        <v>38</v>
      </c>
      <c r="F91" s="79" t="s">
        <v>318</v>
      </c>
      <c r="G91" s="79">
        <v>1342</v>
      </c>
      <c r="H91" s="117">
        <v>300</v>
      </c>
      <c r="I91" s="118">
        <v>45749</v>
      </c>
      <c r="J91" s="79" t="s">
        <v>106</v>
      </c>
      <c r="K91" s="79"/>
      <c r="L91" s="79"/>
    </row>
    <row r="92" spans="1:12" x14ac:dyDescent="0.2">
      <c r="A92" s="79" t="s">
        <v>71</v>
      </c>
      <c r="B92" s="79">
        <v>134769</v>
      </c>
      <c r="C92" s="79" t="s">
        <v>285</v>
      </c>
      <c r="D92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92" s="79" t="s">
        <v>38</v>
      </c>
      <c r="F92" s="79" t="s">
        <v>311</v>
      </c>
      <c r="G92" s="79">
        <v>1342</v>
      </c>
      <c r="H92" s="117">
        <v>350</v>
      </c>
      <c r="I92" s="118">
        <v>45748</v>
      </c>
      <c r="J92" s="79" t="s">
        <v>107</v>
      </c>
      <c r="K92" s="79"/>
      <c r="L92" s="79"/>
    </row>
    <row r="93" spans="1:12" x14ac:dyDescent="0.2">
      <c r="A93" s="79" t="s">
        <v>71</v>
      </c>
      <c r="B93" s="79">
        <v>134770</v>
      </c>
      <c r="C93" s="79" t="s">
        <v>286</v>
      </c>
      <c r="D93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93" s="79" t="s">
        <v>38</v>
      </c>
      <c r="F93" s="79" t="s">
        <v>312</v>
      </c>
      <c r="G93" s="79">
        <v>1342</v>
      </c>
      <c r="H93" s="117">
        <v>350</v>
      </c>
      <c r="I93" s="118">
        <v>45749</v>
      </c>
      <c r="J93" s="79" t="s">
        <v>107</v>
      </c>
      <c r="K93" s="79"/>
      <c r="L93" s="79"/>
    </row>
    <row r="94" spans="1:12" x14ac:dyDescent="0.2">
      <c r="A94" s="79" t="s">
        <v>71</v>
      </c>
      <c r="B94" s="79">
        <v>134771</v>
      </c>
      <c r="C94" s="79" t="s">
        <v>287</v>
      </c>
      <c r="D94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94" s="79" t="s">
        <v>38</v>
      </c>
      <c r="F94" s="79" t="s">
        <v>311</v>
      </c>
      <c r="G94" s="79">
        <v>1342</v>
      </c>
      <c r="H94" s="117">
        <v>400</v>
      </c>
      <c r="I94" s="118">
        <v>45748</v>
      </c>
      <c r="J94" s="79" t="s">
        <v>107</v>
      </c>
      <c r="K94" s="79"/>
      <c r="L94" s="79"/>
    </row>
    <row r="95" spans="1:12" x14ac:dyDescent="0.2">
      <c r="A95" s="79" t="s">
        <v>71</v>
      </c>
      <c r="B95" s="79">
        <v>134772</v>
      </c>
      <c r="C95" s="79" t="s">
        <v>288</v>
      </c>
      <c r="D95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95" s="79" t="s">
        <v>38</v>
      </c>
      <c r="F95" s="79" t="s">
        <v>313</v>
      </c>
      <c r="G95" s="79">
        <v>1342</v>
      </c>
      <c r="H95" s="117">
        <v>500</v>
      </c>
      <c r="I95" s="118">
        <v>45743</v>
      </c>
      <c r="J95" s="79" t="s">
        <v>107</v>
      </c>
      <c r="K95" s="79"/>
      <c r="L95" s="79"/>
    </row>
    <row r="96" spans="1:12" x14ac:dyDescent="0.2">
      <c r="A96" s="79" t="s">
        <v>71</v>
      </c>
      <c r="B96" s="79">
        <v>134773</v>
      </c>
      <c r="C96" s="79" t="s">
        <v>289</v>
      </c>
      <c r="D96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96" s="79" t="s">
        <v>40</v>
      </c>
      <c r="F96" s="79" t="s">
        <v>314</v>
      </c>
      <c r="G96" s="79">
        <v>501</v>
      </c>
      <c r="H96" s="117">
        <v>299</v>
      </c>
      <c r="I96" s="118">
        <v>45746</v>
      </c>
      <c r="J96" s="79" t="s">
        <v>107</v>
      </c>
      <c r="K96" s="79"/>
      <c r="L96" s="79"/>
    </row>
    <row r="97" spans="1:12" x14ac:dyDescent="0.2">
      <c r="A97" s="79" t="s">
        <v>71</v>
      </c>
      <c r="B97" s="79">
        <v>134774</v>
      </c>
      <c r="C97" s="79" t="s">
        <v>290</v>
      </c>
      <c r="D97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97" s="79" t="s">
        <v>40</v>
      </c>
      <c r="F97" s="79" t="s">
        <v>315</v>
      </c>
      <c r="G97" s="79">
        <v>1342</v>
      </c>
      <c r="H97" s="117">
        <v>300</v>
      </c>
      <c r="I97" s="118">
        <v>45744</v>
      </c>
      <c r="J97" s="79" t="s">
        <v>107</v>
      </c>
      <c r="K97" s="79"/>
      <c r="L97" s="79"/>
    </row>
    <row r="98" spans="1:12" x14ac:dyDescent="0.2">
      <c r="A98" s="79" t="s">
        <v>71</v>
      </c>
      <c r="B98" s="79">
        <v>134775</v>
      </c>
      <c r="C98" s="79" t="s">
        <v>291</v>
      </c>
      <c r="D98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98" s="79" t="s">
        <v>40</v>
      </c>
      <c r="F98" s="79" t="s">
        <v>316</v>
      </c>
      <c r="G98" s="79">
        <v>1342</v>
      </c>
      <c r="H98" s="117">
        <v>300</v>
      </c>
      <c r="I98" s="118">
        <v>45743</v>
      </c>
      <c r="J98" s="79" t="s">
        <v>107</v>
      </c>
      <c r="K98" s="79"/>
      <c r="L98" s="79"/>
    </row>
    <row r="99" spans="1:12" x14ac:dyDescent="0.2">
      <c r="A99" s="79" t="s">
        <v>102</v>
      </c>
      <c r="B99" s="79">
        <v>134776</v>
      </c>
      <c r="C99" s="79" t="s">
        <v>292</v>
      </c>
      <c r="D99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99" s="79" t="s">
        <v>40</v>
      </c>
      <c r="F99" s="79" t="s">
        <v>317</v>
      </c>
      <c r="G99" s="79">
        <v>1342</v>
      </c>
      <c r="H99" s="117">
        <v>350</v>
      </c>
      <c r="I99" s="118">
        <v>45743</v>
      </c>
      <c r="J99" s="79" t="s">
        <v>103</v>
      </c>
      <c r="K99" s="79"/>
      <c r="L99" s="79"/>
    </row>
    <row r="100" spans="1:12" x14ac:dyDescent="0.2">
      <c r="A100" s="79" t="s">
        <v>102</v>
      </c>
      <c r="B100" s="79">
        <v>134777</v>
      </c>
      <c r="C100" s="79" t="s">
        <v>293</v>
      </c>
      <c r="D100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00" s="79" t="s">
        <v>44</v>
      </c>
      <c r="F100" s="79" t="s">
        <v>318</v>
      </c>
      <c r="G100" s="79">
        <v>1342</v>
      </c>
      <c r="H100" s="117">
        <v>350</v>
      </c>
      <c r="I100" s="118">
        <v>45746</v>
      </c>
      <c r="J100" s="79" t="s">
        <v>103</v>
      </c>
      <c r="K100" s="79"/>
      <c r="L100" s="79"/>
    </row>
    <row r="101" spans="1:12" x14ac:dyDescent="0.2">
      <c r="A101" s="79" t="s">
        <v>102</v>
      </c>
      <c r="B101" s="79">
        <v>134778</v>
      </c>
      <c r="C101" s="79" t="s">
        <v>294</v>
      </c>
      <c r="D101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01" s="79" t="s">
        <v>41</v>
      </c>
      <c r="F101" s="79" t="s">
        <v>319</v>
      </c>
      <c r="G101" s="79">
        <v>1342</v>
      </c>
      <c r="H101" s="117">
        <v>400</v>
      </c>
      <c r="I101" s="118">
        <v>45744</v>
      </c>
      <c r="J101" s="79" t="s">
        <v>103</v>
      </c>
      <c r="K101" s="79"/>
      <c r="L101" s="79"/>
    </row>
    <row r="102" spans="1:12" x14ac:dyDescent="0.2">
      <c r="A102" s="79" t="s">
        <v>102</v>
      </c>
      <c r="B102" s="79">
        <v>134779</v>
      </c>
      <c r="C102" s="79" t="s">
        <v>295</v>
      </c>
      <c r="D102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02" s="79" t="s">
        <v>40</v>
      </c>
      <c r="F102" s="79" t="s">
        <v>318</v>
      </c>
      <c r="G102" s="79">
        <v>503</v>
      </c>
      <c r="H102" s="117">
        <v>500</v>
      </c>
      <c r="I102" s="118">
        <v>45746</v>
      </c>
      <c r="J102" s="79" t="s">
        <v>103</v>
      </c>
      <c r="K102" s="79"/>
      <c r="L102" s="79"/>
    </row>
    <row r="103" spans="1:12" x14ac:dyDescent="0.2">
      <c r="A103" s="79" t="s">
        <v>102</v>
      </c>
      <c r="B103" s="79">
        <v>134780</v>
      </c>
      <c r="C103" s="79" t="s">
        <v>296</v>
      </c>
      <c r="D103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03" s="79" t="s">
        <v>39</v>
      </c>
      <c r="F103" s="79" t="s">
        <v>320</v>
      </c>
      <c r="G103" s="79">
        <v>505</v>
      </c>
      <c r="H103" s="117">
        <v>299</v>
      </c>
      <c r="I103" s="118">
        <v>45745</v>
      </c>
      <c r="J103" s="79" t="s">
        <v>103</v>
      </c>
      <c r="K103" s="79"/>
      <c r="L103" s="79"/>
    </row>
    <row r="104" spans="1:12" x14ac:dyDescent="0.2">
      <c r="A104" s="79" t="s">
        <v>102</v>
      </c>
      <c r="B104" s="79">
        <v>134781</v>
      </c>
      <c r="C104" s="79" t="s">
        <v>297</v>
      </c>
      <c r="D104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04" s="79" t="s">
        <v>44</v>
      </c>
      <c r="F104" s="79" t="s">
        <v>321</v>
      </c>
      <c r="G104" s="79">
        <v>1342</v>
      </c>
      <c r="H104" s="117">
        <v>300</v>
      </c>
      <c r="I104" s="118">
        <v>45748</v>
      </c>
      <c r="J104" s="79" t="s">
        <v>103</v>
      </c>
      <c r="K104" s="79"/>
      <c r="L104" s="79"/>
    </row>
    <row r="105" spans="1:12" x14ac:dyDescent="0.2">
      <c r="A105" s="79" t="s">
        <v>102</v>
      </c>
      <c r="B105" s="79">
        <v>134782</v>
      </c>
      <c r="C105" s="79" t="s">
        <v>298</v>
      </c>
      <c r="D105" s="138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05" s="79" t="s">
        <v>35</v>
      </c>
      <c r="F105" s="79" t="s">
        <v>322</v>
      </c>
      <c r="G105" s="79">
        <v>1342</v>
      </c>
      <c r="H105" s="117">
        <v>350</v>
      </c>
      <c r="I105" s="118">
        <v>45744</v>
      </c>
      <c r="J105" s="79" t="s">
        <v>103</v>
      </c>
      <c r="K105" s="79"/>
      <c r="L105" s="79"/>
    </row>
    <row r="106" spans="1:12" x14ac:dyDescent="0.2">
      <c r="A106" s="81" t="s">
        <v>50</v>
      </c>
      <c r="B106" s="82"/>
      <c r="C106" s="83"/>
      <c r="D106" s="84">
        <f>SUBTOTAL(109,Tabla_Gerente[COMISION])</f>
        <v>9600</v>
      </c>
      <c r="E106" s="82"/>
      <c r="F106" s="82"/>
      <c r="G106" s="82"/>
      <c r="H106" s="85"/>
      <c r="I106" s="82"/>
      <c r="J106" s="82"/>
      <c r="K106" s="80"/>
      <c r="L106" s="80"/>
    </row>
    <row r="107" spans="1:12" x14ac:dyDescent="0.2">
      <c r="A107" s="25" t="s">
        <v>13</v>
      </c>
      <c r="D107" s="39">
        <f>Sueldo_Base_Gerente</f>
        <v>1000</v>
      </c>
      <c r="E107" s="16"/>
      <c r="F107" s="15"/>
      <c r="H107" s="15"/>
      <c r="J107" s="24"/>
    </row>
    <row r="108" spans="1:12" ht="17" thickBot="1" x14ac:dyDescent="0.25">
      <c r="A108" s="33" t="s">
        <v>45</v>
      </c>
      <c r="B108" s="38">
        <f>IF(Total_Registros_Gerente &gt;= Premios!K5,
    VLOOKUP(Total_Registros_Gerente, Premios_Gerente[], 1, TRUE),
    0
)</f>
        <v>80</v>
      </c>
      <c r="C108" s="34"/>
      <c r="D108" s="73">
        <f>IF(Premio_Gerente &gt; 0, VLOOKUP(Premio_Gerente, Premios_Gerente[], 2, FALSE), 0)</f>
        <v>4200</v>
      </c>
      <c r="E108" s="16"/>
      <c r="F108" s="15"/>
      <c r="H108" s="15"/>
      <c r="J108" s="24" t="s">
        <v>249</v>
      </c>
    </row>
    <row r="109" spans="1:12" x14ac:dyDescent="0.2">
      <c r="A109" s="25" t="s">
        <v>46</v>
      </c>
      <c r="B109" s="18"/>
      <c r="D109" s="40">
        <f>Tabla_Gerente[[#Totals],[COMISION]] + Pago_Sueldo_Base_Gerente + Pago_Premio_Gerente</f>
        <v>14800</v>
      </c>
      <c r="E109" s="16"/>
      <c r="F109" s="15"/>
      <c r="H109" s="15"/>
      <c r="J109" s="24"/>
    </row>
    <row r="110" spans="1:12" x14ac:dyDescent="0.2">
      <c r="A110" s="27" t="s">
        <v>195</v>
      </c>
      <c r="B110" s="18"/>
      <c r="C110" s="29"/>
      <c r="D110" s="39">
        <f>_xlfn.IFNA(SUMIFS(Descuentos[DESCUENTO], Descuentos[COLABORADOR], Nombre_Gerente, Descuentos[PUESTO], Puesto_Gerente), 0)</f>
        <v>0</v>
      </c>
      <c r="E110" s="16"/>
      <c r="F110" s="15"/>
      <c r="H110" s="15"/>
      <c r="I110" s="18"/>
      <c r="K110" s="22"/>
    </row>
    <row r="111" spans="1:12" ht="17" thickBot="1" x14ac:dyDescent="0.25">
      <c r="A111" s="33" t="s">
        <v>24</v>
      </c>
      <c r="B111" s="34"/>
      <c r="C111" s="34"/>
      <c r="D111" s="74">
        <f>(Pago_Subtotal_Gerente * 0.05) * -1</f>
        <v>-740</v>
      </c>
      <c r="E111" s="16"/>
      <c r="F111" s="15"/>
      <c r="H111" s="15"/>
    </row>
    <row r="112" spans="1:12" ht="17" thickBot="1" x14ac:dyDescent="0.25">
      <c r="A112" s="35"/>
      <c r="C112" s="29"/>
      <c r="D112" s="28"/>
      <c r="E112" s="16"/>
      <c r="F112" s="15"/>
    </row>
    <row r="113" spans="1:9" ht="17" thickBot="1" x14ac:dyDescent="0.25">
      <c r="A113" s="33" t="s">
        <v>49</v>
      </c>
      <c r="B113" s="34"/>
      <c r="C113" s="49"/>
      <c r="D113" s="75">
        <f>Pago_Subtotal_Gerente + Descuento_Gerente + Deduccion_Gerente</f>
        <v>14060</v>
      </c>
      <c r="E113" s="16"/>
      <c r="F113" s="15"/>
    </row>
    <row r="114" spans="1:9" x14ac:dyDescent="0.2">
      <c r="A114" s="25"/>
      <c r="C114" s="54"/>
      <c r="D114" s="16"/>
      <c r="E114" s="16"/>
      <c r="F114" s="15"/>
    </row>
    <row r="115" spans="1:9" x14ac:dyDescent="0.2">
      <c r="C115" s="29"/>
      <c r="D115" s="28"/>
      <c r="E115" s="26"/>
      <c r="F115" s="26"/>
    </row>
    <row r="116" spans="1:9" ht="17" thickBot="1" x14ac:dyDescent="0.25">
      <c r="C116" s="37" t="s">
        <v>25</v>
      </c>
      <c r="D116" s="121" t="str" cm="1">
        <f t="array" ref="D116">NumeroATexto(Pago_Neto_Gerente)</f>
        <v>CATORCE MIL SESENTA PESOS 00/100</v>
      </c>
      <c r="E116" s="121"/>
      <c r="F116" s="121"/>
      <c r="G116" s="121"/>
      <c r="H116" s="121"/>
      <c r="I116" s="121"/>
    </row>
    <row r="117" spans="1:9" x14ac:dyDescent="0.2">
      <c r="C117" s="27"/>
      <c r="D117" s="26"/>
      <c r="E117" s="16"/>
      <c r="F117" s="15"/>
    </row>
    <row r="118" spans="1:9" x14ac:dyDescent="0.2">
      <c r="C118" s="29"/>
      <c r="D118" s="28"/>
    </row>
    <row r="119" spans="1:9" ht="17" thickBot="1" x14ac:dyDescent="0.25">
      <c r="C119" s="33" t="s">
        <v>26</v>
      </c>
      <c r="D119" s="122"/>
      <c r="E119" s="122"/>
      <c r="F119" s="122"/>
      <c r="G119" s="122"/>
      <c r="H119" s="122"/>
      <c r="I119" s="122"/>
    </row>
  </sheetData>
  <sheetProtection formatCells="0" formatColumns="0" formatRows="0" insertColumns="0" insertRows="0" insertHyperlinks="0" deleteColumns="0" deleteRows="0" sort="0" autoFilter="0"/>
  <mergeCells count="4">
    <mergeCell ref="B1:D1"/>
    <mergeCell ref="B2:D2"/>
    <mergeCell ref="D116:I116"/>
    <mergeCell ref="D119:I119"/>
  </mergeCells>
  <phoneticPr fontId="7" type="noConversion"/>
  <conditionalFormatting sqref="D9:D105">
    <cfRule type="cellIs" dxfId="147" priority="11" operator="equal">
      <formula>0</formula>
    </cfRule>
  </conditionalFormatting>
  <conditionalFormatting sqref="G9:G105">
    <cfRule type="cellIs" dxfId="146" priority="2" operator="equal">
      <formula>505</formula>
    </cfRule>
    <cfRule type="cellIs" dxfId="145" priority="5" operator="equal">
      <formula>501</formula>
    </cfRule>
    <cfRule type="containsBlanks" dxfId="144" priority="20">
      <formula>LEN(TRIM(G9))=0</formula>
    </cfRule>
  </conditionalFormatting>
  <conditionalFormatting sqref="H9:H105">
    <cfRule type="cellIs" dxfId="143" priority="1" operator="lessThan">
      <formula>299</formula>
    </cfRule>
  </conditionalFormatting>
  <conditionalFormatting sqref="B9:B105">
    <cfRule type="duplicateValues" dxfId="142" priority="3020"/>
  </conditionalFormatting>
  <conditionalFormatting sqref="A9:L105">
    <cfRule type="expression" dxfId="141" priority="3021">
      <formula>$G9 = 503</formula>
    </cfRule>
  </conditionalFormatting>
  <dataValidations count="13">
    <dataValidation type="date" operator="greaterThan" allowBlank="1" showInputMessage="1" showErrorMessage="1" sqref="B6" xr:uid="{3162D6EA-AE1C-41CB-B4D5-123F2C68F242}">
      <formula1>B3</formula1>
    </dataValidation>
    <dataValidation type="list" showInputMessage="1" showErrorMessage="1" sqref="B1:D1" xr:uid="{80C133E6-181F-4CA9-A954-9E81F4E124CF}">
      <formula1>Nombres_Gerentes</formula1>
    </dataValidation>
    <dataValidation type="list" allowBlank="1" showInputMessage="1" showErrorMessage="1" sqref="B2:D2" xr:uid="{634E9AF4-5905-43C7-AE1B-A5868B928126}">
      <formula1>Razones_Sociales</formula1>
    </dataValidation>
    <dataValidation type="list" allowBlank="1" showInputMessage="1" showErrorMessage="1" sqref="J9:J35" xr:uid="{DF18F982-1109-D245-9FD6-91885B1BBB57}">
      <formula1>"BRYAN CAMPOS,DAVID HERNANDEZ,ISAAC GARCIA (P),JORGE RODRIGUEZ,JOSUE SIERRA,MARIANA SANCHEZ,MIRIAM TADEO"</formula1>
    </dataValidation>
    <dataValidation type="list" allowBlank="1" showInputMessage="1" showErrorMessage="1" sqref="J36:J67" xr:uid="{68B7F5D8-9A2D-AD48-BB3B-79B503A00A70}">
      <formula1>"BETZANIA MUÑOZ,DANIELA LOZANO,FERNANDA ORNELAS,JONATHAN MARTINEZ,JOSUE ALVAREZ (P)"</formula1>
    </dataValidation>
    <dataValidation type="list" allowBlank="1" showInputMessage="1" showErrorMessage="1" sqref="J68:J98" xr:uid="{B4389837-1C33-1141-AC7A-15F3E2A260E1}">
      <formula1>"EVELYN VELAZQUEZ,FRIDA RIVERA,MICHELLE APARICIO (P),MINA APARICIO,YADIRA VEGA"</formula1>
    </dataValidation>
    <dataValidation type="list" showInputMessage="1" showErrorMessage="1" sqref="E9:E105" xr:uid="{2077F9E4-A8C1-432D-9C47-2CA7B799A19A}">
      <formula1>Nombres_Planteles</formula1>
    </dataValidation>
    <dataValidation type="custom" allowBlank="1" showInputMessage="1" showErrorMessage="1" sqref="G9:G105" xr:uid="{8FB231F2-0366-4A1F-88BC-7081A2D30338}">
      <formula1>G9&lt;&gt;500</formula1>
    </dataValidation>
    <dataValidation type="list" allowBlank="1" showInputMessage="1" showErrorMessage="1" sqref="J99:J105" xr:uid="{620627C2-A2B8-2142-A11A-95FEC8F29147}">
      <formula1>"JOSE FERNÁNDEZ,YANELY HERNADEZ (P)"</formula1>
    </dataValidation>
    <dataValidation type="list" allowBlank="1" showInputMessage="1" showErrorMessage="1" sqref="F9:F105" xr:uid="{FF4CD4D8-D6D0-5844-BCA0-2EB11EB5155F}">
      <formula1>Cursos</formula1>
    </dataValidation>
    <dataValidation type="list" showInputMessage="1" showErrorMessage="1" sqref="A9:A105" xr:uid="{B11C5B97-822A-4ACE-8B21-BF74863453FD}">
      <formula1>Coordinadores_Activos</formula1>
    </dataValidation>
    <dataValidation type="list" allowBlank="1" showInputMessage="1" showErrorMessage="1" sqref="K9:K105" xr:uid="{B14DE65F-DA6F-1543-8299-1F7AA13B1CCD}">
      <formula1>Nombres_Planteles</formula1>
    </dataValidation>
    <dataValidation type="date" allowBlank="1" showInputMessage="1" showErrorMessage="1" sqref="I9:I105" xr:uid="{98698713-63E3-2E49-812B-6BECC9362895}">
      <formula1>Periodo_de_pago_inicial</formula1>
      <formula2>Periodo_de_pago_final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CoordinatorAndPromotorTabs">
                <anchor moveWithCells="1">
                  <from>
                    <xdr:col>13</xdr:col>
                    <xdr:colOff>152400</xdr:colOff>
                    <xdr:row>0</xdr:row>
                    <xdr:rowOff>63500</xdr:rowOff>
                  </from>
                  <to>
                    <xdr:col>14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3D344-78DA-9849-BE49-F18A74E40ABE}">
  <sheetPr codeName="Sheet12">
    <tabColor rgb="FF0070C0"/>
  </sheetPr>
  <dimension ref="A1:N55"/>
  <sheetViews>
    <sheetView workbookViewId="0">
      <selection activeCell="D39" sqref="D3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5.83203125" style="13" bestFit="1" customWidth="1"/>
    <col min="4" max="4" width="19.5" style="13" bestFit="1" customWidth="1"/>
    <col min="5" max="5" width="18.1640625" style="13" bestFit="1" customWidth="1"/>
    <col min="6" max="6" width="17.33203125" style="13" bestFit="1" customWidth="1"/>
    <col min="7" max="7" width="13.83203125" style="13" bestFit="1" customWidth="1"/>
    <col min="8" max="8" width="11.6640625" style="13" bestFit="1" customWidth="1"/>
    <col min="9" max="9" width="26" style="19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14" width="12.5" style="13" customWidth="1"/>
    <col min="15" max="15" width="3.33203125" style="13" bestFit="1" customWidth="1"/>
    <col min="16" max="22" width="10.6640625" style="13" customWidth="1"/>
    <col min="23" max="16384" width="14.5" style="13"/>
  </cols>
  <sheetData>
    <row r="1" spans="1:14" ht="17" thickBot="1" x14ac:dyDescent="0.25">
      <c r="A1" s="32" t="s">
        <v>28</v>
      </c>
      <c r="B1" s="119" t="s">
        <v>81</v>
      </c>
      <c r="C1" s="119"/>
      <c r="D1" s="119"/>
      <c r="F1" s="43" t="s">
        <v>116</v>
      </c>
      <c r="G1" s="45" t="s">
        <v>6</v>
      </c>
      <c r="I1" s="31" t="s">
        <v>58</v>
      </c>
      <c r="J1" s="34">
        <f>Total_Registros_Gerente</f>
        <v>88</v>
      </c>
      <c r="M1" s="96"/>
      <c r="N1" s="96"/>
    </row>
    <row r="2" spans="1:14" ht="17" thickBot="1" x14ac:dyDescent="0.25">
      <c r="A2" s="43" t="s">
        <v>31</v>
      </c>
      <c r="B2" s="120" t="s">
        <v>303</v>
      </c>
      <c r="C2" s="120"/>
      <c r="D2" s="120"/>
      <c r="M2" s="96"/>
      <c r="N2" s="96"/>
    </row>
    <row r="3" spans="1:14" ht="17" thickBot="1" x14ac:dyDescent="0.25">
      <c r="A3" s="43" t="s">
        <v>29</v>
      </c>
      <c r="B3" s="101">
        <v>45743</v>
      </c>
      <c r="C3" s="44" t="s">
        <v>30</v>
      </c>
      <c r="D3" s="102">
        <v>45750</v>
      </c>
      <c r="F3" s="20"/>
      <c r="G3" s="21"/>
      <c r="I3" s="16"/>
      <c r="M3" s="96"/>
      <c r="N3" s="96"/>
    </row>
    <row r="4" spans="1:14" ht="17" thickBot="1" x14ac:dyDescent="0.25">
      <c r="A4" s="43" t="s">
        <v>17</v>
      </c>
      <c r="B4" s="86" cm="1">
        <f t="array" ref="B4">IF(COUNTA(Tabla_Coordinador_ISAAC_GARCIA[GRUPO]) = 0, 0,
   COUNTIFS(Tabla_Coordinador_ISAAC_GARCIA[GRUPO], "&lt;&gt;",
            Tabla_Coordinador_ISAAC_GARCIA[GRUPO], "&lt;&gt;503",
            Tabla_Coordinador_ISAAC_GARCIA[GRUPO], "&lt;&gt;500",
            Tabla_Coordinador_ISAAC_GARCIA[PAGO], "&gt;=299")
   - SUMPRODUCT(COUNTIF(Tabla_Gerente[CREDENCIAL], Tabla_Coordinador_ISAAC_GARCIA[CREDENCIAL]) - 1))</f>
        <v>23</v>
      </c>
      <c r="C4" s="17"/>
      <c r="F4" s="18"/>
      <c r="G4" s="18"/>
      <c r="H4" s="17"/>
      <c r="I4" s="31" t="s">
        <v>48</v>
      </c>
      <c r="J4" s="72">
        <v>0</v>
      </c>
      <c r="K4" s="19"/>
      <c r="M4" s="96"/>
      <c r="N4" s="96"/>
    </row>
    <row r="5" spans="1:14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J5" s="23"/>
      <c r="K5" s="23"/>
    </row>
    <row r="6" spans="1:14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4" x14ac:dyDescent="0.2">
      <c r="A8" s="112" t="s">
        <v>7</v>
      </c>
      <c r="B8" s="112" t="s">
        <v>18</v>
      </c>
      <c r="C8" s="112" t="s">
        <v>110</v>
      </c>
      <c r="D8" s="113" t="s">
        <v>34</v>
      </c>
      <c r="E8" s="112" t="s">
        <v>33</v>
      </c>
      <c r="F8" s="112" t="s">
        <v>64</v>
      </c>
      <c r="G8" s="112" t="s">
        <v>20</v>
      </c>
      <c r="H8" s="113" t="s">
        <v>1</v>
      </c>
      <c r="I8" s="112" t="s">
        <v>65</v>
      </c>
      <c r="J8" s="112" t="s">
        <v>21</v>
      </c>
      <c r="K8" s="112" t="s">
        <v>22</v>
      </c>
    </row>
    <row r="9" spans="1:14" x14ac:dyDescent="0.2">
      <c r="A9" s="125" t="s">
        <v>104</v>
      </c>
      <c r="B9" s="126">
        <v>134687</v>
      </c>
      <c r="C9" s="126" t="s">
        <v>201</v>
      </c>
      <c r="D9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0</v>
      </c>
      <c r="E9" s="126" t="s">
        <v>35</v>
      </c>
      <c r="F9" s="126" t="s">
        <v>312</v>
      </c>
      <c r="G9" s="128">
        <v>501</v>
      </c>
      <c r="H9" s="129">
        <f>IFERROR(VLOOKUP(Tabla_Coordinador_ISAAC_GARCIA[[#This Row],[CREDENCIAL]], Tabla_Gerente[[CREDENCIAL]:[PAGO]], 7, FALSE), 0)</f>
        <v>350</v>
      </c>
      <c r="I9" s="130">
        <v>45749</v>
      </c>
      <c r="J9" s="131"/>
      <c r="K9" s="131"/>
    </row>
    <row r="10" spans="1:14" x14ac:dyDescent="0.2">
      <c r="A10" s="125" t="s">
        <v>104</v>
      </c>
      <c r="B10" s="126">
        <v>134688</v>
      </c>
      <c r="C10" s="126" t="s">
        <v>202</v>
      </c>
      <c r="D10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0</v>
      </c>
      <c r="E10" s="126" t="s">
        <v>35</v>
      </c>
      <c r="F10" s="126" t="s">
        <v>311</v>
      </c>
      <c r="G10" s="128">
        <v>501</v>
      </c>
      <c r="H10" s="129">
        <f>IFERROR(VLOOKUP(Tabla_Coordinador_ISAAC_GARCIA[[#This Row],[CREDENCIAL]], Tabla_Gerente[[CREDENCIAL]:[PAGO]], 7, FALSE), 0)</f>
        <v>298</v>
      </c>
      <c r="I10" s="130">
        <v>45748</v>
      </c>
      <c r="J10" s="131"/>
      <c r="K10" s="131"/>
    </row>
    <row r="11" spans="1:14" x14ac:dyDescent="0.2">
      <c r="A11" s="125" t="s">
        <v>104</v>
      </c>
      <c r="B11" s="126">
        <v>134689</v>
      </c>
      <c r="C11" s="126" t="s">
        <v>203</v>
      </c>
      <c r="D11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11" s="126" t="s">
        <v>35</v>
      </c>
      <c r="F11" s="126" t="s">
        <v>313</v>
      </c>
      <c r="G11" s="128">
        <v>1342</v>
      </c>
      <c r="H11" s="129">
        <f>IFERROR(VLOOKUP(Tabla_Coordinador_ISAAC_GARCIA[[#This Row],[CREDENCIAL]], Tabla_Gerente[[CREDENCIAL]:[PAGO]], 7, FALSE), 0)</f>
        <v>400</v>
      </c>
      <c r="I11" s="130">
        <v>45749</v>
      </c>
      <c r="J11" s="131"/>
      <c r="K11" s="131"/>
    </row>
    <row r="12" spans="1:14" x14ac:dyDescent="0.2">
      <c r="A12" s="125" t="s">
        <v>104</v>
      </c>
      <c r="B12" s="126">
        <v>134690</v>
      </c>
      <c r="C12" s="126" t="s">
        <v>204</v>
      </c>
      <c r="D12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12" s="126" t="s">
        <v>35</v>
      </c>
      <c r="F12" s="126" t="s">
        <v>314</v>
      </c>
      <c r="G12" s="128">
        <v>1342</v>
      </c>
      <c r="H12" s="129">
        <f>IFERROR(VLOOKUP(Tabla_Coordinador_ISAAC_GARCIA[[#This Row],[CREDENCIAL]], Tabla_Gerente[[CREDENCIAL]:[PAGO]], 7, FALSE), 0)</f>
        <v>500</v>
      </c>
      <c r="I12" s="130">
        <v>45748</v>
      </c>
      <c r="J12" s="131"/>
      <c r="K12" s="131"/>
    </row>
    <row r="13" spans="1:14" x14ac:dyDescent="0.2">
      <c r="A13" s="125" t="s">
        <v>74</v>
      </c>
      <c r="B13" s="126">
        <v>134686</v>
      </c>
      <c r="C13" s="126" t="s">
        <v>200</v>
      </c>
      <c r="D13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0</v>
      </c>
      <c r="E13" s="126" t="s">
        <v>35</v>
      </c>
      <c r="F13" s="126" t="s">
        <v>311</v>
      </c>
      <c r="G13" s="128">
        <v>501</v>
      </c>
      <c r="H13" s="129">
        <f>IFERROR(VLOOKUP(Tabla_Coordinador_ISAAC_GARCIA[[#This Row],[CREDENCIAL]], Tabla_Gerente[[CREDENCIAL]:[PAGO]], 7, FALSE), 0)</f>
        <v>300</v>
      </c>
      <c r="I13" s="130">
        <v>45748</v>
      </c>
      <c r="J13" s="131"/>
      <c r="K13" s="131"/>
    </row>
    <row r="14" spans="1:14" x14ac:dyDescent="0.2">
      <c r="A14" s="125" t="s">
        <v>74</v>
      </c>
      <c r="B14" s="126">
        <v>134696</v>
      </c>
      <c r="C14" s="126" t="s">
        <v>210</v>
      </c>
      <c r="D14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14" s="126" t="s">
        <v>23</v>
      </c>
      <c r="F14" s="126" t="s">
        <v>318</v>
      </c>
      <c r="G14" s="128">
        <v>1342</v>
      </c>
      <c r="H14" s="129">
        <f>IFERROR(VLOOKUP(Tabla_Coordinador_ISAAC_GARCIA[[#This Row],[CREDENCIAL]], Tabla_Gerente[[CREDENCIAL]:[PAGO]], 7, FALSE), 0)</f>
        <v>500</v>
      </c>
      <c r="I14" s="130">
        <v>45746</v>
      </c>
      <c r="J14" s="131"/>
      <c r="K14" s="131"/>
    </row>
    <row r="15" spans="1:14" x14ac:dyDescent="0.2">
      <c r="A15" s="125" t="s">
        <v>74</v>
      </c>
      <c r="B15" s="126">
        <v>134697</v>
      </c>
      <c r="C15" s="126" t="s">
        <v>211</v>
      </c>
      <c r="D15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0</v>
      </c>
      <c r="E15" s="126" t="s">
        <v>23</v>
      </c>
      <c r="F15" s="126" t="s">
        <v>319</v>
      </c>
      <c r="G15" s="128">
        <v>505</v>
      </c>
      <c r="H15" s="129">
        <f>IFERROR(VLOOKUP(Tabla_Coordinador_ISAAC_GARCIA[[#This Row],[CREDENCIAL]], Tabla_Gerente[[CREDENCIAL]:[PAGO]], 7, FALSE), 0)</f>
        <v>299</v>
      </c>
      <c r="I15" s="130">
        <v>45743</v>
      </c>
      <c r="J15" s="131"/>
      <c r="K15" s="131"/>
    </row>
    <row r="16" spans="1:14" x14ac:dyDescent="0.2">
      <c r="A16" s="125" t="s">
        <v>74</v>
      </c>
      <c r="B16" s="126">
        <v>134698</v>
      </c>
      <c r="C16" s="126" t="s">
        <v>212</v>
      </c>
      <c r="D16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16" s="126" t="s">
        <v>23</v>
      </c>
      <c r="F16" s="126" t="s">
        <v>318</v>
      </c>
      <c r="G16" s="128">
        <v>1342</v>
      </c>
      <c r="H16" s="129">
        <f>IFERROR(VLOOKUP(Tabla_Coordinador_ISAAC_GARCIA[[#This Row],[CREDENCIAL]], Tabla_Gerente[[CREDENCIAL]:[PAGO]], 7, FALSE), 0)</f>
        <v>300</v>
      </c>
      <c r="I16" s="130">
        <v>45746</v>
      </c>
      <c r="J16" s="131"/>
      <c r="K16" s="131"/>
    </row>
    <row r="17" spans="1:11" x14ac:dyDescent="0.2">
      <c r="A17" s="125" t="s">
        <v>74</v>
      </c>
      <c r="B17" s="126">
        <v>134699</v>
      </c>
      <c r="C17" s="126" t="s">
        <v>213</v>
      </c>
      <c r="D17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17" s="126" t="s">
        <v>23</v>
      </c>
      <c r="F17" s="126" t="s">
        <v>322</v>
      </c>
      <c r="G17" s="128">
        <v>1342</v>
      </c>
      <c r="H17" s="129">
        <f>IFERROR(VLOOKUP(Tabla_Coordinador_ISAAC_GARCIA[[#This Row],[CREDENCIAL]], Tabla_Gerente[[CREDENCIAL]:[PAGO]], 7, FALSE), 0)</f>
        <v>350</v>
      </c>
      <c r="I17" s="130">
        <v>45744</v>
      </c>
      <c r="J17" s="131"/>
      <c r="K17" s="131"/>
    </row>
    <row r="18" spans="1:11" x14ac:dyDescent="0.2">
      <c r="A18" s="125" t="s">
        <v>74</v>
      </c>
      <c r="B18" s="126">
        <v>134700</v>
      </c>
      <c r="C18" s="126" t="s">
        <v>214</v>
      </c>
      <c r="D18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18" s="126" t="s">
        <v>23</v>
      </c>
      <c r="F18" s="126" t="s">
        <v>311</v>
      </c>
      <c r="G18" s="128">
        <v>1342</v>
      </c>
      <c r="H18" s="129">
        <f>IFERROR(VLOOKUP(Tabla_Coordinador_ISAAC_GARCIA[[#This Row],[CREDENCIAL]], Tabla_Gerente[[CREDENCIAL]:[PAGO]], 7, FALSE), 0)</f>
        <v>350</v>
      </c>
      <c r="I18" s="130">
        <v>45746</v>
      </c>
      <c r="J18" s="131"/>
      <c r="K18" s="131"/>
    </row>
    <row r="19" spans="1:11" x14ac:dyDescent="0.2">
      <c r="A19" s="125" t="s">
        <v>105</v>
      </c>
      <c r="B19" s="126">
        <v>134701</v>
      </c>
      <c r="C19" s="126" t="s">
        <v>215</v>
      </c>
      <c r="D19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19" s="126" t="s">
        <v>23</v>
      </c>
      <c r="F19" s="126" t="s">
        <v>312</v>
      </c>
      <c r="G19" s="128">
        <v>1342</v>
      </c>
      <c r="H19" s="129">
        <f>IFERROR(VLOOKUP(Tabla_Coordinador_ISAAC_GARCIA[[#This Row],[CREDENCIAL]], Tabla_Gerente[[CREDENCIAL]:[PAGO]], 7, FALSE), 0)</f>
        <v>400</v>
      </c>
      <c r="I19" s="130">
        <v>45745</v>
      </c>
      <c r="J19" s="131"/>
      <c r="K19" s="131"/>
    </row>
    <row r="20" spans="1:11" x14ac:dyDescent="0.2">
      <c r="A20" s="125" t="s">
        <v>105</v>
      </c>
      <c r="B20" s="126">
        <v>134702</v>
      </c>
      <c r="C20" s="126" t="s">
        <v>216</v>
      </c>
      <c r="D20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20" s="126" t="s">
        <v>23</v>
      </c>
      <c r="F20" s="126" t="s">
        <v>311</v>
      </c>
      <c r="G20" s="128">
        <v>1342</v>
      </c>
      <c r="H20" s="129">
        <f>IFERROR(VLOOKUP(Tabla_Coordinador_ISAAC_GARCIA[[#This Row],[CREDENCIAL]], Tabla_Gerente[[CREDENCIAL]:[PAGO]], 7, FALSE), 0)</f>
        <v>500</v>
      </c>
      <c r="I20" s="130">
        <v>45748</v>
      </c>
      <c r="J20" s="131"/>
      <c r="K20" s="131"/>
    </row>
    <row r="21" spans="1:11" x14ac:dyDescent="0.2">
      <c r="A21" s="125" t="s">
        <v>105</v>
      </c>
      <c r="B21" s="126">
        <v>134703</v>
      </c>
      <c r="C21" s="126" t="s">
        <v>217</v>
      </c>
      <c r="D21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0</v>
      </c>
      <c r="E21" s="126" t="s">
        <v>42</v>
      </c>
      <c r="F21" s="126" t="s">
        <v>313</v>
      </c>
      <c r="G21" s="128">
        <v>1342</v>
      </c>
      <c r="H21" s="129">
        <f>IFERROR(VLOOKUP(Tabla_Coordinador_ISAAC_GARCIA[[#This Row],[CREDENCIAL]], Tabla_Gerente[[CREDENCIAL]:[PAGO]], 7, FALSE), 0)</f>
        <v>200</v>
      </c>
      <c r="I21" s="130">
        <v>45744</v>
      </c>
      <c r="J21" s="131"/>
      <c r="K21" s="131"/>
    </row>
    <row r="22" spans="1:11" x14ac:dyDescent="0.2">
      <c r="A22" s="125" t="s">
        <v>105</v>
      </c>
      <c r="B22" s="126">
        <v>134704</v>
      </c>
      <c r="C22" s="126" t="s">
        <v>218</v>
      </c>
      <c r="D22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22" s="126" t="s">
        <v>42</v>
      </c>
      <c r="F22" s="126" t="s">
        <v>314</v>
      </c>
      <c r="G22" s="128">
        <v>1342</v>
      </c>
      <c r="H22" s="129">
        <f>IFERROR(VLOOKUP(Tabla_Coordinador_ISAAC_GARCIA[[#This Row],[CREDENCIAL]], Tabla_Gerente[[CREDENCIAL]:[PAGO]], 7, FALSE), 0)</f>
        <v>300</v>
      </c>
      <c r="I22" s="130">
        <v>45743</v>
      </c>
      <c r="J22" s="131"/>
      <c r="K22" s="131"/>
    </row>
    <row r="23" spans="1:11" x14ac:dyDescent="0.2">
      <c r="A23" s="125" t="s">
        <v>105</v>
      </c>
      <c r="B23" s="126">
        <v>134705</v>
      </c>
      <c r="C23" s="126" t="s">
        <v>219</v>
      </c>
      <c r="D23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23" s="126" t="s">
        <v>42</v>
      </c>
      <c r="F23" s="126" t="s">
        <v>315</v>
      </c>
      <c r="G23" s="128">
        <v>1342</v>
      </c>
      <c r="H23" s="129">
        <f>IFERROR(VLOOKUP(Tabla_Coordinador_ISAAC_GARCIA[[#This Row],[CREDENCIAL]], Tabla_Gerente[[CREDENCIAL]:[PAGO]], 7, FALSE), 0)</f>
        <v>350</v>
      </c>
      <c r="I23" s="130">
        <v>45746</v>
      </c>
      <c r="J23" s="131"/>
      <c r="K23" s="131"/>
    </row>
    <row r="24" spans="1:11" x14ac:dyDescent="0.2">
      <c r="A24" s="125" t="s">
        <v>66</v>
      </c>
      <c r="B24" s="126">
        <v>134706</v>
      </c>
      <c r="C24" s="126" t="s">
        <v>220</v>
      </c>
      <c r="D24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24" s="126" t="s">
        <v>42</v>
      </c>
      <c r="F24" s="126" t="s">
        <v>311</v>
      </c>
      <c r="G24" s="128">
        <v>1342</v>
      </c>
      <c r="H24" s="129">
        <f>IFERROR(VLOOKUP(Tabla_Coordinador_ISAAC_GARCIA[[#This Row],[CREDENCIAL]], Tabla_Gerente[[CREDENCIAL]:[PAGO]], 7, FALSE), 0)</f>
        <v>350</v>
      </c>
      <c r="I24" s="130">
        <v>45744</v>
      </c>
      <c r="J24" s="131"/>
      <c r="K24" s="131"/>
    </row>
    <row r="25" spans="1:11" x14ac:dyDescent="0.2">
      <c r="A25" s="125" t="s">
        <v>66</v>
      </c>
      <c r="B25" s="126">
        <v>134707</v>
      </c>
      <c r="C25" s="126" t="s">
        <v>221</v>
      </c>
      <c r="D25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25" s="126" t="s">
        <v>42</v>
      </c>
      <c r="F25" s="126" t="s">
        <v>312</v>
      </c>
      <c r="G25" s="128">
        <v>1342</v>
      </c>
      <c r="H25" s="129">
        <f>IFERROR(VLOOKUP(Tabla_Coordinador_ISAAC_GARCIA[[#This Row],[CREDENCIAL]], Tabla_Gerente[[CREDENCIAL]:[PAGO]], 7, FALSE), 0)</f>
        <v>400</v>
      </c>
      <c r="I25" s="130">
        <v>45746</v>
      </c>
      <c r="J25" s="131"/>
      <c r="K25" s="131"/>
    </row>
    <row r="26" spans="1:11" x14ac:dyDescent="0.2">
      <c r="A26" s="125" t="s">
        <v>66</v>
      </c>
      <c r="B26" s="126">
        <v>134708</v>
      </c>
      <c r="C26" s="126" t="s">
        <v>222</v>
      </c>
      <c r="D26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26" s="126" t="s">
        <v>42</v>
      </c>
      <c r="F26" s="126" t="s">
        <v>311</v>
      </c>
      <c r="G26" s="128">
        <v>1342</v>
      </c>
      <c r="H26" s="129">
        <f>IFERROR(VLOOKUP(Tabla_Coordinador_ISAAC_GARCIA[[#This Row],[CREDENCIAL]], Tabla_Gerente[[CREDENCIAL]:[PAGO]], 7, FALSE), 0)</f>
        <v>500</v>
      </c>
      <c r="I26" s="130">
        <v>45745</v>
      </c>
      <c r="J26" s="131"/>
      <c r="K26" s="131"/>
    </row>
    <row r="27" spans="1:11" x14ac:dyDescent="0.2">
      <c r="A27" s="125" t="s">
        <v>66</v>
      </c>
      <c r="B27" s="126">
        <v>134709</v>
      </c>
      <c r="C27" s="126" t="s">
        <v>223</v>
      </c>
      <c r="D27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27" s="126" t="s">
        <v>42</v>
      </c>
      <c r="F27" s="126" t="s">
        <v>312</v>
      </c>
      <c r="G27" s="128">
        <v>1342</v>
      </c>
      <c r="H27" s="129">
        <f>IFERROR(VLOOKUP(Tabla_Coordinador_ISAAC_GARCIA[[#This Row],[CREDENCIAL]], Tabla_Gerente[[CREDENCIAL]:[PAGO]], 7, FALSE), 0)</f>
        <v>300</v>
      </c>
      <c r="I27" s="130">
        <v>45743</v>
      </c>
      <c r="J27" s="131"/>
      <c r="K27" s="131"/>
    </row>
    <row r="28" spans="1:11" x14ac:dyDescent="0.2">
      <c r="A28" s="125" t="s">
        <v>66</v>
      </c>
      <c r="B28" s="126">
        <v>134710</v>
      </c>
      <c r="C28" s="126" t="s">
        <v>224</v>
      </c>
      <c r="D28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28" s="126" t="s">
        <v>42</v>
      </c>
      <c r="F28" s="126" t="s">
        <v>315</v>
      </c>
      <c r="G28" s="128">
        <v>1342</v>
      </c>
      <c r="H28" s="129">
        <f>IFERROR(VLOOKUP(Tabla_Coordinador_ISAAC_GARCIA[[#This Row],[CREDENCIAL]], Tabla_Gerente[[CREDENCIAL]:[PAGO]], 7, FALSE), 0)</f>
        <v>350</v>
      </c>
      <c r="I28" s="130">
        <v>45746</v>
      </c>
      <c r="J28" s="131"/>
      <c r="K28" s="131"/>
    </row>
    <row r="29" spans="1:11" x14ac:dyDescent="0.2">
      <c r="A29" s="125" t="s">
        <v>75</v>
      </c>
      <c r="B29" s="126">
        <v>134711</v>
      </c>
      <c r="C29" s="126" t="s">
        <v>225</v>
      </c>
      <c r="D29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29" s="126" t="s">
        <v>42</v>
      </c>
      <c r="F29" s="126" t="s">
        <v>316</v>
      </c>
      <c r="G29" s="128">
        <v>1342</v>
      </c>
      <c r="H29" s="129">
        <f>IFERROR(VLOOKUP(Tabla_Coordinador_ISAAC_GARCIA[[#This Row],[CREDENCIAL]], Tabla_Gerente[[CREDENCIAL]:[PAGO]], 7, FALSE), 0)</f>
        <v>350</v>
      </c>
      <c r="I29" s="130">
        <v>45744</v>
      </c>
      <c r="J29" s="131"/>
      <c r="K29" s="131"/>
    </row>
    <row r="30" spans="1:11" x14ac:dyDescent="0.2">
      <c r="A30" s="125" t="s">
        <v>75</v>
      </c>
      <c r="B30" s="126">
        <v>134712</v>
      </c>
      <c r="C30" s="126" t="s">
        <v>226</v>
      </c>
      <c r="D30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30" s="126" t="s">
        <v>42</v>
      </c>
      <c r="F30" s="126" t="s">
        <v>317</v>
      </c>
      <c r="G30" s="128">
        <v>1342</v>
      </c>
      <c r="H30" s="129">
        <f>IFERROR(VLOOKUP(Tabla_Coordinador_ISAAC_GARCIA[[#This Row],[CREDENCIAL]], Tabla_Gerente[[CREDENCIAL]:[PAGO]], 7, FALSE), 0)</f>
        <v>400</v>
      </c>
      <c r="I30" s="130">
        <v>45746</v>
      </c>
      <c r="J30" s="131"/>
      <c r="K30" s="131"/>
    </row>
    <row r="31" spans="1:11" x14ac:dyDescent="0.2">
      <c r="A31" s="125" t="s">
        <v>73</v>
      </c>
      <c r="B31" s="126">
        <v>134691</v>
      </c>
      <c r="C31" s="126" t="s">
        <v>205</v>
      </c>
      <c r="D31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0</v>
      </c>
      <c r="E31" s="126" t="s">
        <v>35</v>
      </c>
      <c r="F31" s="126" t="s">
        <v>315</v>
      </c>
      <c r="G31" s="128">
        <v>503</v>
      </c>
      <c r="H31" s="129">
        <f>IFERROR(VLOOKUP(Tabla_Coordinador_ISAAC_GARCIA[[#This Row],[CREDENCIAL]], Tabla_Gerente[[CREDENCIAL]:[PAGO]], 7, FALSE), 0)</f>
        <v>299</v>
      </c>
      <c r="I31" s="130">
        <v>45749</v>
      </c>
      <c r="J31" s="131"/>
      <c r="K31" s="131"/>
    </row>
    <row r="32" spans="1:11" x14ac:dyDescent="0.2">
      <c r="A32" s="125" t="s">
        <v>73</v>
      </c>
      <c r="B32" s="126">
        <v>134692</v>
      </c>
      <c r="C32" s="126" t="s">
        <v>206</v>
      </c>
      <c r="D32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32" s="126" t="s">
        <v>23</v>
      </c>
      <c r="F32" s="126" t="s">
        <v>316</v>
      </c>
      <c r="G32" s="128">
        <v>1342</v>
      </c>
      <c r="H32" s="129">
        <f>IFERROR(VLOOKUP(Tabla_Coordinador_ISAAC_GARCIA[[#This Row],[CREDENCIAL]], Tabla_Gerente[[CREDENCIAL]:[PAGO]], 7, FALSE), 0)</f>
        <v>300</v>
      </c>
      <c r="I32" s="130">
        <v>45746</v>
      </c>
      <c r="J32" s="131"/>
      <c r="K32" s="131"/>
    </row>
    <row r="33" spans="1:11" x14ac:dyDescent="0.2">
      <c r="A33" s="125" t="s">
        <v>73</v>
      </c>
      <c r="B33" s="126">
        <v>134693</v>
      </c>
      <c r="C33" s="126" t="s">
        <v>207</v>
      </c>
      <c r="D33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0</v>
      </c>
      <c r="E33" s="126" t="s">
        <v>23</v>
      </c>
      <c r="F33" s="126" t="s">
        <v>315</v>
      </c>
      <c r="G33" s="128">
        <v>503</v>
      </c>
      <c r="H33" s="129">
        <f>IFERROR(VLOOKUP(Tabla_Coordinador_ISAAC_GARCIA[[#This Row],[CREDENCIAL]], Tabla_Gerente[[CREDENCIAL]:[PAGO]], 7, FALSE), 0)</f>
        <v>350</v>
      </c>
      <c r="I33" s="130">
        <v>45749</v>
      </c>
      <c r="J33" s="131"/>
      <c r="K33" s="131"/>
    </row>
    <row r="34" spans="1:11" x14ac:dyDescent="0.2">
      <c r="A34" s="125" t="s">
        <v>73</v>
      </c>
      <c r="B34" s="126">
        <v>134694</v>
      </c>
      <c r="C34" s="126" t="s">
        <v>208</v>
      </c>
      <c r="D34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34" s="126" t="s">
        <v>23</v>
      </c>
      <c r="F34" s="126" t="s">
        <v>316</v>
      </c>
      <c r="G34" s="128">
        <v>1342</v>
      </c>
      <c r="H34" s="129">
        <f>IFERROR(VLOOKUP(Tabla_Coordinador_ISAAC_GARCIA[[#This Row],[CREDENCIAL]], Tabla_Gerente[[CREDENCIAL]:[PAGO]], 7, FALSE), 0)</f>
        <v>350</v>
      </c>
      <c r="I34" s="130">
        <v>45746</v>
      </c>
      <c r="J34" s="131"/>
      <c r="K34" s="131"/>
    </row>
    <row r="35" spans="1:11" x14ac:dyDescent="0.2">
      <c r="A35" s="125" t="s">
        <v>73</v>
      </c>
      <c r="B35" s="126">
        <v>134695</v>
      </c>
      <c r="C35" s="126" t="s">
        <v>209</v>
      </c>
      <c r="D35" s="127">
        <f>IF(
    OR(
        Tabla_Coordinador_ISAAC_GARCIA[[#This Row],[GRUPO]] = 501,
        Tabla_Coordinador_ISAAC_GARCIA[[#This Row],[GRUPO]] = 505,
        Tabla_Coordinador_ISAAC_GARCIA[[#This Row],[GRUPO]] = 503,
        Tabla_Coordinador_ISAAC_GARCIA[[#This Row],[GRUPO]] = "",
        Tabla_Coordinador_ISAAC_GARCIA[[#This Row],[GRUPO]] = 500,
        Tabla_Coordinador_ISAAC_GARCIA[[#This Row],[PAGO]] &lt; 299,
        COUNTIF(Tabla_Coordinador_ISAAC_GARCIA[CREDENCIAL], Tabla_Coordinador_ISAAC_GARCIA[[#This Row],[CREDENCIAL]]) &gt; 1,
        COUNTIF(Tabla_Gerente[CREDENCIAL], Tabla_Coordinador_ISAAC_GARCIA[[#This Row],[CREDENCIAL]]) &gt; 1
    ),
    0,
    VLOOKUP(
        Total_Registros_Coordinador,
        Tabulador_Coordinador[],
        3,
        TRUE
    )
)</f>
        <v>140</v>
      </c>
      <c r="E35" s="126" t="s">
        <v>23</v>
      </c>
      <c r="F35" s="126" t="s">
        <v>317</v>
      </c>
      <c r="G35" s="128">
        <v>1342</v>
      </c>
      <c r="H35" s="129">
        <f>IFERROR(VLOOKUP(Tabla_Coordinador_ISAAC_GARCIA[[#This Row],[CREDENCIAL]], Tabla_Gerente[[CREDENCIAL]:[PAGO]], 7, FALSE), 0)</f>
        <v>400</v>
      </c>
      <c r="I35" s="130">
        <v>45749</v>
      </c>
      <c r="J35" s="131"/>
      <c r="K35" s="131"/>
    </row>
    <row r="36" spans="1:11" x14ac:dyDescent="0.2">
      <c r="A36" s="125" t="s">
        <v>50</v>
      </c>
      <c r="B36" s="126"/>
      <c r="C36" s="126"/>
      <c r="D36" s="127">
        <f>SUBTOTAL(109,Tabla_Coordinador_ISAAC_GARCIA[COMISION])</f>
        <v>2800</v>
      </c>
      <c r="E36" s="126"/>
      <c r="F36" s="126"/>
      <c r="G36" s="128"/>
      <c r="H36" s="132"/>
      <c r="I36" s="130"/>
      <c r="J36" s="131"/>
      <c r="K36" s="131"/>
    </row>
    <row r="37" spans="1:11" x14ac:dyDescent="0.2">
      <c r="A37" s="27"/>
      <c r="B37" s="14"/>
      <c r="C37" s="15"/>
      <c r="D37" s="52"/>
      <c r="E37" s="14"/>
      <c r="F37" s="14"/>
      <c r="G37" s="14"/>
      <c r="H37" s="53"/>
      <c r="I37" s="16"/>
      <c r="J37" s="16"/>
      <c r="K37" s="16"/>
    </row>
    <row r="38" spans="1:11" x14ac:dyDescent="0.2">
      <c r="A38" s="27" t="s">
        <v>13</v>
      </c>
      <c r="D38" s="26">
        <f>Sueldo_Base_Coordinador</f>
        <v>500</v>
      </c>
      <c r="E38" s="16"/>
      <c r="F38" s="15"/>
      <c r="H38" s="15"/>
      <c r="J38" s="24"/>
    </row>
    <row r="39" spans="1:11" ht="17" thickBot="1" x14ac:dyDescent="0.25">
      <c r="A39" s="37" t="s">
        <v>45</v>
      </c>
      <c r="B39" s="38">
        <f>IF(Total_Registros_Coordinador &gt;= Premios!H5,
    VLOOKUP(Total_Registros_Coordinador, Premios_Coordinador[], 1, TRUE),
    0
)</f>
        <v>20</v>
      </c>
      <c r="C39" s="34"/>
      <c r="D39" s="36">
        <f>IF(Premio_Coordinador &gt; 0, VLOOKUP(Premio_Coordinador, Premios_Coordinador[], 2, FALSE), 0)</f>
        <v>2000</v>
      </c>
      <c r="E39" s="16"/>
      <c r="F39" s="15"/>
      <c r="H39" s="15"/>
      <c r="J39" s="24"/>
    </row>
    <row r="40" spans="1:11" x14ac:dyDescent="0.2">
      <c r="A40" s="27" t="s">
        <v>46</v>
      </c>
      <c r="B40" s="18"/>
      <c r="D40" s="28">
        <f>Tabla_Coordinador_ISAAC_GARCIA[[#Totals],[COMISION]] + Pago_Sueldo_Base_Coordinador + Pago_Premio_Coordinador</f>
        <v>5300</v>
      </c>
      <c r="E40" s="16"/>
      <c r="F40" s="15"/>
      <c r="H40" s="15"/>
      <c r="J40" s="24"/>
    </row>
    <row r="41" spans="1:11" x14ac:dyDescent="0.2">
      <c r="A41" s="27" t="s">
        <v>195</v>
      </c>
      <c r="B41" s="18"/>
      <c r="C41" s="29"/>
      <c r="D41" s="40">
        <f>_xlfn.IFNA(SUMIFS(Descuentos[DESCUENTO], Descuentos[COLABORADOR], Nombre_Coordinador, Descuentos[PUESTO], Puesto_Coordinador), 0)</f>
        <v>-630</v>
      </c>
      <c r="E41" s="16"/>
      <c r="F41" s="15"/>
      <c r="H41" s="15"/>
      <c r="J41" s="22"/>
      <c r="K41" s="22"/>
    </row>
    <row r="42" spans="1:11" ht="17" thickBot="1" x14ac:dyDescent="0.25">
      <c r="A42" s="37" t="s">
        <v>24</v>
      </c>
      <c r="B42" s="34"/>
      <c r="C42" s="34"/>
      <c r="D42" s="48">
        <f>(Pago_Subtotal_Coordinador * 0.05) * -1</f>
        <v>-265</v>
      </c>
      <c r="E42" s="16"/>
      <c r="F42" s="15"/>
      <c r="H42" s="15"/>
    </row>
    <row r="43" spans="1:11" ht="17" thickBot="1" x14ac:dyDescent="0.25">
      <c r="A43" s="42"/>
      <c r="C43" s="29"/>
      <c r="D43" s="28"/>
      <c r="E43" s="16"/>
      <c r="F43" s="15"/>
    </row>
    <row r="44" spans="1:11" ht="17" thickBot="1" x14ac:dyDescent="0.25">
      <c r="A44" s="37" t="s">
        <v>49</v>
      </c>
      <c r="B44" s="34"/>
      <c r="C44" s="49"/>
      <c r="D44" s="30">
        <f>Pago_Subtotal_Coordinador + Descuento_Coordinador + Deduccion_Coordinador</f>
        <v>4405</v>
      </c>
      <c r="E44" s="16"/>
      <c r="F44" s="15"/>
    </row>
    <row r="45" spans="1:11" x14ac:dyDescent="0.2">
      <c r="C45" s="29"/>
      <c r="D45" s="28"/>
      <c r="E45" s="26"/>
      <c r="F45" s="26"/>
    </row>
    <row r="46" spans="1:11" x14ac:dyDescent="0.2">
      <c r="C46" s="29"/>
      <c r="D46" s="28"/>
      <c r="E46" s="26"/>
      <c r="F46" s="26"/>
      <c r="I46" s="13"/>
    </row>
    <row r="47" spans="1:11" ht="17" thickBot="1" x14ac:dyDescent="0.25">
      <c r="C47" s="37" t="s">
        <v>25</v>
      </c>
      <c r="D47" s="121" t="str" cm="1">
        <f t="array" ref="D47">NumeroATexto(Pago_Neto_Coordinador)</f>
        <v>CUATRO MIL CUATROCIENTOS CINCO PESOS 00/100</v>
      </c>
      <c r="E47" s="121"/>
      <c r="F47" s="121"/>
      <c r="G47" s="121"/>
      <c r="H47" s="121"/>
      <c r="I47" s="121"/>
    </row>
    <row r="48" spans="1:11" x14ac:dyDescent="0.2">
      <c r="C48" s="27"/>
      <c r="D48" s="26"/>
      <c r="E48" s="16"/>
      <c r="F48" s="15"/>
      <c r="I48" s="13"/>
    </row>
    <row r="49" spans="3:9" x14ac:dyDescent="0.2">
      <c r="C49" s="29"/>
      <c r="D49" s="28"/>
      <c r="I49" s="13"/>
    </row>
    <row r="50" spans="3:9" ht="17" thickBot="1" x14ac:dyDescent="0.25">
      <c r="C50" s="33" t="s">
        <v>26</v>
      </c>
      <c r="D50" s="122"/>
      <c r="E50" s="122"/>
      <c r="F50" s="122"/>
      <c r="G50" s="122"/>
      <c r="H50" s="122"/>
      <c r="I50" s="122"/>
    </row>
    <row r="51" spans="3:9" x14ac:dyDescent="0.2">
      <c r="I51" s="13"/>
    </row>
    <row r="52" spans="3:9" x14ac:dyDescent="0.2">
      <c r="I52" s="13"/>
    </row>
    <row r="53" spans="3:9" x14ac:dyDescent="0.2">
      <c r="I53" s="13"/>
    </row>
    <row r="54" spans="3:9" x14ac:dyDescent="0.2">
      <c r="I54" s="13"/>
    </row>
    <row r="55" spans="3:9" x14ac:dyDescent="0.2">
      <c r="I55" s="13"/>
    </row>
  </sheetData>
  <mergeCells count="4">
    <mergeCell ref="B1:D1"/>
    <mergeCell ref="B2:D2"/>
    <mergeCell ref="D47:I47"/>
    <mergeCell ref="D50:I50"/>
  </mergeCells>
  <conditionalFormatting sqref="D9:D35">
    <cfRule type="cellIs" dxfId="140" priority="5" operator="equal">
      <formula>0</formula>
    </cfRule>
    <cfRule type="cellIs" dxfId="139" priority="7" operator="equal">
      <formula>$G9=501</formula>
    </cfRule>
  </conditionalFormatting>
  <conditionalFormatting sqref="G9:G35">
    <cfRule type="cellIs" dxfId="138" priority="2" operator="equal">
      <formula>505</formula>
    </cfRule>
    <cfRule type="cellIs" dxfId="137" priority="4" operator="equal">
      <formula>501</formula>
    </cfRule>
    <cfRule type="containsBlanks" dxfId="136" priority="6">
      <formula>LEN(TRIM(G9))=0</formula>
    </cfRule>
  </conditionalFormatting>
  <conditionalFormatting sqref="A9:K35">
    <cfRule type="expression" dxfId="135" priority="3">
      <formula>$G9 = 503</formula>
    </cfRule>
  </conditionalFormatting>
  <conditionalFormatting sqref="H9:H35">
    <cfRule type="cellIs" dxfId="134" priority="1" stopIfTrue="1" operator="lessThan">
      <formula>299</formula>
    </cfRule>
  </conditionalFormatting>
  <conditionalFormatting sqref="B9:B35">
    <cfRule type="duplicateValues" dxfId="132" priority="3024"/>
  </conditionalFormatting>
  <dataValidations count="7">
    <dataValidation type="list" allowBlank="1" showInputMessage="1" showErrorMessage="1" sqref="F9:F35" xr:uid="{CC38EFAF-EEA2-CB4D-9935-0254FB69EBF0}">
      <formula1>Cursos</formula1>
    </dataValidation>
    <dataValidation type="list" allowBlank="1" showInputMessage="1" showErrorMessage="1" sqref="B2:D2" xr:uid="{44651316-B9BF-B541-A3CA-0A6BE1FC281B}">
      <formula1>Razones_Sociales</formula1>
    </dataValidation>
    <dataValidation showInputMessage="1" showErrorMessage="1" sqref="A9:A35" xr:uid="{883CC10C-971A-264B-8305-CF4980D6EE92}"/>
    <dataValidation type="date" allowBlank="1" showInputMessage="1" showErrorMessage="1" sqref="I9:I35" xr:uid="{2C52C2DC-3370-E34B-84F7-53C205BE716D}">
      <formula1>Periodo_De_Pago_Inicial_Gerente</formula1>
      <formula2>Periodo_De_Pago_Final_Gerente</formula2>
    </dataValidation>
    <dataValidation type="custom" allowBlank="1" showInputMessage="1" showErrorMessage="1" sqref="G9:G35" xr:uid="{0C4F6598-E3EC-2F41-A579-1F523F3F8C5B}">
      <formula1>G9&lt;&gt;500</formula1>
    </dataValidation>
    <dataValidation type="list" allowBlank="1" showInputMessage="1" showErrorMessage="1" sqref="E9:E35" xr:uid="{FAA3C6A3-953B-9643-8C9B-D6D44F6CDE53}">
      <formula1>Nombres_Planteles</formula1>
    </dataValidation>
    <dataValidation type="list" allowBlank="1" showInputMessage="1" showErrorMessage="1" sqref="B1" xr:uid="{E6411B51-A66C-F646-8245-F1E85DE2124B}">
      <formula1>Nombres_Coordinadores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SumPagoNetoCoordinacion">
                <anchor moveWithCells="1">
                  <from>
                    <xdr:col>12</xdr:col>
                    <xdr:colOff>152400</xdr:colOff>
                    <xdr:row>0</xdr:row>
                    <xdr:rowOff>63500</xdr:rowOff>
                  </from>
                  <to>
                    <xdr:col>13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FB73E673-EF8D-F341-9014-6BF6AEB5B3AA}">
            <xm:f>COUNTIF('FERNANDO VILLALVAZO'!#REF!,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5A488C-E94A-C143-8790-94E8FE991735}">
          <x14:formula1>
            <xm:f>Planteles!$A$4:$A$15</xm:f>
          </x14:formula1>
          <xm:sqref>J9:J35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2639C-F67B-B74B-8523-0D56D8F97A97}">
  <sheetPr codeName="Sheet21">
    <tabColor rgb="FF00B050"/>
    <pageSetUpPr fitToPage="1"/>
  </sheetPr>
  <dimension ref="A1:K27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4.6640625" style="13" bestFit="1" customWidth="1"/>
    <col min="6" max="6" width="12.66406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87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COUNTIFS(Tabla_PromotorJORGE_RODRIGUEZ[GRUPO],"&lt;&gt;",
Tabla_PromotorJORGE_RODRIGUEZ[GRUPO],"&lt;&gt;503",
Tabla_PromotorJORGE_RODRIGUEZ[GRUPO],"&lt;&gt;500",
Tabla_PromotorJORGE_RODRIGUEZ[PAGO],"&gt;=299")</f>
        <v>4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105</v>
      </c>
      <c r="B9" s="126">
        <v>134701</v>
      </c>
      <c r="C9" s="126" t="s">
        <v>215</v>
      </c>
      <c r="D9" s="127">
        <f>IF(
    OR(
        Tabla_PromotorJORGE_RODRIGUEZ[[#This Row],[GRUPO]] = "",
        Tabla_PromotorJORGE_RODRIGUEZ[[#This Row],[GRUPO]] = 500,
        COUNTIF(Tabla_PromotorJORGE_RODRIGUEZ[CREDENCIAL], Tabla_PromotorJORGE_RODRIGUEZ[[#This Row],[CREDENCIAL]]) &gt; 1,
        COUNTIF(Tabla_Gerente[CREDENCIAL], Tabla_PromotorJORGE_RODRIGUEZ[[#This Row],[CREDENCIAL]]) &gt; 1,
    ),
    0,
    IF(
        Tabla_PromotorJORGE_RODRIGUEZ[[#This Row],[GRUPO]] = 503,
        Tabla_PromotorJORGE_RODRIGUEZ[[#This Row],[PAGO]],
        IF(
            Tabla_PromotorJORGE_RODRIGUEZ[[#This Row],[PAGO]] &gt;= 299,
            Tabla_PromotorJORGE_RODRIGUEZ[[#This Row],[PAGO]] - 150,
            0
        )
    )
)</f>
        <v>250</v>
      </c>
      <c r="E9" s="126" t="s">
        <v>23</v>
      </c>
      <c r="F9" s="126" t="s">
        <v>312</v>
      </c>
      <c r="G9" s="128">
        <v>1342</v>
      </c>
      <c r="H9" s="133">
        <f>IFERROR(VLOOKUP(Tabla_PromotorJORGE_RODRIGUEZ[[#This Row],[CREDENCIAL]], Tabla_Gerente[[CREDENCIAL]:[PAGO]], 7, FALSE), 0)</f>
        <v>400</v>
      </c>
      <c r="I9" s="134">
        <v>45745</v>
      </c>
      <c r="J9" s="131"/>
      <c r="K9" s="131"/>
    </row>
    <row r="10" spans="1:11" x14ac:dyDescent="0.2">
      <c r="A10" s="125" t="s">
        <v>105</v>
      </c>
      <c r="B10" s="126">
        <v>134702</v>
      </c>
      <c r="C10" s="126" t="s">
        <v>216</v>
      </c>
      <c r="D10" s="127">
        <f>IF(
    OR(
        Tabla_PromotorJORGE_RODRIGUEZ[[#This Row],[GRUPO]] = "",
        Tabla_PromotorJORGE_RODRIGUEZ[[#This Row],[GRUPO]] = 500,
        COUNTIF(Tabla_PromotorJORGE_RODRIGUEZ[CREDENCIAL], Tabla_PromotorJORGE_RODRIGUEZ[[#This Row],[CREDENCIAL]]) &gt; 1,
        COUNTIF(Tabla_Gerente[CREDENCIAL], Tabla_PromotorJORGE_RODRIGUEZ[[#This Row],[CREDENCIAL]]) &gt; 1,
    ),
    0,
    IF(
        Tabla_PromotorJORGE_RODRIGUEZ[[#This Row],[GRUPO]] = 503,
        Tabla_PromotorJORGE_RODRIGUEZ[[#This Row],[PAGO]],
        IF(
            Tabla_PromotorJORGE_RODRIGUEZ[[#This Row],[PAGO]] &gt;= 299,
            Tabla_PromotorJORGE_RODRIGUEZ[[#This Row],[PAGO]] - 150,
            0
        )
    )
)</f>
        <v>350</v>
      </c>
      <c r="E10" s="126" t="s">
        <v>23</v>
      </c>
      <c r="F10" s="126" t="s">
        <v>311</v>
      </c>
      <c r="G10" s="128">
        <v>1342</v>
      </c>
      <c r="H10" s="133">
        <f>IFERROR(VLOOKUP(Tabla_PromotorJORGE_RODRIGUEZ[[#This Row],[CREDENCIAL]], Tabla_Gerente[[CREDENCIAL]:[PAGO]], 7, FALSE), 0)</f>
        <v>500</v>
      </c>
      <c r="I10" s="134">
        <v>45748</v>
      </c>
      <c r="J10" s="131"/>
      <c r="K10" s="131"/>
    </row>
    <row r="11" spans="1:11" x14ac:dyDescent="0.2">
      <c r="A11" s="125" t="s">
        <v>105</v>
      </c>
      <c r="B11" s="126">
        <v>134703</v>
      </c>
      <c r="C11" s="126" t="s">
        <v>217</v>
      </c>
      <c r="D11" s="127">
        <f>IF(
    OR(
        Tabla_PromotorJORGE_RODRIGUEZ[[#This Row],[GRUPO]] = "",
        Tabla_PromotorJORGE_RODRIGUEZ[[#This Row],[GRUPO]] = 500,
        COUNTIF(Tabla_PromotorJORGE_RODRIGUEZ[CREDENCIAL], Tabla_PromotorJORGE_RODRIGUEZ[[#This Row],[CREDENCIAL]]) &gt; 1,
        COUNTIF(Tabla_Gerente[CREDENCIAL], Tabla_PromotorJORGE_RODRIGUEZ[[#This Row],[CREDENCIAL]]) &gt; 1,
    ),
    0,
    IF(
        Tabla_PromotorJORGE_RODRIGUEZ[[#This Row],[GRUPO]] = 503,
        Tabla_PromotorJORGE_RODRIGUEZ[[#This Row],[PAGO]],
        IF(
            Tabla_PromotorJORGE_RODRIGUEZ[[#This Row],[PAGO]] &gt;= 299,
            Tabla_PromotorJORGE_RODRIGUEZ[[#This Row],[PAGO]] - 150,
            0
        )
    )
)</f>
        <v>0</v>
      </c>
      <c r="E11" s="126" t="s">
        <v>42</v>
      </c>
      <c r="F11" s="126" t="s">
        <v>313</v>
      </c>
      <c r="G11" s="128">
        <v>1342</v>
      </c>
      <c r="H11" s="133">
        <f>IFERROR(VLOOKUP(Tabla_PromotorJORGE_RODRIGUEZ[[#This Row],[CREDENCIAL]], Tabla_Gerente[[CREDENCIAL]:[PAGO]], 7, FALSE), 0)</f>
        <v>200</v>
      </c>
      <c r="I11" s="134">
        <v>45744</v>
      </c>
      <c r="J11" s="131"/>
      <c r="K11" s="131"/>
    </row>
    <row r="12" spans="1:11" x14ac:dyDescent="0.2">
      <c r="A12" s="125" t="s">
        <v>105</v>
      </c>
      <c r="B12" s="126">
        <v>134704</v>
      </c>
      <c r="C12" s="126" t="s">
        <v>218</v>
      </c>
      <c r="D12" s="127">
        <f>IF(
    OR(
        Tabla_PromotorJORGE_RODRIGUEZ[[#This Row],[GRUPO]] = "",
        Tabla_PromotorJORGE_RODRIGUEZ[[#This Row],[GRUPO]] = 500,
        COUNTIF(Tabla_PromotorJORGE_RODRIGUEZ[CREDENCIAL], Tabla_PromotorJORGE_RODRIGUEZ[[#This Row],[CREDENCIAL]]) &gt; 1,
        COUNTIF(Tabla_Gerente[CREDENCIAL], Tabla_PromotorJORGE_RODRIGUEZ[[#This Row],[CREDENCIAL]]) &gt; 1,
    ),
    0,
    IF(
        Tabla_PromotorJORGE_RODRIGUEZ[[#This Row],[GRUPO]] = 503,
        Tabla_PromotorJORGE_RODRIGUEZ[[#This Row],[PAGO]],
        IF(
            Tabla_PromotorJORGE_RODRIGUEZ[[#This Row],[PAGO]] &gt;= 299,
            Tabla_PromotorJORGE_RODRIGUEZ[[#This Row],[PAGO]] - 150,
            0
        )
    )
)</f>
        <v>150</v>
      </c>
      <c r="E12" s="126" t="s">
        <v>42</v>
      </c>
      <c r="F12" s="126" t="s">
        <v>314</v>
      </c>
      <c r="G12" s="128">
        <v>1342</v>
      </c>
      <c r="H12" s="133">
        <f>IFERROR(VLOOKUP(Tabla_PromotorJORGE_RODRIGUEZ[[#This Row],[CREDENCIAL]], Tabla_Gerente[[CREDENCIAL]:[PAGO]], 7, FALSE), 0)</f>
        <v>300</v>
      </c>
      <c r="I12" s="134">
        <v>45743</v>
      </c>
      <c r="J12" s="131"/>
      <c r="K12" s="131"/>
    </row>
    <row r="13" spans="1:11" x14ac:dyDescent="0.2">
      <c r="A13" s="125" t="s">
        <v>105</v>
      </c>
      <c r="B13" s="126">
        <v>134705</v>
      </c>
      <c r="C13" s="126" t="s">
        <v>219</v>
      </c>
      <c r="D13" s="127">
        <f>IF(
    OR(
        Tabla_PromotorJORGE_RODRIGUEZ[[#This Row],[GRUPO]] = "",
        Tabla_PromotorJORGE_RODRIGUEZ[[#This Row],[GRUPO]] = 500,
        COUNTIF(Tabla_PromotorJORGE_RODRIGUEZ[CREDENCIAL], Tabla_PromotorJORGE_RODRIGUEZ[[#This Row],[CREDENCIAL]]) &gt; 1,
        COUNTIF(Tabla_Gerente[CREDENCIAL], Tabla_PromotorJORGE_RODRIGUEZ[[#This Row],[CREDENCIAL]]) &gt; 1,
    ),
    0,
    IF(
        Tabla_PromotorJORGE_RODRIGUEZ[[#This Row],[GRUPO]] = 503,
        Tabla_PromotorJORGE_RODRIGUEZ[[#This Row],[PAGO]],
        IF(
            Tabla_PromotorJORGE_RODRIGUEZ[[#This Row],[PAGO]] &gt;= 299,
            Tabla_PromotorJORGE_RODRIGUEZ[[#This Row],[PAGO]] - 150,
            0
        )
    )
)</f>
        <v>200</v>
      </c>
      <c r="E13" s="126" t="s">
        <v>42</v>
      </c>
      <c r="F13" s="126" t="s">
        <v>315</v>
      </c>
      <c r="G13" s="128">
        <v>1342</v>
      </c>
      <c r="H13" s="133">
        <f>IFERROR(VLOOKUP(Tabla_PromotorJORGE_RODRIGUEZ[[#This Row],[CREDENCIAL]], Tabla_Gerente[[CREDENCIAL]:[PAGO]], 7, FALSE), 0)</f>
        <v>350</v>
      </c>
      <c r="I13" s="134">
        <v>45746</v>
      </c>
      <c r="J13" s="131"/>
      <c r="K13" s="131"/>
    </row>
    <row r="14" spans="1:11" x14ac:dyDescent="0.2">
      <c r="A14" s="125" t="s">
        <v>50</v>
      </c>
      <c r="B14" s="126"/>
      <c r="C14" s="126"/>
      <c r="D14" s="127">
        <f>SUBTOTAL(109,Tabla_PromotorJORGE_RODRIGUEZ[COMISION])</f>
        <v>950</v>
      </c>
      <c r="E14" s="126"/>
      <c r="F14" s="126"/>
      <c r="G14" s="128"/>
      <c r="H14" s="133"/>
      <c r="I14" s="134"/>
      <c r="J14" s="131"/>
      <c r="K14" s="131"/>
    </row>
    <row r="15" spans="1:11" x14ac:dyDescent="0.2">
      <c r="A15" s="25"/>
      <c r="B15" s="14"/>
      <c r="C15" s="15"/>
      <c r="D15" s="52"/>
      <c r="E15" s="14"/>
      <c r="F15" s="14"/>
      <c r="G15" s="27"/>
      <c r="H15" s="53"/>
      <c r="I15" s="14"/>
      <c r="J15" s="16"/>
      <c r="K15" s="16"/>
    </row>
    <row r="16" spans="1:11" x14ac:dyDescent="0.2">
      <c r="A16" s="25" t="s">
        <v>13</v>
      </c>
      <c r="D16" s="68">
        <f>_xlfn.IFNA(VLOOKUP(Nombre_Promotor,Sueldos_Base[],2,FALSE),0)</f>
        <v>0</v>
      </c>
      <c r="E16" s="16"/>
      <c r="F16" s="15"/>
      <c r="H16" s="15"/>
      <c r="J16" s="24"/>
    </row>
    <row r="17" spans="1:11" ht="17" thickBot="1" x14ac:dyDescent="0.25">
      <c r="A17" s="37" t="s">
        <v>45</v>
      </c>
      <c r="B17" s="38">
        <f>IF(Total_Registros_Promotor &lt; Premios!A5, 0,
   VLOOKUP(Total_Registros_Promotor, Premios_Promotor[], 1, TRUE))</f>
        <v>4</v>
      </c>
      <c r="C17" s="34"/>
      <c r="D17" s="36">
        <f>IF(Premio_Promotor &gt; 0,
   VLOOKUP(Premio_Promotor, Premios_Promotor[],
      VLOOKUP(Total_Registros_Gerente, Tabulador_Premio_Promotor_Total_Gerencia[], 2, TRUE),
   FALSE),
   0)</f>
        <v>500</v>
      </c>
      <c r="E17" s="16"/>
      <c r="F17" s="15"/>
      <c r="H17" s="15"/>
      <c r="J17" s="24"/>
    </row>
    <row r="18" spans="1:11" x14ac:dyDescent="0.2">
      <c r="A18" s="27" t="s">
        <v>46</v>
      </c>
      <c r="B18" s="18"/>
      <c r="D18" s="28">
        <f>Tabla_PromotorJORGE_RODRIGUEZ[[#Totals],[COMISION]] + Pago_Sueldo_Base_Promotor + Pago_Premio_Promotor</f>
        <v>1450</v>
      </c>
      <c r="E18" s="16"/>
      <c r="F18" s="15"/>
      <c r="H18" s="15"/>
      <c r="J18" s="24"/>
    </row>
    <row r="19" spans="1:11" x14ac:dyDescent="0.2">
      <c r="A19" s="27" t="s">
        <v>195</v>
      </c>
      <c r="B19" s="18"/>
      <c r="C19" s="29"/>
      <c r="D19" s="39">
        <f>_xlfn.IFNA(SUMIFS(Descuentos[DESCUENTO], Descuentos[COLABORADOR], Nombre_Promotor, Descuentos[PUESTO], Puesto_Promotor), 0)</f>
        <v>0</v>
      </c>
      <c r="E19" s="16" t="s">
        <v>121</v>
      </c>
      <c r="F19" s="15"/>
      <c r="H19" s="15"/>
      <c r="I19" s="18"/>
      <c r="J19" s="22"/>
      <c r="K19" s="22"/>
    </row>
    <row r="20" spans="1:11" ht="17" thickBot="1" x14ac:dyDescent="0.25">
      <c r="A20" s="35"/>
      <c r="C20" s="29"/>
      <c r="D20" s="28"/>
      <c r="E20" s="16"/>
      <c r="F20" s="15"/>
    </row>
    <row r="21" spans="1:11" ht="17" thickBot="1" x14ac:dyDescent="0.25">
      <c r="A21" s="37" t="s">
        <v>49</v>
      </c>
      <c r="B21" s="34"/>
      <c r="C21" s="49"/>
      <c r="D21" s="30">
        <f>Pago_Subtotal_Promotor + Descuento_Promotor</f>
        <v>1450</v>
      </c>
      <c r="E21" s="16"/>
      <c r="F21" s="15"/>
    </row>
    <row r="22" spans="1:11" x14ac:dyDescent="0.2">
      <c r="C22" s="29"/>
      <c r="D22" s="28"/>
      <c r="E22" s="26"/>
      <c r="F22" s="26"/>
    </row>
    <row r="23" spans="1:11" x14ac:dyDescent="0.2">
      <c r="C23" s="29"/>
      <c r="D23" s="28"/>
      <c r="E23" s="26"/>
      <c r="F23" s="26"/>
    </row>
    <row r="24" spans="1:11" ht="17" thickBot="1" x14ac:dyDescent="0.25">
      <c r="C24" s="37" t="s">
        <v>25</v>
      </c>
      <c r="D24" s="121" t="str" cm="1">
        <f t="array" ref="D24">NumeroATexto(Pago_Neto_Promotor)</f>
        <v>MIL CUATROCIENTOS CINCUENTA PESOS 00/100</v>
      </c>
      <c r="E24" s="121"/>
      <c r="F24" s="121"/>
      <c r="G24" s="121"/>
      <c r="H24" s="121"/>
      <c r="I24" s="121"/>
    </row>
    <row r="25" spans="1:11" x14ac:dyDescent="0.2">
      <c r="C25" s="27"/>
      <c r="D25" s="26"/>
      <c r="E25" s="16"/>
      <c r="F25" s="15"/>
    </row>
    <row r="26" spans="1:11" x14ac:dyDescent="0.2">
      <c r="C26" s="29"/>
      <c r="D26" s="28"/>
    </row>
    <row r="27" spans="1:11" ht="17" thickBot="1" x14ac:dyDescent="0.25">
      <c r="C27" s="33" t="s">
        <v>26</v>
      </c>
      <c r="D27" s="122"/>
      <c r="E27" s="122"/>
      <c r="F27" s="122"/>
      <c r="G27" s="122"/>
      <c r="H27" s="122"/>
      <c r="I27" s="122"/>
    </row>
  </sheetData>
  <mergeCells count="4">
    <mergeCell ref="B1:D1"/>
    <mergeCell ref="B2:D2"/>
    <mergeCell ref="D24:I24"/>
    <mergeCell ref="D27:I27"/>
  </mergeCells>
  <conditionalFormatting sqref="D9:D13">
    <cfRule type="expression" dxfId="131" priority="2">
      <formula>$G9=501</formula>
    </cfRule>
    <cfRule type="cellIs" dxfId="130" priority="5" operator="equal">
      <formula>0</formula>
    </cfRule>
  </conditionalFormatting>
  <conditionalFormatting sqref="G9:G13">
    <cfRule type="cellIs" dxfId="129" priority="3" operator="equal">
      <formula>503</formula>
    </cfRule>
    <cfRule type="cellIs" dxfId="128" priority="4" operator="equal">
      <formula>501</formula>
    </cfRule>
  </conditionalFormatting>
  <conditionalFormatting sqref="H9:H13">
    <cfRule type="cellIs" dxfId="127" priority="1" operator="lessThan">
      <formula>299</formula>
    </cfRule>
  </conditionalFormatting>
  <conditionalFormatting sqref="B9:B13">
    <cfRule type="duplicateValues" dxfId="125" priority="3051"/>
  </conditionalFormatting>
  <dataValidations count="6">
    <dataValidation type="list" allowBlank="1" showInputMessage="1" showErrorMessage="1" sqref="F9:F13" xr:uid="{FC61A826-CA54-0D4B-A6D1-CB1C0829F8CD}">
      <formula1>Cursos</formula1>
    </dataValidation>
    <dataValidation type="list" allowBlank="1" showInputMessage="1" showErrorMessage="1" sqref="B2:D2" xr:uid="{5A769793-9673-2349-9FFF-4C946AB0821A}">
      <formula1>Razones_Sociales</formula1>
    </dataValidation>
    <dataValidation type="date" allowBlank="1" showInputMessage="1" showErrorMessage="1" sqref="I9:I13" xr:uid="{1840AFC9-4340-D74A-837D-2943E9E04446}">
      <formula1>Periodo_De_Pago_Inicial_Gerente</formula1>
      <formula2>Periodo_De_Pago_Final_Gerente</formula2>
    </dataValidation>
    <dataValidation type="custom" allowBlank="1" showInputMessage="1" showErrorMessage="1" sqref="G9:G13" xr:uid="{40D47E77-7999-F54D-AE24-28B115858DA8}">
      <formula1>G9&lt;&gt;500</formula1>
    </dataValidation>
    <dataValidation type="list" allowBlank="1" showInputMessage="1" showErrorMessage="1" sqref="E9:E13" xr:uid="{6DDC0220-15A5-2043-BE10-46FC497579A5}">
      <formula1>Nombres_Planteles</formula1>
    </dataValidation>
    <dataValidation type="list" allowBlank="1" showInputMessage="1" showErrorMessage="1" sqref="B1" xr:uid="{709FA625-8A2F-C040-8EBF-9B0768DF4DF1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230840A8-A31A-4541-B7A4-19E010840FD4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28C7E4-4BF8-1542-B7E8-324F0C5DAD0C}">
          <x14:formula1>
            <xm:f>Planteles!$A$4:$A$15</xm:f>
          </x14:formula1>
          <xm:sqref>J9:J13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996A4-EEBE-B049-AB98-89BA80D84446}">
  <sheetPr codeName="Sheet20">
    <tabColor rgb="FF00B050"/>
    <pageSetUpPr fitToPage="1"/>
  </sheetPr>
  <dimension ref="A1:K27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8.1640625" style="13" bestFit="1" customWidth="1"/>
    <col min="6" max="6" width="12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88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COUNTIFS(Tabla_PromotorMIRIAM_TADEO[GRUPO],"&lt;&gt;",
Tabla_PromotorMIRIAM_TADEO[GRUPO],"&lt;&gt;503",
Tabla_PromotorMIRIAM_TADEO[GRUPO],"&lt;&gt;500",
Tabla_PromotorMIRIAM_TADEO[PAGO],"&gt;=299")</f>
        <v>3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73</v>
      </c>
      <c r="B9" s="126">
        <v>134691</v>
      </c>
      <c r="C9" s="126" t="s">
        <v>205</v>
      </c>
      <c r="D9" s="127">
        <f>IF(
    OR(
        Tabla_PromotorMIRIAM_TADEO[[#This Row],[GRUPO]] = "",
        Tabla_PromotorMIRIAM_TADEO[[#This Row],[GRUPO]] = 500,
        COUNTIF(Tabla_PromotorMIRIAM_TADEO[CREDENCIAL], Tabla_PromotorMIRIAM_TADEO[[#This Row],[CREDENCIAL]]) &gt; 1,
        COUNTIF(Tabla_Gerente[CREDENCIAL], Tabla_PromotorMIRIAM_TADEO[[#This Row],[CREDENCIAL]]) &gt; 1,
    ),
    0,
    IF(
        Tabla_PromotorMIRIAM_TADEO[[#This Row],[GRUPO]] = 503,
        Tabla_PromotorMIRIAM_TADEO[[#This Row],[PAGO]],
        IF(
            Tabla_PromotorMIRIAM_TADEO[[#This Row],[PAGO]] &gt;= 299,
            Tabla_PromotorMIRIAM_TADEO[[#This Row],[PAGO]] - 150,
            0
        )
    )
)</f>
        <v>299</v>
      </c>
      <c r="E9" s="126" t="s">
        <v>35</v>
      </c>
      <c r="F9" s="126" t="s">
        <v>315</v>
      </c>
      <c r="G9" s="128">
        <v>503</v>
      </c>
      <c r="H9" s="133">
        <f>IFERROR(VLOOKUP(Tabla_PromotorMIRIAM_TADEO[[#This Row],[CREDENCIAL]], Tabla_Gerente[[CREDENCIAL]:[PAGO]], 7, FALSE), 0)</f>
        <v>299</v>
      </c>
      <c r="I9" s="134">
        <v>45749</v>
      </c>
      <c r="J9" s="131"/>
      <c r="K9" s="131"/>
    </row>
    <row r="10" spans="1:11" x14ac:dyDescent="0.2">
      <c r="A10" s="125" t="s">
        <v>73</v>
      </c>
      <c r="B10" s="126">
        <v>134692</v>
      </c>
      <c r="C10" s="126" t="s">
        <v>206</v>
      </c>
      <c r="D10" s="127">
        <f>IF(
    OR(
        Tabla_PromotorMIRIAM_TADEO[[#This Row],[GRUPO]] = "",
        Tabla_PromotorMIRIAM_TADEO[[#This Row],[GRUPO]] = 500,
        COUNTIF(Tabla_PromotorMIRIAM_TADEO[CREDENCIAL], Tabla_PromotorMIRIAM_TADEO[[#This Row],[CREDENCIAL]]) &gt; 1,
        COUNTIF(Tabla_Gerente[CREDENCIAL], Tabla_PromotorMIRIAM_TADEO[[#This Row],[CREDENCIAL]]) &gt; 1,
    ),
    0,
    IF(
        Tabla_PromotorMIRIAM_TADEO[[#This Row],[GRUPO]] = 503,
        Tabla_PromotorMIRIAM_TADEO[[#This Row],[PAGO]],
        IF(
            Tabla_PromotorMIRIAM_TADEO[[#This Row],[PAGO]] &gt;= 299,
            Tabla_PromotorMIRIAM_TADEO[[#This Row],[PAGO]] - 150,
            0
        )
    )
)</f>
        <v>150</v>
      </c>
      <c r="E10" s="126" t="s">
        <v>23</v>
      </c>
      <c r="F10" s="126" t="s">
        <v>316</v>
      </c>
      <c r="G10" s="128">
        <v>1342</v>
      </c>
      <c r="H10" s="133">
        <f>IFERROR(VLOOKUP(Tabla_PromotorMIRIAM_TADEO[[#This Row],[CREDENCIAL]], Tabla_Gerente[[CREDENCIAL]:[PAGO]], 7, FALSE), 0)</f>
        <v>300</v>
      </c>
      <c r="I10" s="134">
        <v>45746</v>
      </c>
      <c r="J10" s="131"/>
      <c r="K10" s="131"/>
    </row>
    <row r="11" spans="1:11" x14ac:dyDescent="0.2">
      <c r="A11" s="125" t="s">
        <v>73</v>
      </c>
      <c r="B11" s="126">
        <v>134693</v>
      </c>
      <c r="C11" s="126" t="s">
        <v>207</v>
      </c>
      <c r="D11" s="127">
        <f>IF(
    OR(
        Tabla_PromotorMIRIAM_TADEO[[#This Row],[GRUPO]] = "",
        Tabla_PromotorMIRIAM_TADEO[[#This Row],[GRUPO]] = 500,
        COUNTIF(Tabla_PromotorMIRIAM_TADEO[CREDENCIAL], Tabla_PromotorMIRIAM_TADEO[[#This Row],[CREDENCIAL]]) &gt; 1,
        COUNTIF(Tabla_Gerente[CREDENCIAL], Tabla_PromotorMIRIAM_TADEO[[#This Row],[CREDENCIAL]]) &gt; 1,
    ),
    0,
    IF(
        Tabla_PromotorMIRIAM_TADEO[[#This Row],[GRUPO]] = 503,
        Tabla_PromotorMIRIAM_TADEO[[#This Row],[PAGO]],
        IF(
            Tabla_PromotorMIRIAM_TADEO[[#This Row],[PAGO]] &gt;= 299,
            Tabla_PromotorMIRIAM_TADEO[[#This Row],[PAGO]] - 150,
            0
        )
    )
)</f>
        <v>350</v>
      </c>
      <c r="E11" s="126" t="s">
        <v>23</v>
      </c>
      <c r="F11" s="126" t="s">
        <v>315</v>
      </c>
      <c r="G11" s="128">
        <v>503</v>
      </c>
      <c r="H11" s="133">
        <f>IFERROR(VLOOKUP(Tabla_PromotorMIRIAM_TADEO[[#This Row],[CREDENCIAL]], Tabla_Gerente[[CREDENCIAL]:[PAGO]], 7, FALSE), 0)</f>
        <v>350</v>
      </c>
      <c r="I11" s="134">
        <v>45749</v>
      </c>
      <c r="J11" s="131"/>
      <c r="K11" s="131"/>
    </row>
    <row r="12" spans="1:11" x14ac:dyDescent="0.2">
      <c r="A12" s="125" t="s">
        <v>73</v>
      </c>
      <c r="B12" s="126">
        <v>134694</v>
      </c>
      <c r="C12" s="126" t="s">
        <v>208</v>
      </c>
      <c r="D12" s="127">
        <f>IF(
    OR(
        Tabla_PromotorMIRIAM_TADEO[[#This Row],[GRUPO]] = "",
        Tabla_PromotorMIRIAM_TADEO[[#This Row],[GRUPO]] = 500,
        COUNTIF(Tabla_PromotorMIRIAM_TADEO[CREDENCIAL], Tabla_PromotorMIRIAM_TADEO[[#This Row],[CREDENCIAL]]) &gt; 1,
        COUNTIF(Tabla_Gerente[CREDENCIAL], Tabla_PromotorMIRIAM_TADEO[[#This Row],[CREDENCIAL]]) &gt; 1,
    ),
    0,
    IF(
        Tabla_PromotorMIRIAM_TADEO[[#This Row],[GRUPO]] = 503,
        Tabla_PromotorMIRIAM_TADEO[[#This Row],[PAGO]],
        IF(
            Tabla_PromotorMIRIAM_TADEO[[#This Row],[PAGO]] &gt;= 299,
            Tabla_PromotorMIRIAM_TADEO[[#This Row],[PAGO]] - 150,
            0
        )
    )
)</f>
        <v>200</v>
      </c>
      <c r="E12" s="126" t="s">
        <v>23</v>
      </c>
      <c r="F12" s="126" t="s">
        <v>316</v>
      </c>
      <c r="G12" s="128">
        <v>1342</v>
      </c>
      <c r="H12" s="133">
        <f>IFERROR(VLOOKUP(Tabla_PromotorMIRIAM_TADEO[[#This Row],[CREDENCIAL]], Tabla_Gerente[[CREDENCIAL]:[PAGO]], 7, FALSE), 0)</f>
        <v>350</v>
      </c>
      <c r="I12" s="134">
        <v>45746</v>
      </c>
      <c r="J12" s="131"/>
      <c r="K12" s="131"/>
    </row>
    <row r="13" spans="1:11" x14ac:dyDescent="0.2">
      <c r="A13" s="125" t="s">
        <v>73</v>
      </c>
      <c r="B13" s="126">
        <v>134695</v>
      </c>
      <c r="C13" s="126" t="s">
        <v>209</v>
      </c>
      <c r="D13" s="127">
        <f>IF(
    OR(
        Tabla_PromotorMIRIAM_TADEO[[#This Row],[GRUPO]] = "",
        Tabla_PromotorMIRIAM_TADEO[[#This Row],[GRUPO]] = 500,
        COUNTIF(Tabla_PromotorMIRIAM_TADEO[CREDENCIAL], Tabla_PromotorMIRIAM_TADEO[[#This Row],[CREDENCIAL]]) &gt; 1,
        COUNTIF(Tabla_Gerente[CREDENCIAL], Tabla_PromotorMIRIAM_TADEO[[#This Row],[CREDENCIAL]]) &gt; 1,
    ),
    0,
    IF(
        Tabla_PromotorMIRIAM_TADEO[[#This Row],[GRUPO]] = 503,
        Tabla_PromotorMIRIAM_TADEO[[#This Row],[PAGO]],
        IF(
            Tabla_PromotorMIRIAM_TADEO[[#This Row],[PAGO]] &gt;= 299,
            Tabla_PromotorMIRIAM_TADEO[[#This Row],[PAGO]] - 150,
            0
        )
    )
)</f>
        <v>250</v>
      </c>
      <c r="E13" s="126" t="s">
        <v>23</v>
      </c>
      <c r="F13" s="126" t="s">
        <v>317</v>
      </c>
      <c r="G13" s="128">
        <v>1342</v>
      </c>
      <c r="H13" s="133">
        <f>IFERROR(VLOOKUP(Tabla_PromotorMIRIAM_TADEO[[#This Row],[CREDENCIAL]], Tabla_Gerente[[CREDENCIAL]:[PAGO]], 7, FALSE), 0)</f>
        <v>400</v>
      </c>
      <c r="I13" s="134">
        <v>45749</v>
      </c>
      <c r="J13" s="131"/>
      <c r="K13" s="131"/>
    </row>
    <row r="14" spans="1:11" x14ac:dyDescent="0.2">
      <c r="A14" s="125" t="s">
        <v>50</v>
      </c>
      <c r="B14" s="126"/>
      <c r="C14" s="126"/>
      <c r="D14" s="127">
        <f>SUBTOTAL(109,Tabla_PromotorMIRIAM_TADEO[COMISION])</f>
        <v>1249</v>
      </c>
      <c r="E14" s="126"/>
      <c r="F14" s="126"/>
      <c r="G14" s="128"/>
      <c r="H14" s="133"/>
      <c r="I14" s="134"/>
      <c r="J14" s="131"/>
      <c r="K14" s="131"/>
    </row>
    <row r="15" spans="1:11" x14ac:dyDescent="0.2">
      <c r="A15" s="25"/>
      <c r="B15" s="14"/>
      <c r="C15" s="15"/>
      <c r="D15" s="52"/>
      <c r="E15" s="14"/>
      <c r="F15" s="14"/>
      <c r="G15" s="27"/>
      <c r="H15" s="53"/>
      <c r="I15" s="14"/>
      <c r="J15" s="16"/>
      <c r="K15" s="16"/>
    </row>
    <row r="16" spans="1:11" x14ac:dyDescent="0.2">
      <c r="A16" s="25" t="s">
        <v>13</v>
      </c>
      <c r="D16" s="68">
        <f>_xlfn.IFNA(VLOOKUP(Nombre_Promotor,Sueldos_Base[],2,FALSE),0)</f>
        <v>0</v>
      </c>
      <c r="E16" s="16"/>
      <c r="F16" s="15"/>
      <c r="H16" s="15"/>
      <c r="J16" s="24"/>
    </row>
    <row r="17" spans="1:11" ht="17" thickBot="1" x14ac:dyDescent="0.25">
      <c r="A17" s="37" t="s">
        <v>45</v>
      </c>
      <c r="B17" s="38">
        <f>IF(Total_Registros_Promotor &lt; Premios!A5, 0,
   VLOOKUP(Total_Registros_Promotor, Premios_Promotor[], 1, TRUE))</f>
        <v>0</v>
      </c>
      <c r="C17" s="34"/>
      <c r="D17" s="36">
        <f>IF(Premio_Promotor &gt; 0,
   VLOOKUP(Premio_Promotor, Premios_Promotor[],
      VLOOKUP(Total_Registros_Gerente, Tabulador_Premio_Promotor_Total_Gerencia[], 2, TRUE),
   FALSE),
   0)</f>
        <v>0</v>
      </c>
      <c r="E17" s="16"/>
      <c r="F17" s="15"/>
      <c r="H17" s="15"/>
      <c r="J17" s="24"/>
    </row>
    <row r="18" spans="1:11" x14ac:dyDescent="0.2">
      <c r="A18" s="27" t="s">
        <v>46</v>
      </c>
      <c r="B18" s="18"/>
      <c r="D18" s="28">
        <f>Tabla_PromotorMIRIAM_TADEO[[#Totals],[COMISION]] + Pago_Sueldo_Base_Promotor + Pago_Premio_Promotor</f>
        <v>1249</v>
      </c>
      <c r="E18" s="16"/>
      <c r="F18" s="15"/>
      <c r="H18" s="15"/>
      <c r="J18" s="24"/>
    </row>
    <row r="19" spans="1:11" x14ac:dyDescent="0.2">
      <c r="A19" s="27" t="s">
        <v>195</v>
      </c>
      <c r="B19" s="18"/>
      <c r="C19" s="29"/>
      <c r="D19" s="39">
        <f>_xlfn.IFNA(SUMIFS(Descuentos[DESCUENTO], Descuentos[COLABORADOR], Nombre_Promotor, Descuentos[PUESTO], Puesto_Promotor), 0)</f>
        <v>0</v>
      </c>
      <c r="E19" s="16" t="s">
        <v>121</v>
      </c>
      <c r="F19" s="15"/>
      <c r="H19" s="15"/>
      <c r="I19" s="18"/>
      <c r="J19" s="22"/>
      <c r="K19" s="22"/>
    </row>
    <row r="20" spans="1:11" ht="17" thickBot="1" x14ac:dyDescent="0.25">
      <c r="A20" s="35"/>
      <c r="C20" s="29"/>
      <c r="D20" s="28"/>
      <c r="E20" s="16"/>
      <c r="F20" s="15"/>
    </row>
    <row r="21" spans="1:11" ht="17" thickBot="1" x14ac:dyDescent="0.25">
      <c r="A21" s="37" t="s">
        <v>49</v>
      </c>
      <c r="B21" s="34"/>
      <c r="C21" s="49"/>
      <c r="D21" s="30">
        <f>Pago_Subtotal_Promotor + Descuento_Promotor</f>
        <v>1249</v>
      </c>
      <c r="E21" s="16"/>
      <c r="F21" s="15"/>
    </row>
    <row r="22" spans="1:11" x14ac:dyDescent="0.2">
      <c r="C22" s="29"/>
      <c r="D22" s="28"/>
      <c r="E22" s="26"/>
      <c r="F22" s="26"/>
    </row>
    <row r="23" spans="1:11" x14ac:dyDescent="0.2">
      <c r="C23" s="29"/>
      <c r="D23" s="28"/>
      <c r="E23" s="26"/>
      <c r="F23" s="26"/>
    </row>
    <row r="24" spans="1:11" ht="17" thickBot="1" x14ac:dyDescent="0.25">
      <c r="C24" s="37" t="s">
        <v>25</v>
      </c>
      <c r="D24" s="121" t="str" cm="1">
        <f t="array" ref="D24">NumeroATexto(Pago_Neto_Promotor)</f>
        <v>MIL DOSCIENTOS CUARENTA Y NUEVE PESOS 00/100</v>
      </c>
      <c r="E24" s="121"/>
      <c r="F24" s="121"/>
      <c r="G24" s="121"/>
      <c r="H24" s="121"/>
      <c r="I24" s="121"/>
    </row>
    <row r="25" spans="1:11" x14ac:dyDescent="0.2">
      <c r="C25" s="27"/>
      <c r="D25" s="26"/>
      <c r="E25" s="16"/>
      <c r="F25" s="15"/>
    </row>
    <row r="26" spans="1:11" x14ac:dyDescent="0.2">
      <c r="C26" s="29"/>
      <c r="D26" s="28"/>
    </row>
    <row r="27" spans="1:11" ht="17" thickBot="1" x14ac:dyDescent="0.25">
      <c r="C27" s="33" t="s">
        <v>26</v>
      </c>
      <c r="D27" s="122"/>
      <c r="E27" s="122"/>
      <c r="F27" s="122"/>
      <c r="G27" s="122"/>
      <c r="H27" s="122"/>
      <c r="I27" s="122"/>
    </row>
  </sheetData>
  <mergeCells count="4">
    <mergeCell ref="B1:D1"/>
    <mergeCell ref="B2:D2"/>
    <mergeCell ref="D24:I24"/>
    <mergeCell ref="D27:I27"/>
  </mergeCells>
  <conditionalFormatting sqref="D9:D13">
    <cfRule type="expression" dxfId="124" priority="2">
      <formula>$G9=501</formula>
    </cfRule>
    <cfRule type="cellIs" dxfId="123" priority="5" operator="equal">
      <formula>0</formula>
    </cfRule>
  </conditionalFormatting>
  <conditionalFormatting sqref="G9:G13">
    <cfRule type="cellIs" dxfId="122" priority="3" operator="equal">
      <formula>503</formula>
    </cfRule>
    <cfRule type="cellIs" dxfId="121" priority="4" operator="equal">
      <formula>501</formula>
    </cfRule>
  </conditionalFormatting>
  <conditionalFormatting sqref="H9:H13">
    <cfRule type="cellIs" dxfId="120" priority="1" operator="lessThan">
      <formula>299</formula>
    </cfRule>
  </conditionalFormatting>
  <conditionalFormatting sqref="B9:B13">
    <cfRule type="duplicateValues" dxfId="118" priority="3048"/>
  </conditionalFormatting>
  <dataValidations count="6">
    <dataValidation type="list" allowBlank="1" showInputMessage="1" showErrorMessage="1" sqref="F9:F13" xr:uid="{B97E2E1E-7633-2C45-9061-F81D6A0F3DB7}">
      <formula1>Cursos</formula1>
    </dataValidation>
    <dataValidation type="list" allowBlank="1" showInputMessage="1" showErrorMessage="1" sqref="B2:D2" xr:uid="{D6D0FEA9-A58F-FB4C-A4DF-4DA28CD144CF}">
      <formula1>Razones_Sociales</formula1>
    </dataValidation>
    <dataValidation type="date" allowBlank="1" showInputMessage="1" showErrorMessage="1" sqref="I9:I13" xr:uid="{C3671CBC-7F06-D344-9EC2-D90B54F27004}">
      <formula1>Periodo_De_Pago_Inicial_Gerente</formula1>
      <formula2>Periodo_De_Pago_Final_Gerente</formula2>
    </dataValidation>
    <dataValidation type="custom" allowBlank="1" showInputMessage="1" showErrorMessage="1" sqref="G9:G13" xr:uid="{A8123B57-4D65-4645-9017-D36DF47AF3C9}">
      <formula1>G9&lt;&gt;500</formula1>
    </dataValidation>
    <dataValidation type="list" allowBlank="1" showInputMessage="1" showErrorMessage="1" sqref="E9:E13" xr:uid="{C725449B-D1A5-C846-BC9F-8E78A3980162}">
      <formula1>Nombres_Planteles</formula1>
    </dataValidation>
    <dataValidation type="list" allowBlank="1" showInputMessage="1" showErrorMessage="1" sqref="B1" xr:uid="{D86B1A63-B71F-9749-971C-BD8BC3DFF37D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85CA69DD-5F27-5A42-A3D3-C248CDD8BFDE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A11942-5212-E24F-97D8-4B087F3943B5}">
          <x14:formula1>
            <xm:f>Planteles!$A$4:$A$15</xm:f>
          </x14:formula1>
          <xm:sqref>J9:J13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2CBEA-975A-9446-AAD4-A75209E4DC8E}">
  <sheetPr codeName="Sheet19">
    <tabColor rgb="FF00B050"/>
    <pageSetUpPr fitToPage="1"/>
  </sheetPr>
  <dimension ref="A1:K28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8.1640625" style="13" bestFit="1" customWidth="1"/>
    <col min="6" max="6" width="17.332031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83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COUNTIFS(Tabla_PromotorDAVID_HERNANDEZ[GRUPO],"&lt;&gt;",
Tabla_PromotorDAVID_HERNANDEZ[GRUPO],"&lt;&gt;503",
Tabla_PromotorDAVID_HERNANDEZ[GRUPO],"&lt;&gt;500",
Tabla_PromotorDAVID_HERNANDEZ[PAGO],"&gt;=299")</f>
        <v>6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74</v>
      </c>
      <c r="B9" s="126">
        <v>134686</v>
      </c>
      <c r="C9" s="126" t="s">
        <v>200</v>
      </c>
      <c r="D9" s="127">
        <f>IF(
    OR(
        Tabla_PromotorDAVID_HERNANDEZ[[#This Row],[GRUPO]] = "",
        Tabla_PromotorDAVID_HERNANDEZ[[#This Row],[GRUPO]] = 500,
        COUNTIF(Tabla_PromotorDAVID_HERNANDEZ[CREDENCIAL], Tabla_PromotorDAVID_HERNANDEZ[[#This Row],[CREDENCIAL]]) &gt; 1,
        COUNTIF(Tabla_Gerente[CREDENCIAL], Tabla_PromotorDAVID_HERNANDEZ[[#This Row],[CREDENCIAL]]) &gt; 1,
    ),
    0,
    IF(
        Tabla_PromotorDAVID_HERNANDEZ[[#This Row],[GRUPO]] = 503,
        Tabla_PromotorDAVID_HERNANDEZ[[#This Row],[PAGO]],
        IF(
            Tabla_PromotorDAVID_HERNANDEZ[[#This Row],[PAGO]] &gt;= 299,
            Tabla_PromotorDAVID_HERNANDEZ[[#This Row],[PAGO]] - 150,
            0
        )
    )
)</f>
        <v>150</v>
      </c>
      <c r="E9" s="126" t="s">
        <v>35</v>
      </c>
      <c r="F9" s="126" t="s">
        <v>311</v>
      </c>
      <c r="G9" s="128">
        <v>501</v>
      </c>
      <c r="H9" s="133">
        <f>IFERROR(VLOOKUP(Tabla_PromotorDAVID_HERNANDEZ[[#This Row],[CREDENCIAL]], Tabla_Gerente[[CREDENCIAL]:[PAGO]], 7, FALSE), 0)</f>
        <v>300</v>
      </c>
      <c r="I9" s="134">
        <v>45748</v>
      </c>
      <c r="J9" s="131"/>
      <c r="K9" s="131"/>
    </row>
    <row r="10" spans="1:11" x14ac:dyDescent="0.2">
      <c r="A10" s="125" t="s">
        <v>74</v>
      </c>
      <c r="B10" s="126">
        <v>134696</v>
      </c>
      <c r="C10" s="126" t="s">
        <v>210</v>
      </c>
      <c r="D10" s="127">
        <f>IF(
    OR(
        Tabla_PromotorDAVID_HERNANDEZ[[#This Row],[GRUPO]] = "",
        Tabla_PromotorDAVID_HERNANDEZ[[#This Row],[GRUPO]] = 500,
        COUNTIF(Tabla_PromotorDAVID_HERNANDEZ[CREDENCIAL], Tabla_PromotorDAVID_HERNANDEZ[[#This Row],[CREDENCIAL]]) &gt; 1,
        COUNTIF(Tabla_Gerente[CREDENCIAL], Tabla_PromotorDAVID_HERNANDEZ[[#This Row],[CREDENCIAL]]) &gt; 1,
    ),
    0,
    IF(
        Tabla_PromotorDAVID_HERNANDEZ[[#This Row],[GRUPO]] = 503,
        Tabla_PromotorDAVID_HERNANDEZ[[#This Row],[PAGO]],
        IF(
            Tabla_PromotorDAVID_HERNANDEZ[[#This Row],[PAGO]] &gt;= 299,
            Tabla_PromotorDAVID_HERNANDEZ[[#This Row],[PAGO]] - 150,
            0
        )
    )
)</f>
        <v>350</v>
      </c>
      <c r="E10" s="126" t="s">
        <v>23</v>
      </c>
      <c r="F10" s="126" t="s">
        <v>318</v>
      </c>
      <c r="G10" s="128">
        <v>1342</v>
      </c>
      <c r="H10" s="133">
        <f>IFERROR(VLOOKUP(Tabla_PromotorDAVID_HERNANDEZ[[#This Row],[CREDENCIAL]], Tabla_Gerente[[CREDENCIAL]:[PAGO]], 7, FALSE), 0)</f>
        <v>500</v>
      </c>
      <c r="I10" s="134">
        <v>45746</v>
      </c>
      <c r="J10" s="131"/>
      <c r="K10" s="131"/>
    </row>
    <row r="11" spans="1:11" x14ac:dyDescent="0.2">
      <c r="A11" s="125" t="s">
        <v>74</v>
      </c>
      <c r="B11" s="126">
        <v>134697</v>
      </c>
      <c r="C11" s="126" t="s">
        <v>211</v>
      </c>
      <c r="D11" s="127">
        <f>IF(
    OR(
        Tabla_PromotorDAVID_HERNANDEZ[[#This Row],[GRUPO]] = "",
        Tabla_PromotorDAVID_HERNANDEZ[[#This Row],[GRUPO]] = 500,
        COUNTIF(Tabla_PromotorDAVID_HERNANDEZ[CREDENCIAL], Tabla_PromotorDAVID_HERNANDEZ[[#This Row],[CREDENCIAL]]) &gt; 1,
        COUNTIF(Tabla_Gerente[CREDENCIAL], Tabla_PromotorDAVID_HERNANDEZ[[#This Row],[CREDENCIAL]]) &gt; 1,
    ),
    0,
    IF(
        Tabla_PromotorDAVID_HERNANDEZ[[#This Row],[GRUPO]] = 503,
        Tabla_PromotorDAVID_HERNANDEZ[[#This Row],[PAGO]],
        IF(
            Tabla_PromotorDAVID_HERNANDEZ[[#This Row],[PAGO]] &gt;= 299,
            Tabla_PromotorDAVID_HERNANDEZ[[#This Row],[PAGO]] - 150,
            0
        )
    )
)</f>
        <v>149</v>
      </c>
      <c r="E11" s="126" t="s">
        <v>23</v>
      </c>
      <c r="F11" s="126" t="s">
        <v>319</v>
      </c>
      <c r="G11" s="128">
        <v>505</v>
      </c>
      <c r="H11" s="133">
        <f>IFERROR(VLOOKUP(Tabla_PromotorDAVID_HERNANDEZ[[#This Row],[CREDENCIAL]], Tabla_Gerente[[CREDENCIAL]:[PAGO]], 7, FALSE), 0)</f>
        <v>299</v>
      </c>
      <c r="I11" s="134">
        <v>45743</v>
      </c>
      <c r="J11" s="131"/>
      <c r="K11" s="131"/>
    </row>
    <row r="12" spans="1:11" x14ac:dyDescent="0.2">
      <c r="A12" s="125" t="s">
        <v>74</v>
      </c>
      <c r="B12" s="126">
        <v>134698</v>
      </c>
      <c r="C12" s="126" t="s">
        <v>212</v>
      </c>
      <c r="D12" s="127">
        <f>IF(
    OR(
        Tabla_PromotorDAVID_HERNANDEZ[[#This Row],[GRUPO]] = "",
        Tabla_PromotorDAVID_HERNANDEZ[[#This Row],[GRUPO]] = 500,
        COUNTIF(Tabla_PromotorDAVID_HERNANDEZ[CREDENCIAL], Tabla_PromotorDAVID_HERNANDEZ[[#This Row],[CREDENCIAL]]) &gt; 1,
        COUNTIF(Tabla_Gerente[CREDENCIAL], Tabla_PromotorDAVID_HERNANDEZ[[#This Row],[CREDENCIAL]]) &gt; 1,
    ),
    0,
    IF(
        Tabla_PromotorDAVID_HERNANDEZ[[#This Row],[GRUPO]] = 503,
        Tabla_PromotorDAVID_HERNANDEZ[[#This Row],[PAGO]],
        IF(
            Tabla_PromotorDAVID_HERNANDEZ[[#This Row],[PAGO]] &gt;= 299,
            Tabla_PromotorDAVID_HERNANDEZ[[#This Row],[PAGO]] - 150,
            0
        )
    )
)</f>
        <v>150</v>
      </c>
      <c r="E12" s="126" t="s">
        <v>23</v>
      </c>
      <c r="F12" s="126" t="s">
        <v>318</v>
      </c>
      <c r="G12" s="128">
        <v>1342</v>
      </c>
      <c r="H12" s="133">
        <f>IFERROR(VLOOKUP(Tabla_PromotorDAVID_HERNANDEZ[[#This Row],[CREDENCIAL]], Tabla_Gerente[[CREDENCIAL]:[PAGO]], 7, FALSE), 0)</f>
        <v>300</v>
      </c>
      <c r="I12" s="134">
        <v>45746</v>
      </c>
      <c r="J12" s="131"/>
      <c r="K12" s="131"/>
    </row>
    <row r="13" spans="1:11" x14ac:dyDescent="0.2">
      <c r="A13" s="125" t="s">
        <v>74</v>
      </c>
      <c r="B13" s="126">
        <v>134699</v>
      </c>
      <c r="C13" s="126" t="s">
        <v>213</v>
      </c>
      <c r="D13" s="127">
        <f>IF(
    OR(
        Tabla_PromotorDAVID_HERNANDEZ[[#This Row],[GRUPO]] = "",
        Tabla_PromotorDAVID_HERNANDEZ[[#This Row],[GRUPO]] = 500,
        COUNTIF(Tabla_PromotorDAVID_HERNANDEZ[CREDENCIAL], Tabla_PromotorDAVID_HERNANDEZ[[#This Row],[CREDENCIAL]]) &gt; 1,
        COUNTIF(Tabla_Gerente[CREDENCIAL], Tabla_PromotorDAVID_HERNANDEZ[[#This Row],[CREDENCIAL]]) &gt; 1,
    ),
    0,
    IF(
        Tabla_PromotorDAVID_HERNANDEZ[[#This Row],[GRUPO]] = 503,
        Tabla_PromotorDAVID_HERNANDEZ[[#This Row],[PAGO]],
        IF(
            Tabla_PromotorDAVID_HERNANDEZ[[#This Row],[PAGO]] &gt;= 299,
            Tabla_PromotorDAVID_HERNANDEZ[[#This Row],[PAGO]] - 150,
            0
        )
    )
)</f>
        <v>200</v>
      </c>
      <c r="E13" s="126" t="s">
        <v>23</v>
      </c>
      <c r="F13" s="126" t="s">
        <v>322</v>
      </c>
      <c r="G13" s="128">
        <v>1342</v>
      </c>
      <c r="H13" s="133">
        <f>IFERROR(VLOOKUP(Tabla_PromotorDAVID_HERNANDEZ[[#This Row],[CREDENCIAL]], Tabla_Gerente[[CREDENCIAL]:[PAGO]], 7, FALSE), 0)</f>
        <v>350</v>
      </c>
      <c r="I13" s="134">
        <v>45744</v>
      </c>
      <c r="J13" s="131"/>
      <c r="K13" s="131"/>
    </row>
    <row r="14" spans="1:11" x14ac:dyDescent="0.2">
      <c r="A14" s="125" t="s">
        <v>74</v>
      </c>
      <c r="B14" s="126">
        <v>134700</v>
      </c>
      <c r="C14" s="126" t="s">
        <v>214</v>
      </c>
      <c r="D14" s="127">
        <f>IF(
    OR(
        Tabla_PromotorDAVID_HERNANDEZ[[#This Row],[GRUPO]] = "",
        Tabla_PromotorDAVID_HERNANDEZ[[#This Row],[GRUPO]] = 500,
        COUNTIF(Tabla_PromotorDAVID_HERNANDEZ[CREDENCIAL], Tabla_PromotorDAVID_HERNANDEZ[[#This Row],[CREDENCIAL]]) &gt; 1,
        COUNTIF(Tabla_Gerente[CREDENCIAL], Tabla_PromotorDAVID_HERNANDEZ[[#This Row],[CREDENCIAL]]) &gt; 1,
    ),
    0,
    IF(
        Tabla_PromotorDAVID_HERNANDEZ[[#This Row],[GRUPO]] = 503,
        Tabla_PromotorDAVID_HERNANDEZ[[#This Row],[PAGO]],
        IF(
            Tabla_PromotorDAVID_HERNANDEZ[[#This Row],[PAGO]] &gt;= 299,
            Tabla_PromotorDAVID_HERNANDEZ[[#This Row],[PAGO]] - 150,
            0
        )
    )
)</f>
        <v>200</v>
      </c>
      <c r="E14" s="126" t="s">
        <v>23</v>
      </c>
      <c r="F14" s="126" t="s">
        <v>311</v>
      </c>
      <c r="G14" s="128">
        <v>1342</v>
      </c>
      <c r="H14" s="133">
        <f>IFERROR(VLOOKUP(Tabla_PromotorDAVID_HERNANDEZ[[#This Row],[CREDENCIAL]], Tabla_Gerente[[CREDENCIAL]:[PAGO]], 7, FALSE), 0)</f>
        <v>350</v>
      </c>
      <c r="I14" s="134">
        <v>45746</v>
      </c>
      <c r="J14" s="131"/>
      <c r="K14" s="131"/>
    </row>
    <row r="15" spans="1:11" x14ac:dyDescent="0.2">
      <c r="A15" s="125" t="s">
        <v>50</v>
      </c>
      <c r="B15" s="126"/>
      <c r="C15" s="126"/>
      <c r="D15" s="127">
        <f>SUBTOTAL(109,Tabla_PromotorDAVID_HERNANDEZ[COMISION])</f>
        <v>1199</v>
      </c>
      <c r="E15" s="126"/>
      <c r="F15" s="126"/>
      <c r="G15" s="128"/>
      <c r="H15" s="133"/>
      <c r="I15" s="134"/>
      <c r="J15" s="131"/>
      <c r="K15" s="131"/>
    </row>
    <row r="16" spans="1:11" x14ac:dyDescent="0.2">
      <c r="A16" s="25"/>
      <c r="B16" s="14"/>
      <c r="C16" s="15"/>
      <c r="D16" s="52"/>
      <c r="E16" s="14"/>
      <c r="F16" s="14"/>
      <c r="G16" s="27"/>
      <c r="H16" s="53"/>
      <c r="I16" s="14"/>
      <c r="J16" s="16"/>
      <c r="K16" s="16"/>
    </row>
    <row r="17" spans="1:11" x14ac:dyDescent="0.2">
      <c r="A17" s="25" t="s">
        <v>13</v>
      </c>
      <c r="D17" s="68">
        <f>_xlfn.IFNA(VLOOKUP(Nombre_Promotor,Sueldos_Base[],2,FALSE),0)</f>
        <v>0</v>
      </c>
      <c r="E17" s="16"/>
      <c r="F17" s="15"/>
      <c r="H17" s="15"/>
      <c r="J17" s="24"/>
    </row>
    <row r="18" spans="1:11" ht="17" thickBot="1" x14ac:dyDescent="0.25">
      <c r="A18" s="37" t="s">
        <v>45</v>
      </c>
      <c r="B18" s="38">
        <f>IF(Total_Registros_Promotor &lt; Premios!A5, 0,
   VLOOKUP(Total_Registros_Promotor, Premios_Promotor[], 1, TRUE))</f>
        <v>6</v>
      </c>
      <c r="C18" s="34"/>
      <c r="D18" s="36">
        <f>IF(Premio_Promotor &gt; 0,
   VLOOKUP(Premio_Promotor, Premios_Promotor[],
      VLOOKUP(Total_Registros_Gerente, Tabulador_Premio_Promotor_Total_Gerencia[], 2, TRUE),
   FALSE),
   0)</f>
        <v>800</v>
      </c>
      <c r="E18" s="16"/>
      <c r="F18" s="15"/>
      <c r="H18" s="15"/>
      <c r="J18" s="24"/>
    </row>
    <row r="19" spans="1:11" x14ac:dyDescent="0.2">
      <c r="A19" s="27" t="s">
        <v>46</v>
      </c>
      <c r="B19" s="18"/>
      <c r="D19" s="28">
        <f>Tabla_PromotorDAVID_HERNANDEZ[[#Totals],[COMISION]] + Pago_Sueldo_Base_Promotor + Pago_Premio_Promotor</f>
        <v>1999</v>
      </c>
      <c r="E19" s="16"/>
      <c r="F19" s="15"/>
      <c r="H19" s="15"/>
      <c r="J19" s="24"/>
    </row>
    <row r="20" spans="1:11" x14ac:dyDescent="0.2">
      <c r="A20" s="27" t="s">
        <v>195</v>
      </c>
      <c r="B20" s="18"/>
      <c r="C20" s="29"/>
      <c r="D20" s="39">
        <f>_xlfn.IFNA(SUMIFS(Descuentos[DESCUENTO], Descuentos[COLABORADOR], Nombre_Promotor, Descuentos[PUESTO], Puesto_Promotor), 0)</f>
        <v>0</v>
      </c>
      <c r="E20" s="16" t="s">
        <v>121</v>
      </c>
      <c r="F20" s="15"/>
      <c r="H20" s="15"/>
      <c r="I20" s="18"/>
      <c r="J20" s="22"/>
      <c r="K20" s="22"/>
    </row>
    <row r="21" spans="1:11" ht="17" thickBot="1" x14ac:dyDescent="0.25">
      <c r="A21" s="35"/>
      <c r="C21" s="29"/>
      <c r="D21" s="28"/>
      <c r="E21" s="16"/>
      <c r="F21" s="15"/>
    </row>
    <row r="22" spans="1:11" ht="17" thickBot="1" x14ac:dyDescent="0.25">
      <c r="A22" s="37" t="s">
        <v>49</v>
      </c>
      <c r="B22" s="34"/>
      <c r="C22" s="49"/>
      <c r="D22" s="30">
        <f>Pago_Subtotal_Promotor + Descuento_Promotor</f>
        <v>1999</v>
      </c>
      <c r="E22" s="16"/>
      <c r="F22" s="15"/>
    </row>
    <row r="23" spans="1:11" x14ac:dyDescent="0.2">
      <c r="C23" s="29"/>
      <c r="D23" s="28"/>
      <c r="E23" s="26"/>
      <c r="F23" s="26"/>
    </row>
    <row r="24" spans="1:11" x14ac:dyDescent="0.2">
      <c r="C24" s="29"/>
      <c r="D24" s="28"/>
      <c r="E24" s="26"/>
      <c r="F24" s="26"/>
    </row>
    <row r="25" spans="1:11" ht="17" thickBot="1" x14ac:dyDescent="0.25">
      <c r="C25" s="37" t="s">
        <v>25</v>
      </c>
      <c r="D25" s="121" t="str" cm="1">
        <f t="array" ref="D25">NumeroATexto(Pago_Neto_Promotor)</f>
        <v>MIL NOVECIENTOS NOVENTA Y NUEVE PESOS 00/100</v>
      </c>
      <c r="E25" s="121"/>
      <c r="F25" s="121"/>
      <c r="G25" s="121"/>
      <c r="H25" s="121"/>
      <c r="I25" s="121"/>
    </row>
    <row r="26" spans="1:11" x14ac:dyDescent="0.2">
      <c r="C26" s="27"/>
      <c r="D26" s="26"/>
      <c r="E26" s="16"/>
      <c r="F26" s="15"/>
    </row>
    <row r="27" spans="1:11" x14ac:dyDescent="0.2">
      <c r="C27" s="29"/>
      <c r="D27" s="28"/>
    </row>
    <row r="28" spans="1:11" ht="17" thickBot="1" x14ac:dyDescent="0.25">
      <c r="C28" s="33" t="s">
        <v>26</v>
      </c>
      <c r="D28" s="122"/>
      <c r="E28" s="122"/>
      <c r="F28" s="122"/>
      <c r="G28" s="122"/>
      <c r="H28" s="122"/>
      <c r="I28" s="122"/>
    </row>
  </sheetData>
  <mergeCells count="4">
    <mergeCell ref="B1:D1"/>
    <mergeCell ref="B2:D2"/>
    <mergeCell ref="D25:I25"/>
    <mergeCell ref="D28:I28"/>
  </mergeCells>
  <conditionalFormatting sqref="D9:D14">
    <cfRule type="expression" dxfId="117" priority="2">
      <formula>$G9=501</formula>
    </cfRule>
    <cfRule type="cellIs" dxfId="116" priority="5" operator="equal">
      <formula>0</formula>
    </cfRule>
  </conditionalFormatting>
  <conditionalFormatting sqref="G9:G14">
    <cfRule type="cellIs" dxfId="115" priority="3" operator="equal">
      <formula>503</formula>
    </cfRule>
    <cfRule type="cellIs" dxfId="114" priority="4" operator="equal">
      <formula>501</formula>
    </cfRule>
  </conditionalFormatting>
  <conditionalFormatting sqref="H9:H14">
    <cfRule type="cellIs" dxfId="113" priority="1" operator="lessThan">
      <formula>299</formula>
    </cfRule>
  </conditionalFormatting>
  <conditionalFormatting sqref="B9:B14">
    <cfRule type="duplicateValues" dxfId="111" priority="3045"/>
  </conditionalFormatting>
  <dataValidations count="6">
    <dataValidation type="list" allowBlank="1" showInputMessage="1" showErrorMessage="1" sqref="F9:F14" xr:uid="{D2083464-C001-E847-9D83-6415A6A73A27}">
      <formula1>Cursos</formula1>
    </dataValidation>
    <dataValidation type="list" allowBlank="1" showInputMessage="1" showErrorMessage="1" sqref="B2:D2" xr:uid="{963CE1D6-07B4-1148-8A2B-06A75BA35F8D}">
      <formula1>Razones_Sociales</formula1>
    </dataValidation>
    <dataValidation type="date" allowBlank="1" showInputMessage="1" showErrorMessage="1" sqref="I9:I14" xr:uid="{44A81D3F-1BE0-B941-8778-5B25B8E206E2}">
      <formula1>Periodo_De_Pago_Inicial_Gerente</formula1>
      <formula2>Periodo_De_Pago_Final_Gerente</formula2>
    </dataValidation>
    <dataValidation type="custom" allowBlank="1" showInputMessage="1" showErrorMessage="1" sqref="G9:G14" xr:uid="{B9D13637-6F25-5B4C-BA4A-AB62A0C103C0}">
      <formula1>G9&lt;&gt;500</formula1>
    </dataValidation>
    <dataValidation type="list" allowBlank="1" showInputMessage="1" showErrorMessage="1" sqref="E9:E14" xr:uid="{A50CF2F8-3444-4E46-B0A9-064F2C8C831F}">
      <formula1>Nombres_Planteles</formula1>
    </dataValidation>
    <dataValidation type="list" allowBlank="1" showInputMessage="1" showErrorMessage="1" sqref="B1" xr:uid="{975160B4-E534-D747-99D1-23010B81E143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394FDAD4-9A58-BC45-B6C8-AFA180000988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864A0C-E843-ED48-9270-E2CA427BBD69}">
          <x14:formula1>
            <xm:f>Planteles!$A$4:$A$15</xm:f>
          </x14:formula1>
          <xm:sqref>J9:J14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6D295-C0B8-A04D-95CA-D3AF8C55B0FE}">
  <sheetPr codeName="Sheet18">
    <tabColor rgb="FF00B050"/>
    <pageSetUpPr fitToPage="1"/>
  </sheetPr>
  <dimension ref="A1:K24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4.6640625" style="13" bestFit="1" customWidth="1"/>
    <col min="6" max="6" width="12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86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COUNTIFS(Tabla_PromotorMARIANA_SANCHEZ[GRUPO],"&lt;&gt;",
Tabla_PromotorMARIANA_SANCHEZ[GRUPO],"&lt;&gt;503",
Tabla_PromotorMARIANA_SANCHEZ[GRUPO],"&lt;&gt;500",
Tabla_PromotorMARIANA_SANCHEZ[PAGO],"&gt;=299")</f>
        <v>2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75</v>
      </c>
      <c r="B9" s="126">
        <v>134711</v>
      </c>
      <c r="C9" s="126" t="s">
        <v>225</v>
      </c>
      <c r="D9" s="127">
        <f>IF(
    OR(
        Tabla_PromotorMARIANA_SANCHEZ[[#This Row],[GRUPO]] = "",
        Tabla_PromotorMARIANA_SANCHEZ[[#This Row],[GRUPO]] = 500,
        COUNTIF(Tabla_PromotorMARIANA_SANCHEZ[CREDENCIAL], Tabla_PromotorMARIANA_SANCHEZ[[#This Row],[CREDENCIAL]]) &gt; 1,
        COUNTIF(Tabla_Gerente[CREDENCIAL], Tabla_PromotorMARIANA_SANCHEZ[[#This Row],[CREDENCIAL]]) &gt; 1,
    ),
    0,
    IF(
        Tabla_PromotorMARIANA_SANCHEZ[[#This Row],[GRUPO]] = 503,
        Tabla_PromotorMARIANA_SANCHEZ[[#This Row],[PAGO]],
        IF(
            Tabla_PromotorMARIANA_SANCHEZ[[#This Row],[PAGO]] &gt;= 299,
            Tabla_PromotorMARIANA_SANCHEZ[[#This Row],[PAGO]] - 150,
            0
        )
    )
)</f>
        <v>200</v>
      </c>
      <c r="E9" s="126" t="s">
        <v>42</v>
      </c>
      <c r="F9" s="126" t="s">
        <v>316</v>
      </c>
      <c r="G9" s="128">
        <v>1342</v>
      </c>
      <c r="H9" s="133">
        <f>IFERROR(VLOOKUP(Tabla_PromotorMARIANA_SANCHEZ[[#This Row],[CREDENCIAL]], Tabla_Gerente[[CREDENCIAL]:[PAGO]], 7, FALSE), 0)</f>
        <v>350</v>
      </c>
      <c r="I9" s="134">
        <v>45744</v>
      </c>
      <c r="J9" s="131"/>
      <c r="K9" s="131"/>
    </row>
    <row r="10" spans="1:11" x14ac:dyDescent="0.2">
      <c r="A10" s="125" t="s">
        <v>75</v>
      </c>
      <c r="B10" s="126">
        <v>134712</v>
      </c>
      <c r="C10" s="126" t="s">
        <v>226</v>
      </c>
      <c r="D10" s="127">
        <f>IF(
    OR(
        Tabla_PromotorMARIANA_SANCHEZ[[#This Row],[GRUPO]] = "",
        Tabla_PromotorMARIANA_SANCHEZ[[#This Row],[GRUPO]] = 500,
        COUNTIF(Tabla_PromotorMARIANA_SANCHEZ[CREDENCIAL], Tabla_PromotorMARIANA_SANCHEZ[[#This Row],[CREDENCIAL]]) &gt; 1,
        COUNTIF(Tabla_Gerente[CREDENCIAL], Tabla_PromotorMARIANA_SANCHEZ[[#This Row],[CREDENCIAL]]) &gt; 1,
    ),
    0,
    IF(
        Tabla_PromotorMARIANA_SANCHEZ[[#This Row],[GRUPO]] = 503,
        Tabla_PromotorMARIANA_SANCHEZ[[#This Row],[PAGO]],
        IF(
            Tabla_PromotorMARIANA_SANCHEZ[[#This Row],[PAGO]] &gt;= 299,
            Tabla_PromotorMARIANA_SANCHEZ[[#This Row],[PAGO]] - 150,
            0
        )
    )
)</f>
        <v>250</v>
      </c>
      <c r="E10" s="126" t="s">
        <v>42</v>
      </c>
      <c r="F10" s="126" t="s">
        <v>317</v>
      </c>
      <c r="G10" s="128">
        <v>1342</v>
      </c>
      <c r="H10" s="133">
        <f>IFERROR(VLOOKUP(Tabla_PromotorMARIANA_SANCHEZ[[#This Row],[CREDENCIAL]], Tabla_Gerente[[CREDENCIAL]:[PAGO]], 7, FALSE), 0)</f>
        <v>400</v>
      </c>
      <c r="I10" s="134">
        <v>45746</v>
      </c>
      <c r="J10" s="131"/>
      <c r="K10" s="131"/>
    </row>
    <row r="11" spans="1:11" x14ac:dyDescent="0.2">
      <c r="A11" s="125" t="s">
        <v>50</v>
      </c>
      <c r="B11" s="126"/>
      <c r="C11" s="126"/>
      <c r="D11" s="127">
        <f>SUBTOTAL(109,Tabla_PromotorMARIANA_SANCHEZ[COMISION])</f>
        <v>450</v>
      </c>
      <c r="E11" s="126"/>
      <c r="F11" s="126"/>
      <c r="G11" s="128"/>
      <c r="H11" s="133"/>
      <c r="I11" s="134"/>
      <c r="J11" s="131"/>
      <c r="K11" s="131"/>
    </row>
    <row r="12" spans="1:11" x14ac:dyDescent="0.2">
      <c r="A12" s="25"/>
      <c r="B12" s="14"/>
      <c r="C12" s="15"/>
      <c r="D12" s="52"/>
      <c r="E12" s="14"/>
      <c r="F12" s="14"/>
      <c r="G12" s="27"/>
      <c r="H12" s="53"/>
      <c r="I12" s="14"/>
      <c r="J12" s="16"/>
      <c r="K12" s="16"/>
    </row>
    <row r="13" spans="1:11" x14ac:dyDescent="0.2">
      <c r="A13" s="25" t="s">
        <v>13</v>
      </c>
      <c r="D13" s="68">
        <f>_xlfn.IFNA(VLOOKUP(Nombre_Promotor,Sueldos_Base[],2,FALSE),0)</f>
        <v>700</v>
      </c>
      <c r="E13" s="16"/>
      <c r="F13" s="15"/>
      <c r="H13" s="15"/>
      <c r="J13" s="24"/>
    </row>
    <row r="14" spans="1:11" ht="17" thickBot="1" x14ac:dyDescent="0.25">
      <c r="A14" s="37" t="s">
        <v>45</v>
      </c>
      <c r="B14" s="38">
        <f>IF(Total_Registros_Promotor &lt; Premios!A5, 0,
   VLOOKUP(Total_Registros_Promotor, Premios_Promotor[], 1, TRUE))</f>
        <v>0</v>
      </c>
      <c r="C14" s="34"/>
      <c r="D14" s="36">
        <f>IF(Premio_Promotor &gt; 0,
   VLOOKUP(Premio_Promotor, Premios_Promotor[],
      VLOOKUP(Total_Registros_Gerente, Tabulador_Premio_Promotor_Total_Gerencia[], 2, TRUE),
   FALSE),
   0)</f>
        <v>0</v>
      </c>
      <c r="E14" s="16"/>
      <c r="F14" s="15"/>
      <c r="H14" s="15"/>
      <c r="J14" s="24"/>
    </row>
    <row r="15" spans="1:11" x14ac:dyDescent="0.2">
      <c r="A15" s="27" t="s">
        <v>46</v>
      </c>
      <c r="B15" s="18"/>
      <c r="D15" s="28">
        <f>Tabla_PromotorMARIANA_SANCHEZ[[#Totals],[COMISION]] + Pago_Sueldo_Base_Promotor + Pago_Premio_Promotor</f>
        <v>1150</v>
      </c>
      <c r="E15" s="16"/>
      <c r="F15" s="15"/>
      <c r="H15" s="15"/>
      <c r="J15" s="24"/>
    </row>
    <row r="16" spans="1:11" x14ac:dyDescent="0.2">
      <c r="A16" s="27" t="s">
        <v>195</v>
      </c>
      <c r="B16" s="18"/>
      <c r="C16" s="29"/>
      <c r="D16" s="39">
        <f>_xlfn.IFNA(SUMIFS(Descuentos[DESCUENTO], Descuentos[COLABORADOR], Nombre_Promotor, Descuentos[PUESTO], Puesto_Promotor), 0)</f>
        <v>0</v>
      </c>
      <c r="E16" s="16" t="s">
        <v>121</v>
      </c>
      <c r="F16" s="15"/>
      <c r="H16" s="15"/>
      <c r="I16" s="18"/>
      <c r="J16" s="22"/>
      <c r="K16" s="22"/>
    </row>
    <row r="17" spans="1:9" ht="17" thickBot="1" x14ac:dyDescent="0.25">
      <c r="A17" s="35"/>
      <c r="C17" s="29"/>
      <c r="D17" s="28"/>
      <c r="E17" s="16"/>
      <c r="F17" s="15"/>
    </row>
    <row r="18" spans="1:9" ht="17" thickBot="1" x14ac:dyDescent="0.25">
      <c r="A18" s="37" t="s">
        <v>49</v>
      </c>
      <c r="B18" s="34"/>
      <c r="C18" s="49"/>
      <c r="D18" s="30">
        <f>Pago_Subtotal_Promotor + Descuento_Promotor</f>
        <v>1150</v>
      </c>
      <c r="E18" s="16"/>
      <c r="F18" s="15"/>
    </row>
    <row r="19" spans="1:9" x14ac:dyDescent="0.2">
      <c r="C19" s="29"/>
      <c r="D19" s="28"/>
      <c r="E19" s="26"/>
      <c r="F19" s="26"/>
    </row>
    <row r="20" spans="1:9" x14ac:dyDescent="0.2">
      <c r="C20" s="29"/>
      <c r="D20" s="28"/>
      <c r="E20" s="26"/>
      <c r="F20" s="26"/>
    </row>
    <row r="21" spans="1:9" ht="17" thickBot="1" x14ac:dyDescent="0.25">
      <c r="C21" s="37" t="s">
        <v>25</v>
      </c>
      <c r="D21" s="121" t="str" cm="1">
        <f t="array" ref="D21">NumeroATexto(Pago_Neto_Promotor)</f>
        <v>MIL CIENTO CINCUENTA PESOS 00/100</v>
      </c>
      <c r="E21" s="121"/>
      <c r="F21" s="121"/>
      <c r="G21" s="121"/>
      <c r="H21" s="121"/>
      <c r="I21" s="121"/>
    </row>
    <row r="22" spans="1:9" x14ac:dyDescent="0.2">
      <c r="C22" s="27"/>
      <c r="D22" s="26"/>
      <c r="E22" s="16"/>
      <c r="F22" s="15"/>
    </row>
    <row r="23" spans="1:9" x14ac:dyDescent="0.2">
      <c r="C23" s="29"/>
      <c r="D23" s="28"/>
    </row>
    <row r="24" spans="1:9" ht="17" thickBot="1" x14ac:dyDescent="0.25">
      <c r="C24" s="33" t="s">
        <v>26</v>
      </c>
      <c r="D24" s="122"/>
      <c r="E24" s="122"/>
      <c r="F24" s="122"/>
      <c r="G24" s="122"/>
      <c r="H24" s="122"/>
      <c r="I24" s="122"/>
    </row>
  </sheetData>
  <mergeCells count="4">
    <mergeCell ref="B1:D1"/>
    <mergeCell ref="B2:D2"/>
    <mergeCell ref="D21:I21"/>
    <mergeCell ref="D24:I24"/>
  </mergeCells>
  <conditionalFormatting sqref="D9:D10">
    <cfRule type="expression" dxfId="110" priority="2">
      <formula>$G9=501</formula>
    </cfRule>
    <cfRule type="cellIs" dxfId="109" priority="5" operator="equal">
      <formula>0</formula>
    </cfRule>
  </conditionalFormatting>
  <conditionalFormatting sqref="G9:G10">
    <cfRule type="cellIs" dxfId="108" priority="3" operator="equal">
      <formula>503</formula>
    </cfRule>
    <cfRule type="cellIs" dxfId="107" priority="4" operator="equal">
      <formula>501</formula>
    </cfRule>
  </conditionalFormatting>
  <conditionalFormatting sqref="H9:H10">
    <cfRule type="cellIs" dxfId="106" priority="1" operator="lessThan">
      <formula>299</formula>
    </cfRule>
  </conditionalFormatting>
  <conditionalFormatting sqref="B9:B10">
    <cfRule type="duplicateValues" dxfId="104" priority="3042"/>
  </conditionalFormatting>
  <dataValidations count="6">
    <dataValidation type="list" allowBlank="1" showInputMessage="1" showErrorMessage="1" sqref="F9:F10" xr:uid="{A9BD0A43-99C4-5043-93A6-B0452109069A}">
      <formula1>Cursos</formula1>
    </dataValidation>
    <dataValidation type="list" allowBlank="1" showInputMessage="1" showErrorMessage="1" sqref="B2:D2" xr:uid="{9476CA4B-2BED-064F-A1FB-E86CCFC06A65}">
      <formula1>Razones_Sociales</formula1>
    </dataValidation>
    <dataValidation type="date" allowBlank="1" showInputMessage="1" showErrorMessage="1" sqref="I9:I10" xr:uid="{FF092127-2E78-EA45-A407-896F1B749CEF}">
      <formula1>Periodo_De_Pago_Inicial_Gerente</formula1>
      <formula2>Periodo_De_Pago_Final_Gerente</formula2>
    </dataValidation>
    <dataValidation type="custom" allowBlank="1" showInputMessage="1" showErrorMessage="1" sqref="G9:G10" xr:uid="{5315A6D8-CD05-2D48-A6CA-EFFD6FA95086}">
      <formula1>G9&lt;&gt;500</formula1>
    </dataValidation>
    <dataValidation type="list" allowBlank="1" showInputMessage="1" showErrorMessage="1" sqref="E9:E10" xr:uid="{85783DDF-9BB7-BD41-A867-8424D38F762B}">
      <formula1>Nombres_Planteles</formula1>
    </dataValidation>
    <dataValidation type="list" allowBlank="1" showInputMessage="1" showErrorMessage="1" sqref="B1" xr:uid="{9DE37B38-2BB5-5740-AC8A-27270A2D7769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10008914-2234-E742-AFBA-C3233F9CD4CB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7D88BF-A711-514C-8592-C346B1C4D27C}">
          <x14:formula1>
            <xm:f>Planteles!$A$4:$A$15</xm:f>
          </x14:formula1>
          <xm:sqref>J9:J10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76C8-D6D4-5142-8C11-1BE7017D4CF9}">
  <sheetPr codeName="Sheet17">
    <tabColor rgb="FF00B050"/>
    <pageSetUpPr fitToPage="1"/>
  </sheetPr>
  <dimension ref="A1:K27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4.6640625" style="13" bestFit="1" customWidth="1"/>
    <col min="6" max="6" width="12.66406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85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COUNTIFS(Tabla_PromotorJOSUE_SIERRA[GRUPO],"&lt;&gt;",
Tabla_PromotorJOSUE_SIERRA[GRUPO],"&lt;&gt;503",
Tabla_PromotorJOSUE_SIERRA[GRUPO],"&lt;&gt;500",
Tabla_PromotorJOSUE_SIERRA[PAGO],"&gt;=299")</f>
        <v>5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66</v>
      </c>
      <c r="B9" s="126">
        <v>134706</v>
      </c>
      <c r="C9" s="126" t="s">
        <v>220</v>
      </c>
      <c r="D9" s="127">
        <f>IF(
    OR(
        Tabla_PromotorJOSUE_SIERRA[[#This Row],[GRUPO]] = "",
        Tabla_PromotorJOSUE_SIERRA[[#This Row],[GRUPO]] = 500,
        COUNTIF(Tabla_PromotorJOSUE_SIERRA[CREDENCIAL], Tabla_PromotorJOSUE_SIERRA[[#This Row],[CREDENCIAL]]) &gt; 1,
        COUNTIF(Tabla_Gerente[CREDENCIAL], Tabla_PromotorJOSUE_SIERRA[[#This Row],[CREDENCIAL]]) &gt; 1,
    ),
    0,
    IF(
        Tabla_PromotorJOSUE_SIERRA[[#This Row],[GRUPO]] = 503,
        Tabla_PromotorJOSUE_SIERRA[[#This Row],[PAGO]],
        IF(
            Tabla_PromotorJOSUE_SIERRA[[#This Row],[PAGO]] &gt;= 299,
            Tabla_PromotorJOSUE_SIERRA[[#This Row],[PAGO]] - 150,
            0
        )
    )
)</f>
        <v>200</v>
      </c>
      <c r="E9" s="126" t="s">
        <v>42</v>
      </c>
      <c r="F9" s="126" t="s">
        <v>311</v>
      </c>
      <c r="G9" s="128">
        <v>1342</v>
      </c>
      <c r="H9" s="133">
        <f>IFERROR(VLOOKUP(Tabla_PromotorJOSUE_SIERRA[[#This Row],[CREDENCIAL]], Tabla_Gerente[[CREDENCIAL]:[PAGO]], 7, FALSE), 0)</f>
        <v>350</v>
      </c>
      <c r="I9" s="134">
        <v>45744</v>
      </c>
      <c r="J9" s="131"/>
      <c r="K9" s="131"/>
    </row>
    <row r="10" spans="1:11" x14ac:dyDescent="0.2">
      <c r="A10" s="125" t="s">
        <v>66</v>
      </c>
      <c r="B10" s="126">
        <v>134707</v>
      </c>
      <c r="C10" s="126" t="s">
        <v>221</v>
      </c>
      <c r="D10" s="127">
        <f>IF(
    OR(
        Tabla_PromotorJOSUE_SIERRA[[#This Row],[GRUPO]] = "",
        Tabla_PromotorJOSUE_SIERRA[[#This Row],[GRUPO]] = 500,
        COUNTIF(Tabla_PromotorJOSUE_SIERRA[CREDENCIAL], Tabla_PromotorJOSUE_SIERRA[[#This Row],[CREDENCIAL]]) &gt; 1,
        COUNTIF(Tabla_Gerente[CREDENCIAL], Tabla_PromotorJOSUE_SIERRA[[#This Row],[CREDENCIAL]]) &gt; 1,
    ),
    0,
    IF(
        Tabla_PromotorJOSUE_SIERRA[[#This Row],[GRUPO]] = 503,
        Tabla_PromotorJOSUE_SIERRA[[#This Row],[PAGO]],
        IF(
            Tabla_PromotorJOSUE_SIERRA[[#This Row],[PAGO]] &gt;= 299,
            Tabla_PromotorJOSUE_SIERRA[[#This Row],[PAGO]] - 150,
            0
        )
    )
)</f>
        <v>250</v>
      </c>
      <c r="E10" s="126" t="s">
        <v>42</v>
      </c>
      <c r="F10" s="126" t="s">
        <v>312</v>
      </c>
      <c r="G10" s="128">
        <v>1342</v>
      </c>
      <c r="H10" s="133">
        <f>IFERROR(VLOOKUP(Tabla_PromotorJOSUE_SIERRA[[#This Row],[CREDENCIAL]], Tabla_Gerente[[CREDENCIAL]:[PAGO]], 7, FALSE), 0)</f>
        <v>400</v>
      </c>
      <c r="I10" s="134">
        <v>45746</v>
      </c>
      <c r="J10" s="131"/>
      <c r="K10" s="131"/>
    </row>
    <row r="11" spans="1:11" x14ac:dyDescent="0.2">
      <c r="A11" s="125" t="s">
        <v>66</v>
      </c>
      <c r="B11" s="126">
        <v>134708</v>
      </c>
      <c r="C11" s="126" t="s">
        <v>222</v>
      </c>
      <c r="D11" s="127">
        <f>IF(
    OR(
        Tabla_PromotorJOSUE_SIERRA[[#This Row],[GRUPO]] = "",
        Tabla_PromotorJOSUE_SIERRA[[#This Row],[GRUPO]] = 500,
        COUNTIF(Tabla_PromotorJOSUE_SIERRA[CREDENCIAL], Tabla_PromotorJOSUE_SIERRA[[#This Row],[CREDENCIAL]]) &gt; 1,
        COUNTIF(Tabla_Gerente[CREDENCIAL], Tabla_PromotorJOSUE_SIERRA[[#This Row],[CREDENCIAL]]) &gt; 1,
    ),
    0,
    IF(
        Tabla_PromotorJOSUE_SIERRA[[#This Row],[GRUPO]] = 503,
        Tabla_PromotorJOSUE_SIERRA[[#This Row],[PAGO]],
        IF(
            Tabla_PromotorJOSUE_SIERRA[[#This Row],[PAGO]] &gt;= 299,
            Tabla_PromotorJOSUE_SIERRA[[#This Row],[PAGO]] - 150,
            0
        )
    )
)</f>
        <v>350</v>
      </c>
      <c r="E11" s="126" t="s">
        <v>42</v>
      </c>
      <c r="F11" s="126" t="s">
        <v>311</v>
      </c>
      <c r="G11" s="128">
        <v>1342</v>
      </c>
      <c r="H11" s="133">
        <f>IFERROR(VLOOKUP(Tabla_PromotorJOSUE_SIERRA[[#This Row],[CREDENCIAL]], Tabla_Gerente[[CREDENCIAL]:[PAGO]], 7, FALSE), 0)</f>
        <v>500</v>
      </c>
      <c r="I11" s="134">
        <v>45745</v>
      </c>
      <c r="J11" s="131"/>
      <c r="K11" s="131"/>
    </row>
    <row r="12" spans="1:11" x14ac:dyDescent="0.2">
      <c r="A12" s="125" t="s">
        <v>66</v>
      </c>
      <c r="B12" s="126">
        <v>134709</v>
      </c>
      <c r="C12" s="126" t="s">
        <v>223</v>
      </c>
      <c r="D12" s="127">
        <f>IF(
    OR(
        Tabla_PromotorJOSUE_SIERRA[[#This Row],[GRUPO]] = "",
        Tabla_PromotorJOSUE_SIERRA[[#This Row],[GRUPO]] = 500,
        COUNTIF(Tabla_PromotorJOSUE_SIERRA[CREDENCIAL], Tabla_PromotorJOSUE_SIERRA[[#This Row],[CREDENCIAL]]) &gt; 1,
        COUNTIF(Tabla_Gerente[CREDENCIAL], Tabla_PromotorJOSUE_SIERRA[[#This Row],[CREDENCIAL]]) &gt; 1,
    ),
    0,
    IF(
        Tabla_PromotorJOSUE_SIERRA[[#This Row],[GRUPO]] = 503,
        Tabla_PromotorJOSUE_SIERRA[[#This Row],[PAGO]],
        IF(
            Tabla_PromotorJOSUE_SIERRA[[#This Row],[PAGO]] &gt;= 299,
            Tabla_PromotorJOSUE_SIERRA[[#This Row],[PAGO]] - 150,
            0
        )
    )
)</f>
        <v>150</v>
      </c>
      <c r="E12" s="126" t="s">
        <v>42</v>
      </c>
      <c r="F12" s="126" t="s">
        <v>312</v>
      </c>
      <c r="G12" s="128">
        <v>1342</v>
      </c>
      <c r="H12" s="133">
        <f>IFERROR(VLOOKUP(Tabla_PromotorJOSUE_SIERRA[[#This Row],[CREDENCIAL]], Tabla_Gerente[[CREDENCIAL]:[PAGO]], 7, FALSE), 0)</f>
        <v>300</v>
      </c>
      <c r="I12" s="134">
        <v>45743</v>
      </c>
      <c r="J12" s="131"/>
      <c r="K12" s="131"/>
    </row>
    <row r="13" spans="1:11" x14ac:dyDescent="0.2">
      <c r="A13" s="125" t="s">
        <v>66</v>
      </c>
      <c r="B13" s="126">
        <v>134710</v>
      </c>
      <c r="C13" s="126" t="s">
        <v>224</v>
      </c>
      <c r="D13" s="127">
        <f>IF(
    OR(
        Tabla_PromotorJOSUE_SIERRA[[#This Row],[GRUPO]] = "",
        Tabla_PromotorJOSUE_SIERRA[[#This Row],[GRUPO]] = 500,
        COUNTIF(Tabla_PromotorJOSUE_SIERRA[CREDENCIAL], Tabla_PromotorJOSUE_SIERRA[[#This Row],[CREDENCIAL]]) &gt; 1,
        COUNTIF(Tabla_Gerente[CREDENCIAL], Tabla_PromotorJOSUE_SIERRA[[#This Row],[CREDENCIAL]]) &gt; 1,
    ),
    0,
    IF(
        Tabla_PromotorJOSUE_SIERRA[[#This Row],[GRUPO]] = 503,
        Tabla_PromotorJOSUE_SIERRA[[#This Row],[PAGO]],
        IF(
            Tabla_PromotorJOSUE_SIERRA[[#This Row],[PAGO]] &gt;= 299,
            Tabla_PromotorJOSUE_SIERRA[[#This Row],[PAGO]] - 150,
            0
        )
    )
)</f>
        <v>200</v>
      </c>
      <c r="E13" s="126" t="s">
        <v>42</v>
      </c>
      <c r="F13" s="126" t="s">
        <v>315</v>
      </c>
      <c r="G13" s="128">
        <v>1342</v>
      </c>
      <c r="H13" s="133">
        <f>IFERROR(VLOOKUP(Tabla_PromotorJOSUE_SIERRA[[#This Row],[CREDENCIAL]], Tabla_Gerente[[CREDENCIAL]:[PAGO]], 7, FALSE), 0)</f>
        <v>350</v>
      </c>
      <c r="I13" s="134">
        <v>45746</v>
      </c>
      <c r="J13" s="131"/>
      <c r="K13" s="131"/>
    </row>
    <row r="14" spans="1:11" x14ac:dyDescent="0.2">
      <c r="A14" s="125" t="s">
        <v>50</v>
      </c>
      <c r="B14" s="126"/>
      <c r="C14" s="126"/>
      <c r="D14" s="127">
        <f>SUBTOTAL(109,Tabla_PromotorJOSUE_SIERRA[COMISION])</f>
        <v>1150</v>
      </c>
      <c r="E14" s="126"/>
      <c r="F14" s="126"/>
      <c r="G14" s="128"/>
      <c r="H14" s="133"/>
      <c r="I14" s="134"/>
      <c r="J14" s="131"/>
      <c r="K14" s="131"/>
    </row>
    <row r="15" spans="1:11" x14ac:dyDescent="0.2">
      <c r="A15" s="25"/>
      <c r="B15" s="14"/>
      <c r="C15" s="15"/>
      <c r="D15" s="52"/>
      <c r="E15" s="14"/>
      <c r="F15" s="14"/>
      <c r="G15" s="27"/>
      <c r="H15" s="53"/>
      <c r="I15" s="14"/>
      <c r="J15" s="16"/>
      <c r="K15" s="16"/>
    </row>
    <row r="16" spans="1:11" x14ac:dyDescent="0.2">
      <c r="A16" s="25" t="s">
        <v>13</v>
      </c>
      <c r="D16" s="68">
        <f>_xlfn.IFNA(VLOOKUP(Nombre_Promotor,Sueldos_Base[],2,FALSE),0)</f>
        <v>700</v>
      </c>
      <c r="E16" s="16"/>
      <c r="F16" s="15"/>
      <c r="H16" s="15"/>
      <c r="J16" s="24"/>
    </row>
    <row r="17" spans="1:11" ht="17" thickBot="1" x14ac:dyDescent="0.25">
      <c r="A17" s="37" t="s">
        <v>45</v>
      </c>
      <c r="B17" s="38">
        <f>IF(Total_Registros_Promotor &lt; Premios!A5, 0,
   VLOOKUP(Total_Registros_Promotor, Premios_Promotor[], 1, TRUE))</f>
        <v>4</v>
      </c>
      <c r="C17" s="34"/>
      <c r="D17" s="36">
        <f>IF(Premio_Promotor &gt; 0,
   VLOOKUP(Premio_Promotor, Premios_Promotor[],
      VLOOKUP(Total_Registros_Gerente, Tabulador_Premio_Promotor_Total_Gerencia[], 2, TRUE),
   FALSE),
   0)</f>
        <v>500</v>
      </c>
      <c r="E17" s="16"/>
      <c r="F17" s="15"/>
      <c r="H17" s="15"/>
      <c r="J17" s="24"/>
    </row>
    <row r="18" spans="1:11" x14ac:dyDescent="0.2">
      <c r="A18" s="27" t="s">
        <v>46</v>
      </c>
      <c r="B18" s="18"/>
      <c r="D18" s="28">
        <f>Tabla_PromotorJOSUE_SIERRA[[#Totals],[COMISION]] + Pago_Sueldo_Base_Promotor + Pago_Premio_Promotor</f>
        <v>2350</v>
      </c>
      <c r="E18" s="16"/>
      <c r="F18" s="15"/>
      <c r="H18" s="15"/>
      <c r="J18" s="24"/>
    </row>
    <row r="19" spans="1:11" x14ac:dyDescent="0.2">
      <c r="A19" s="27" t="s">
        <v>195</v>
      </c>
      <c r="B19" s="18"/>
      <c r="C19" s="29"/>
      <c r="D19" s="39">
        <f>_xlfn.IFNA(SUMIFS(Descuentos[DESCUENTO], Descuentos[COLABORADOR], Nombre_Promotor, Descuentos[PUESTO], Puesto_Promotor), 0)</f>
        <v>0</v>
      </c>
      <c r="E19" s="16" t="s">
        <v>121</v>
      </c>
      <c r="F19" s="15"/>
      <c r="H19" s="15"/>
      <c r="I19" s="18"/>
      <c r="J19" s="22"/>
      <c r="K19" s="22"/>
    </row>
    <row r="20" spans="1:11" ht="17" thickBot="1" x14ac:dyDescent="0.25">
      <c r="A20" s="35"/>
      <c r="C20" s="29"/>
      <c r="D20" s="28"/>
      <c r="E20" s="16"/>
      <c r="F20" s="15"/>
    </row>
    <row r="21" spans="1:11" ht="17" thickBot="1" x14ac:dyDescent="0.25">
      <c r="A21" s="37" t="s">
        <v>49</v>
      </c>
      <c r="B21" s="34"/>
      <c r="C21" s="49"/>
      <c r="D21" s="30">
        <f>Pago_Subtotal_Promotor + Descuento_Promotor</f>
        <v>2350</v>
      </c>
      <c r="E21" s="16"/>
      <c r="F21" s="15"/>
    </row>
    <row r="22" spans="1:11" x14ac:dyDescent="0.2">
      <c r="C22" s="29"/>
      <c r="D22" s="28"/>
      <c r="E22" s="26"/>
      <c r="F22" s="26"/>
    </row>
    <row r="23" spans="1:11" x14ac:dyDescent="0.2">
      <c r="C23" s="29"/>
      <c r="D23" s="28"/>
      <c r="E23" s="26"/>
      <c r="F23" s="26"/>
    </row>
    <row r="24" spans="1:11" ht="17" thickBot="1" x14ac:dyDescent="0.25">
      <c r="C24" s="37" t="s">
        <v>25</v>
      </c>
      <c r="D24" s="121" t="str" cm="1">
        <f t="array" ref="D24">NumeroATexto(Pago_Neto_Promotor)</f>
        <v>DOS MIL TRESCIENTOS CINCUENTA PESOS 00/100</v>
      </c>
      <c r="E24" s="121"/>
      <c r="F24" s="121"/>
      <c r="G24" s="121"/>
      <c r="H24" s="121"/>
      <c r="I24" s="121"/>
    </row>
    <row r="25" spans="1:11" x14ac:dyDescent="0.2">
      <c r="C25" s="27"/>
      <c r="D25" s="26"/>
      <c r="E25" s="16"/>
      <c r="F25" s="15"/>
    </row>
    <row r="26" spans="1:11" x14ac:dyDescent="0.2">
      <c r="C26" s="29"/>
      <c r="D26" s="28"/>
    </row>
    <row r="27" spans="1:11" ht="17" thickBot="1" x14ac:dyDescent="0.25">
      <c r="C27" s="33" t="s">
        <v>26</v>
      </c>
      <c r="D27" s="122"/>
      <c r="E27" s="122"/>
      <c r="F27" s="122"/>
      <c r="G27" s="122"/>
      <c r="H27" s="122"/>
      <c r="I27" s="122"/>
    </row>
  </sheetData>
  <mergeCells count="4">
    <mergeCell ref="B1:D1"/>
    <mergeCell ref="B2:D2"/>
    <mergeCell ref="D24:I24"/>
    <mergeCell ref="D27:I27"/>
  </mergeCells>
  <conditionalFormatting sqref="D9:D13">
    <cfRule type="expression" dxfId="103" priority="2">
      <formula>$G9=501</formula>
    </cfRule>
    <cfRule type="cellIs" dxfId="102" priority="5" operator="equal">
      <formula>0</formula>
    </cfRule>
  </conditionalFormatting>
  <conditionalFormatting sqref="G9:G13">
    <cfRule type="cellIs" dxfId="101" priority="3" operator="equal">
      <formula>503</formula>
    </cfRule>
    <cfRule type="cellIs" dxfId="100" priority="4" operator="equal">
      <formula>501</formula>
    </cfRule>
  </conditionalFormatting>
  <conditionalFormatting sqref="H9:H13">
    <cfRule type="cellIs" dxfId="99" priority="1" operator="lessThan">
      <formula>299</formula>
    </cfRule>
  </conditionalFormatting>
  <conditionalFormatting sqref="B9:B13">
    <cfRule type="duplicateValues" dxfId="97" priority="3039"/>
  </conditionalFormatting>
  <dataValidations count="6">
    <dataValidation type="list" allowBlank="1" showInputMessage="1" showErrorMessage="1" sqref="F9:F13" xr:uid="{9D569F0A-AA42-DF4F-8D8C-2CB80BFCB723}">
      <formula1>Cursos</formula1>
    </dataValidation>
    <dataValidation type="list" allowBlank="1" showInputMessage="1" showErrorMessage="1" sqref="B2:D2" xr:uid="{BD88C546-B7B7-6F47-B2D9-E8DC9DCD47A3}">
      <formula1>Razones_Sociales</formula1>
    </dataValidation>
    <dataValidation type="date" allowBlank="1" showInputMessage="1" showErrorMessage="1" sqref="I9:I13" xr:uid="{1135E53A-6202-BA4B-BFDE-9AE5882602CC}">
      <formula1>Periodo_De_Pago_Inicial_Gerente</formula1>
      <formula2>Periodo_De_Pago_Final_Gerente</formula2>
    </dataValidation>
    <dataValidation type="custom" allowBlank="1" showInputMessage="1" showErrorMessage="1" sqref="G9:G13" xr:uid="{0D828AFF-2329-AF4A-8350-7F80A5D81EDF}">
      <formula1>G9&lt;&gt;500</formula1>
    </dataValidation>
    <dataValidation type="list" allowBlank="1" showInputMessage="1" showErrorMessage="1" sqref="E9:E13" xr:uid="{B84BA987-CA08-AD44-9056-1BFBA040595E}">
      <formula1>Nombres_Planteles</formula1>
    </dataValidation>
    <dataValidation type="list" allowBlank="1" showInputMessage="1" showErrorMessage="1" sqref="B1" xr:uid="{C35FE8F8-6F8A-2B4E-BC7C-33A348D51CAF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D95436-C2B9-F64F-8770-96EE34E512FB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52BDD3-34EF-AE43-BA3F-2D697B8A66E7}">
          <x14:formula1>
            <xm:f>Planteles!$A$4:$A$15</xm:f>
          </x14:formula1>
          <xm:sqref>J9:J13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F196-8B0C-7C4A-9EE6-84F5A2AF519D}">
  <sheetPr codeName="Sheet16">
    <tabColor rgb="FF00B050"/>
    <pageSetUpPr fitToPage="1"/>
  </sheetPr>
  <dimension ref="A1:K26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8.1640625" style="13" bestFit="1" customWidth="1"/>
    <col min="6" max="6" width="12.66406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84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COUNTIFS(Tabla_PromotorBRYAN_CAMPOS[GRUPO],"&lt;&gt;",
Tabla_PromotorBRYAN_CAMPOS[GRUPO],"&lt;&gt;503",
Tabla_PromotorBRYAN_CAMPOS[GRUPO],"&lt;&gt;500",
Tabla_PromotorBRYAN_CAMPOS[PAGO],"&gt;=299")</f>
        <v>3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104</v>
      </c>
      <c r="B9" s="126">
        <v>134687</v>
      </c>
      <c r="C9" s="126" t="s">
        <v>201</v>
      </c>
      <c r="D9" s="127">
        <f>IF(
    OR(
        Tabla_PromotorBRYAN_CAMPOS[[#This Row],[GRUPO]] = "",
        Tabla_PromotorBRYAN_CAMPOS[[#This Row],[GRUPO]] = 500,
        COUNTIF(Tabla_PromotorBRYAN_CAMPOS[CREDENCIAL], Tabla_PromotorBRYAN_CAMPOS[[#This Row],[CREDENCIAL]]) &gt; 1,
        COUNTIF(Tabla_Gerente[CREDENCIAL], Tabla_PromotorBRYAN_CAMPOS[[#This Row],[CREDENCIAL]]) &gt; 1,
    ),
    0,
    IF(
        Tabla_PromotorBRYAN_CAMPOS[[#This Row],[GRUPO]] = 503,
        Tabla_PromotorBRYAN_CAMPOS[[#This Row],[PAGO]],
        IF(
            Tabla_PromotorBRYAN_CAMPOS[[#This Row],[PAGO]] &gt;= 299,
            Tabla_PromotorBRYAN_CAMPOS[[#This Row],[PAGO]] - 150,
            0
        )
    )
)</f>
        <v>200</v>
      </c>
      <c r="E9" s="126" t="s">
        <v>35</v>
      </c>
      <c r="F9" s="126" t="s">
        <v>312</v>
      </c>
      <c r="G9" s="128">
        <v>501</v>
      </c>
      <c r="H9" s="133">
        <f>IFERROR(VLOOKUP(Tabla_PromotorBRYAN_CAMPOS[[#This Row],[CREDENCIAL]], Tabla_Gerente[[CREDENCIAL]:[PAGO]], 7, FALSE), 0)</f>
        <v>350</v>
      </c>
      <c r="I9" s="134">
        <v>45749</v>
      </c>
      <c r="J9" s="131"/>
      <c r="K9" s="131"/>
    </row>
    <row r="10" spans="1:11" x14ac:dyDescent="0.2">
      <c r="A10" s="125" t="s">
        <v>104</v>
      </c>
      <c r="B10" s="126">
        <v>134688</v>
      </c>
      <c r="C10" s="126" t="s">
        <v>202</v>
      </c>
      <c r="D10" s="127">
        <f>IF(
    OR(
        Tabla_PromotorBRYAN_CAMPOS[[#This Row],[GRUPO]] = "",
        Tabla_PromotorBRYAN_CAMPOS[[#This Row],[GRUPO]] = 500,
        COUNTIF(Tabla_PromotorBRYAN_CAMPOS[CREDENCIAL], Tabla_PromotorBRYAN_CAMPOS[[#This Row],[CREDENCIAL]]) &gt; 1,
        COUNTIF(Tabla_Gerente[CREDENCIAL], Tabla_PromotorBRYAN_CAMPOS[[#This Row],[CREDENCIAL]]) &gt; 1,
    ),
    0,
    IF(
        Tabla_PromotorBRYAN_CAMPOS[[#This Row],[GRUPO]] = 503,
        Tabla_PromotorBRYAN_CAMPOS[[#This Row],[PAGO]],
        IF(
            Tabla_PromotorBRYAN_CAMPOS[[#This Row],[PAGO]] &gt;= 299,
            Tabla_PromotorBRYAN_CAMPOS[[#This Row],[PAGO]] - 150,
            0
        )
    )
)</f>
        <v>0</v>
      </c>
      <c r="E10" s="126" t="s">
        <v>35</v>
      </c>
      <c r="F10" s="126" t="s">
        <v>311</v>
      </c>
      <c r="G10" s="128">
        <v>501</v>
      </c>
      <c r="H10" s="133">
        <f>IFERROR(VLOOKUP(Tabla_PromotorBRYAN_CAMPOS[[#This Row],[CREDENCIAL]], Tabla_Gerente[[CREDENCIAL]:[PAGO]], 7, FALSE), 0)</f>
        <v>298</v>
      </c>
      <c r="I10" s="134">
        <v>45748</v>
      </c>
      <c r="J10" s="131"/>
      <c r="K10" s="131"/>
    </row>
    <row r="11" spans="1:11" x14ac:dyDescent="0.2">
      <c r="A11" s="125" t="s">
        <v>104</v>
      </c>
      <c r="B11" s="126">
        <v>134689</v>
      </c>
      <c r="C11" s="126" t="s">
        <v>203</v>
      </c>
      <c r="D11" s="127">
        <f>IF(
    OR(
        Tabla_PromotorBRYAN_CAMPOS[[#This Row],[GRUPO]] = "",
        Tabla_PromotorBRYAN_CAMPOS[[#This Row],[GRUPO]] = 500,
        COUNTIF(Tabla_PromotorBRYAN_CAMPOS[CREDENCIAL], Tabla_PromotorBRYAN_CAMPOS[[#This Row],[CREDENCIAL]]) &gt; 1,
        COUNTIF(Tabla_Gerente[CREDENCIAL], Tabla_PromotorBRYAN_CAMPOS[[#This Row],[CREDENCIAL]]) &gt; 1,
    ),
    0,
    IF(
        Tabla_PromotorBRYAN_CAMPOS[[#This Row],[GRUPO]] = 503,
        Tabla_PromotorBRYAN_CAMPOS[[#This Row],[PAGO]],
        IF(
            Tabla_PromotorBRYAN_CAMPOS[[#This Row],[PAGO]] &gt;= 299,
            Tabla_PromotorBRYAN_CAMPOS[[#This Row],[PAGO]] - 150,
            0
        )
    )
)</f>
        <v>250</v>
      </c>
      <c r="E11" s="126" t="s">
        <v>35</v>
      </c>
      <c r="F11" s="126" t="s">
        <v>313</v>
      </c>
      <c r="G11" s="128">
        <v>1342</v>
      </c>
      <c r="H11" s="133">
        <f>IFERROR(VLOOKUP(Tabla_PromotorBRYAN_CAMPOS[[#This Row],[CREDENCIAL]], Tabla_Gerente[[CREDENCIAL]:[PAGO]], 7, FALSE), 0)</f>
        <v>400</v>
      </c>
      <c r="I11" s="134">
        <v>45749</v>
      </c>
      <c r="J11" s="131"/>
      <c r="K11" s="131"/>
    </row>
    <row r="12" spans="1:11" x14ac:dyDescent="0.2">
      <c r="A12" s="125" t="s">
        <v>104</v>
      </c>
      <c r="B12" s="126">
        <v>134690</v>
      </c>
      <c r="C12" s="126" t="s">
        <v>204</v>
      </c>
      <c r="D12" s="127">
        <f>IF(
    OR(
        Tabla_PromotorBRYAN_CAMPOS[[#This Row],[GRUPO]] = "",
        Tabla_PromotorBRYAN_CAMPOS[[#This Row],[GRUPO]] = 500,
        COUNTIF(Tabla_PromotorBRYAN_CAMPOS[CREDENCIAL], Tabla_PromotorBRYAN_CAMPOS[[#This Row],[CREDENCIAL]]) &gt; 1,
        COUNTIF(Tabla_Gerente[CREDENCIAL], Tabla_PromotorBRYAN_CAMPOS[[#This Row],[CREDENCIAL]]) &gt; 1,
    ),
    0,
    IF(
        Tabla_PromotorBRYAN_CAMPOS[[#This Row],[GRUPO]] = 503,
        Tabla_PromotorBRYAN_CAMPOS[[#This Row],[PAGO]],
        IF(
            Tabla_PromotorBRYAN_CAMPOS[[#This Row],[PAGO]] &gt;= 299,
            Tabla_PromotorBRYAN_CAMPOS[[#This Row],[PAGO]] - 150,
            0
        )
    )
)</f>
        <v>350</v>
      </c>
      <c r="E12" s="126" t="s">
        <v>35</v>
      </c>
      <c r="F12" s="126" t="s">
        <v>314</v>
      </c>
      <c r="G12" s="128">
        <v>1342</v>
      </c>
      <c r="H12" s="133">
        <f>IFERROR(VLOOKUP(Tabla_PromotorBRYAN_CAMPOS[[#This Row],[CREDENCIAL]], Tabla_Gerente[[CREDENCIAL]:[PAGO]], 7, FALSE), 0)</f>
        <v>500</v>
      </c>
      <c r="I12" s="134">
        <v>45748</v>
      </c>
      <c r="J12" s="131"/>
      <c r="K12" s="131"/>
    </row>
    <row r="13" spans="1:11" x14ac:dyDescent="0.2">
      <c r="A13" s="125" t="s">
        <v>50</v>
      </c>
      <c r="B13" s="126"/>
      <c r="C13" s="126"/>
      <c r="D13" s="127">
        <f>SUBTOTAL(109,Tabla_PromotorBRYAN_CAMPOS[COMISION])</f>
        <v>800</v>
      </c>
      <c r="E13" s="126"/>
      <c r="F13" s="126"/>
      <c r="G13" s="128"/>
      <c r="H13" s="133"/>
      <c r="I13" s="134"/>
      <c r="J13" s="131"/>
      <c r="K13" s="131"/>
    </row>
    <row r="14" spans="1:11" x14ac:dyDescent="0.2">
      <c r="A14" s="25"/>
      <c r="B14" s="14"/>
      <c r="C14" s="15"/>
      <c r="D14" s="52"/>
      <c r="E14" s="14"/>
      <c r="F14" s="14"/>
      <c r="G14" s="27"/>
      <c r="H14" s="53"/>
      <c r="I14" s="14"/>
      <c r="J14" s="16"/>
      <c r="K14" s="16"/>
    </row>
    <row r="15" spans="1:11" x14ac:dyDescent="0.2">
      <c r="A15" s="25" t="s">
        <v>13</v>
      </c>
      <c r="D15" s="68">
        <f>_xlfn.IFNA(VLOOKUP(Nombre_Promotor,Sueldos_Base[],2,FALSE),0)</f>
        <v>700</v>
      </c>
      <c r="E15" s="16"/>
      <c r="F15" s="15"/>
      <c r="H15" s="15"/>
      <c r="J15" s="24"/>
    </row>
    <row r="16" spans="1:11" ht="17" thickBot="1" x14ac:dyDescent="0.25">
      <c r="A16" s="37" t="s">
        <v>45</v>
      </c>
      <c r="B16" s="38">
        <f>IF(Total_Registros_Promotor &lt; Premios!A5, 0,
   VLOOKUP(Total_Registros_Promotor, Premios_Promotor[], 1, TRUE))</f>
        <v>0</v>
      </c>
      <c r="C16" s="34"/>
      <c r="D16" s="36">
        <f>IF(Premio_Promotor &gt; 0,
   VLOOKUP(Premio_Promotor, Premios_Promotor[],
      VLOOKUP(Total_Registros_Gerente, Tabulador_Premio_Promotor_Total_Gerencia[], 2, TRUE),
   FALSE),
   0)</f>
        <v>0</v>
      </c>
      <c r="E16" s="16"/>
      <c r="F16" s="15"/>
      <c r="H16" s="15"/>
      <c r="J16" s="24"/>
    </row>
    <row r="17" spans="1:11" x14ac:dyDescent="0.2">
      <c r="A17" s="27" t="s">
        <v>46</v>
      </c>
      <c r="B17" s="18"/>
      <c r="D17" s="28">
        <f>Tabla_PromotorBRYAN_CAMPOS[[#Totals],[COMISION]] + Pago_Sueldo_Base_Promotor + Pago_Premio_Promotor</f>
        <v>1500</v>
      </c>
      <c r="E17" s="16"/>
      <c r="F17" s="15"/>
      <c r="H17" s="15"/>
      <c r="J17" s="24"/>
    </row>
    <row r="18" spans="1:11" x14ac:dyDescent="0.2">
      <c r="A18" s="27" t="s">
        <v>195</v>
      </c>
      <c r="B18" s="18"/>
      <c r="C18" s="29"/>
      <c r="D18" s="39">
        <f>_xlfn.IFNA(SUMIFS(Descuentos[DESCUENTO], Descuentos[COLABORADOR], Nombre_Promotor, Descuentos[PUESTO], Puesto_Promotor), 0)</f>
        <v>0</v>
      </c>
      <c r="E18" s="16" t="s">
        <v>121</v>
      </c>
      <c r="F18" s="15"/>
      <c r="H18" s="15"/>
      <c r="I18" s="18"/>
      <c r="J18" s="22"/>
      <c r="K18" s="22"/>
    </row>
    <row r="19" spans="1:11" ht="17" thickBot="1" x14ac:dyDescent="0.25">
      <c r="A19" s="35"/>
      <c r="C19" s="29"/>
      <c r="D19" s="28"/>
      <c r="E19" s="16"/>
      <c r="F19" s="15"/>
    </row>
    <row r="20" spans="1:11" ht="17" thickBot="1" x14ac:dyDescent="0.25">
      <c r="A20" s="37" t="s">
        <v>49</v>
      </c>
      <c r="B20" s="34"/>
      <c r="C20" s="49"/>
      <c r="D20" s="30">
        <f>Pago_Subtotal_Promotor + Descuento_Promotor</f>
        <v>1500</v>
      </c>
      <c r="E20" s="16"/>
      <c r="F20" s="15"/>
    </row>
    <row r="21" spans="1:11" x14ac:dyDescent="0.2">
      <c r="C21" s="29"/>
      <c r="D21" s="28"/>
      <c r="E21" s="26"/>
      <c r="F21" s="26"/>
    </row>
    <row r="22" spans="1:11" x14ac:dyDescent="0.2">
      <c r="C22" s="29"/>
      <c r="D22" s="28"/>
      <c r="E22" s="26"/>
      <c r="F22" s="26"/>
    </row>
    <row r="23" spans="1:11" ht="17" thickBot="1" x14ac:dyDescent="0.25">
      <c r="C23" s="37" t="s">
        <v>25</v>
      </c>
      <c r="D23" s="121" t="str" cm="1">
        <f t="array" ref="D23">NumeroATexto(Pago_Neto_Promotor)</f>
        <v>MIL QUINIENTOS PESOS 00/100</v>
      </c>
      <c r="E23" s="121"/>
      <c r="F23" s="121"/>
      <c r="G23" s="121"/>
      <c r="H23" s="121"/>
      <c r="I23" s="121"/>
    </row>
    <row r="24" spans="1:11" x14ac:dyDescent="0.2">
      <c r="C24" s="27"/>
      <c r="D24" s="26"/>
      <c r="E24" s="16"/>
      <c r="F24" s="15"/>
    </row>
    <row r="25" spans="1:11" x14ac:dyDescent="0.2">
      <c r="C25" s="29"/>
      <c r="D25" s="28"/>
    </row>
    <row r="26" spans="1:11" ht="17" thickBot="1" x14ac:dyDescent="0.25">
      <c r="C26" s="33" t="s">
        <v>26</v>
      </c>
      <c r="D26" s="122"/>
      <c r="E26" s="122"/>
      <c r="F26" s="122"/>
      <c r="G26" s="122"/>
      <c r="H26" s="122"/>
      <c r="I26" s="122"/>
    </row>
  </sheetData>
  <mergeCells count="4">
    <mergeCell ref="B1:D1"/>
    <mergeCell ref="B2:D2"/>
    <mergeCell ref="D23:I23"/>
    <mergeCell ref="D26:I26"/>
  </mergeCells>
  <conditionalFormatting sqref="D9:D12">
    <cfRule type="expression" dxfId="96" priority="2">
      <formula>$G9=501</formula>
    </cfRule>
    <cfRule type="cellIs" dxfId="95" priority="5" operator="equal">
      <formula>0</formula>
    </cfRule>
  </conditionalFormatting>
  <conditionalFormatting sqref="G9:G12">
    <cfRule type="cellIs" dxfId="94" priority="3" operator="equal">
      <formula>503</formula>
    </cfRule>
    <cfRule type="cellIs" dxfId="93" priority="4" operator="equal">
      <formula>501</formula>
    </cfRule>
  </conditionalFormatting>
  <conditionalFormatting sqref="H9:H12">
    <cfRule type="cellIs" dxfId="92" priority="1" operator="lessThan">
      <formula>299</formula>
    </cfRule>
  </conditionalFormatting>
  <conditionalFormatting sqref="B9:B12">
    <cfRule type="duplicateValues" dxfId="90" priority="3036"/>
  </conditionalFormatting>
  <dataValidations count="6">
    <dataValidation type="list" allowBlank="1" showInputMessage="1" showErrorMessage="1" sqref="F9:F12" xr:uid="{E868CD5B-DEF0-6344-8BC3-AE45E4385ED5}">
      <formula1>Cursos</formula1>
    </dataValidation>
    <dataValidation type="list" allowBlank="1" showInputMessage="1" showErrorMessage="1" sqref="B2:D2" xr:uid="{69232A1D-C48E-E749-A1A6-3635E72B8981}">
      <formula1>Razones_Sociales</formula1>
    </dataValidation>
    <dataValidation type="date" allowBlank="1" showInputMessage="1" showErrorMessage="1" sqref="I9:I12" xr:uid="{AA2B8E32-905E-444E-BD0E-824BE2657DBE}">
      <formula1>Periodo_De_Pago_Inicial_Gerente</formula1>
      <formula2>Periodo_De_Pago_Final_Gerente</formula2>
    </dataValidation>
    <dataValidation type="custom" allowBlank="1" showInputMessage="1" showErrorMessage="1" sqref="G9:G12" xr:uid="{D9530360-CAE5-564C-A0AA-E81A5575289E}">
      <formula1>G9&lt;&gt;500</formula1>
    </dataValidation>
    <dataValidation type="list" allowBlank="1" showInputMessage="1" showErrorMessage="1" sqref="E9:E12" xr:uid="{5FD8432D-B143-A94E-B775-65DF4A4F29BA}">
      <formula1>Nombres_Planteles</formula1>
    </dataValidation>
    <dataValidation type="list" allowBlank="1" showInputMessage="1" showErrorMessage="1" sqref="B1" xr:uid="{CA10C3ED-6AC5-7847-90FC-F4AE508BDCEC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3D642640-CDD4-CC4E-A2F4-7D69DEB29C6A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0EB825-D1F0-F14B-90A4-DC45589B8CE6}">
          <x14:formula1>
            <xm:f>Planteles!$A$4:$A$15</xm:f>
          </x14:formula1>
          <xm:sqref>J9:J12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951A-10BA-A346-8614-30C6D73E89E9}">
  <sheetPr codeName="Sheet13">
    <tabColor rgb="FF0070C0"/>
  </sheetPr>
  <dimension ref="A1:N60"/>
  <sheetViews>
    <sheetView workbookViewId="0">
      <selection activeCell="B9" sqref="B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5.83203125" style="13" bestFit="1" customWidth="1"/>
    <col min="4" max="4" width="19.5" style="13" bestFit="1" customWidth="1"/>
    <col min="5" max="5" width="18.1640625" style="13" bestFit="1" customWidth="1"/>
    <col min="6" max="6" width="12.6640625" style="13" bestFit="1" customWidth="1"/>
    <col min="7" max="7" width="13.83203125" style="13" bestFit="1" customWidth="1"/>
    <col min="8" max="8" width="11.6640625" style="13" bestFit="1" customWidth="1"/>
    <col min="9" max="9" width="26" style="19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14" width="12.5" style="13" customWidth="1"/>
    <col min="15" max="15" width="3.33203125" style="13" bestFit="1" customWidth="1"/>
    <col min="16" max="22" width="10.6640625" style="13" customWidth="1"/>
    <col min="23" max="16384" width="14.5" style="13"/>
  </cols>
  <sheetData>
    <row r="1" spans="1:14" ht="17" thickBot="1" x14ac:dyDescent="0.25">
      <c r="A1" s="32" t="s">
        <v>28</v>
      </c>
      <c r="B1" s="119" t="s">
        <v>80</v>
      </c>
      <c r="C1" s="119"/>
      <c r="D1" s="119"/>
      <c r="F1" s="43" t="s">
        <v>116</v>
      </c>
      <c r="G1" s="45" t="s">
        <v>6</v>
      </c>
      <c r="I1" s="31" t="s">
        <v>58</v>
      </c>
      <c r="J1" s="34">
        <f>Total_Registros_Gerente</f>
        <v>88</v>
      </c>
      <c r="M1" s="96"/>
      <c r="N1" s="96"/>
    </row>
    <row r="2" spans="1:14" ht="17" thickBot="1" x14ac:dyDescent="0.25">
      <c r="A2" s="43" t="s">
        <v>31</v>
      </c>
      <c r="B2" s="120" t="s">
        <v>303</v>
      </c>
      <c r="C2" s="120"/>
      <c r="D2" s="120"/>
      <c r="M2" s="96"/>
      <c r="N2" s="96"/>
    </row>
    <row r="3" spans="1:14" ht="17" thickBot="1" x14ac:dyDescent="0.25">
      <c r="A3" s="43" t="s">
        <v>29</v>
      </c>
      <c r="B3" s="101">
        <v>45743</v>
      </c>
      <c r="C3" s="44" t="s">
        <v>30</v>
      </c>
      <c r="D3" s="102">
        <v>45750</v>
      </c>
      <c r="F3" s="20"/>
      <c r="G3" s="21"/>
      <c r="I3" s="16"/>
      <c r="M3" s="96"/>
      <c r="N3" s="96"/>
    </row>
    <row r="4" spans="1:14" ht="17" thickBot="1" x14ac:dyDescent="0.25">
      <c r="A4" s="43" t="s">
        <v>17</v>
      </c>
      <c r="B4" s="86" cm="1">
        <f t="array" ref="B4">IF(COUNTA(Tabla_Coordinador_JOSUE_ALVAREZ[GRUPO]) = 0, 0,
   COUNTIFS(Tabla_Coordinador_JOSUE_ALVAREZ[GRUPO], "&lt;&gt;",
            Tabla_Coordinador_JOSUE_ALVAREZ[GRUPO], "&lt;&gt;503",
            Tabla_Coordinador_JOSUE_ALVAREZ[GRUPO], "&lt;&gt;500",
            Tabla_Coordinador_JOSUE_ALVAREZ[PAGO], "&gt;=299")
   - SUMPRODUCT(COUNTIF(Tabla_Gerente[CREDENCIAL], Tabla_Coordinador_JOSUE_ALVAREZ[CREDENCIAL]) - 1))</f>
        <v>30</v>
      </c>
      <c r="C4" s="17"/>
      <c r="F4" s="18"/>
      <c r="G4" s="18"/>
      <c r="H4" s="17"/>
      <c r="I4" s="31" t="s">
        <v>48</v>
      </c>
      <c r="J4" s="72">
        <v>0</v>
      </c>
      <c r="K4" s="19"/>
      <c r="M4" s="96"/>
      <c r="N4" s="96"/>
    </row>
    <row r="5" spans="1:14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J5" s="23"/>
      <c r="K5" s="23"/>
    </row>
    <row r="6" spans="1:14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4" x14ac:dyDescent="0.2">
      <c r="A8" s="112" t="s">
        <v>7</v>
      </c>
      <c r="B8" s="112" t="s">
        <v>18</v>
      </c>
      <c r="C8" s="112" t="s">
        <v>110</v>
      </c>
      <c r="D8" s="113" t="s">
        <v>34</v>
      </c>
      <c r="E8" s="112" t="s">
        <v>33</v>
      </c>
      <c r="F8" s="112" t="s">
        <v>64</v>
      </c>
      <c r="G8" s="112" t="s">
        <v>20</v>
      </c>
      <c r="H8" s="113" t="s">
        <v>1</v>
      </c>
      <c r="I8" s="112" t="s">
        <v>65</v>
      </c>
      <c r="J8" s="112" t="s">
        <v>21</v>
      </c>
      <c r="K8" s="112" t="s">
        <v>22</v>
      </c>
    </row>
    <row r="9" spans="1:14" x14ac:dyDescent="0.2">
      <c r="A9" s="125" t="s">
        <v>68</v>
      </c>
      <c r="B9" s="126">
        <v>134713</v>
      </c>
      <c r="C9" s="126" t="s">
        <v>227</v>
      </c>
      <c r="D9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9" s="126" t="s">
        <v>42</v>
      </c>
      <c r="F9" s="126" t="s">
        <v>318</v>
      </c>
      <c r="G9" s="128">
        <v>1342</v>
      </c>
      <c r="H9" s="129">
        <f>IFERROR(VLOOKUP(Tabla_Coordinador_JOSUE_ALVAREZ[[#This Row],[CREDENCIAL]], Tabla_Gerente[[CREDENCIAL]:[PAGO]], 7, FALSE), 0)</f>
        <v>500</v>
      </c>
      <c r="I9" s="130">
        <v>45745</v>
      </c>
      <c r="J9" s="131"/>
      <c r="K9" s="131"/>
    </row>
    <row r="10" spans="1:14" x14ac:dyDescent="0.2">
      <c r="A10" s="125" t="s">
        <v>68</v>
      </c>
      <c r="B10" s="126">
        <v>134714</v>
      </c>
      <c r="C10" s="126" t="s">
        <v>228</v>
      </c>
      <c r="D10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10" s="126" t="s">
        <v>41</v>
      </c>
      <c r="F10" s="126" t="s">
        <v>319</v>
      </c>
      <c r="G10" s="128">
        <v>1342</v>
      </c>
      <c r="H10" s="129">
        <f>IFERROR(VLOOKUP(Tabla_Coordinador_JOSUE_ALVAREZ[[#This Row],[CREDENCIAL]], Tabla_Gerente[[CREDENCIAL]:[PAGO]], 7, FALSE), 0)</f>
        <v>299</v>
      </c>
      <c r="I10" s="130">
        <v>45748</v>
      </c>
      <c r="J10" s="131"/>
      <c r="K10" s="131"/>
    </row>
    <row r="11" spans="1:14" x14ac:dyDescent="0.2">
      <c r="A11" s="125" t="s">
        <v>68</v>
      </c>
      <c r="B11" s="126">
        <v>134715</v>
      </c>
      <c r="C11" s="126" t="s">
        <v>229</v>
      </c>
      <c r="D11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11" s="126" t="s">
        <v>41</v>
      </c>
      <c r="F11" s="126" t="s">
        <v>318</v>
      </c>
      <c r="G11" s="128">
        <v>1342</v>
      </c>
      <c r="H11" s="129">
        <f>IFERROR(VLOOKUP(Tabla_Coordinador_JOSUE_ALVAREZ[[#This Row],[CREDENCIAL]], Tabla_Gerente[[CREDENCIAL]:[PAGO]], 7, FALSE), 0)</f>
        <v>300</v>
      </c>
      <c r="I11" s="130">
        <v>45744</v>
      </c>
      <c r="J11" s="131"/>
      <c r="K11" s="131"/>
    </row>
    <row r="12" spans="1:14" x14ac:dyDescent="0.2">
      <c r="A12" s="125" t="s">
        <v>68</v>
      </c>
      <c r="B12" s="126">
        <v>134716</v>
      </c>
      <c r="C12" s="126" t="s">
        <v>230</v>
      </c>
      <c r="D12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12" s="126" t="s">
        <v>41</v>
      </c>
      <c r="F12" s="126" t="s">
        <v>313</v>
      </c>
      <c r="G12" s="128">
        <v>1342</v>
      </c>
      <c r="H12" s="129">
        <f>IFERROR(VLOOKUP(Tabla_Coordinador_JOSUE_ALVAREZ[[#This Row],[CREDENCIAL]], Tabla_Gerente[[CREDENCIAL]:[PAGO]], 7, FALSE), 0)</f>
        <v>350</v>
      </c>
      <c r="I12" s="130">
        <v>45748</v>
      </c>
      <c r="J12" s="131"/>
      <c r="K12" s="131"/>
    </row>
    <row r="13" spans="1:14" x14ac:dyDescent="0.2">
      <c r="A13" s="125" t="s">
        <v>68</v>
      </c>
      <c r="B13" s="126">
        <v>134717</v>
      </c>
      <c r="C13" s="126" t="s">
        <v>231</v>
      </c>
      <c r="D13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13" s="126" t="s">
        <v>41</v>
      </c>
      <c r="F13" s="126" t="s">
        <v>314</v>
      </c>
      <c r="G13" s="128">
        <v>1342</v>
      </c>
      <c r="H13" s="129">
        <f>IFERROR(VLOOKUP(Tabla_Coordinador_JOSUE_ALVAREZ[[#This Row],[CREDENCIAL]], Tabla_Gerente[[CREDENCIAL]:[PAGO]], 7, FALSE), 0)</f>
        <v>350</v>
      </c>
      <c r="I13" s="130">
        <v>45746</v>
      </c>
      <c r="J13" s="131"/>
      <c r="K13" s="131"/>
    </row>
    <row r="14" spans="1:14" x14ac:dyDescent="0.2">
      <c r="A14" s="125" t="s">
        <v>68</v>
      </c>
      <c r="B14" s="126">
        <v>134718</v>
      </c>
      <c r="C14" s="126" t="s">
        <v>232</v>
      </c>
      <c r="D14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14" s="126" t="s">
        <v>41</v>
      </c>
      <c r="F14" s="126" t="s">
        <v>315</v>
      </c>
      <c r="G14" s="128">
        <v>1342</v>
      </c>
      <c r="H14" s="129">
        <f>IFERROR(VLOOKUP(Tabla_Coordinador_JOSUE_ALVAREZ[[#This Row],[CREDENCIAL]], Tabla_Gerente[[CREDENCIAL]:[PAGO]], 7, FALSE), 0)</f>
        <v>400</v>
      </c>
      <c r="I14" s="130">
        <v>45744</v>
      </c>
      <c r="J14" s="131"/>
      <c r="K14" s="131"/>
    </row>
    <row r="15" spans="1:14" x14ac:dyDescent="0.2">
      <c r="A15" s="125" t="s">
        <v>68</v>
      </c>
      <c r="B15" s="126">
        <v>134719</v>
      </c>
      <c r="C15" s="126" t="s">
        <v>233</v>
      </c>
      <c r="D15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15" s="126" t="s">
        <v>41</v>
      </c>
      <c r="F15" s="126" t="s">
        <v>311</v>
      </c>
      <c r="G15" s="128">
        <v>1342</v>
      </c>
      <c r="H15" s="129">
        <f>IFERROR(VLOOKUP(Tabla_Coordinador_JOSUE_ALVAREZ[[#This Row],[CREDENCIAL]], Tabla_Gerente[[CREDENCIAL]:[PAGO]], 7, FALSE), 0)</f>
        <v>500</v>
      </c>
      <c r="I15" s="130">
        <v>45748</v>
      </c>
      <c r="J15" s="131"/>
      <c r="K15" s="131"/>
    </row>
    <row r="16" spans="1:14" x14ac:dyDescent="0.2">
      <c r="A16" s="125" t="s">
        <v>68</v>
      </c>
      <c r="B16" s="126">
        <v>134720</v>
      </c>
      <c r="C16" s="126" t="s">
        <v>234</v>
      </c>
      <c r="D16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16" s="126" t="s">
        <v>43</v>
      </c>
      <c r="F16" s="126" t="s">
        <v>312</v>
      </c>
      <c r="G16" s="128">
        <v>1342</v>
      </c>
      <c r="H16" s="129">
        <f>IFERROR(VLOOKUP(Tabla_Coordinador_JOSUE_ALVAREZ[[#This Row],[CREDENCIAL]], Tabla_Gerente[[CREDENCIAL]:[PAGO]], 7, FALSE), 0)</f>
        <v>400</v>
      </c>
      <c r="I16" s="130">
        <v>45749</v>
      </c>
      <c r="J16" s="131"/>
      <c r="K16" s="131"/>
    </row>
    <row r="17" spans="1:11" x14ac:dyDescent="0.2">
      <c r="A17" s="125" t="s">
        <v>68</v>
      </c>
      <c r="B17" s="126">
        <v>134721</v>
      </c>
      <c r="C17" s="126" t="s">
        <v>235</v>
      </c>
      <c r="D17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17" s="126" t="s">
        <v>43</v>
      </c>
      <c r="F17" s="126" t="s">
        <v>311</v>
      </c>
      <c r="G17" s="128">
        <v>1342</v>
      </c>
      <c r="H17" s="129">
        <f>IFERROR(VLOOKUP(Tabla_Coordinador_JOSUE_ALVAREZ[[#This Row],[CREDENCIAL]], Tabla_Gerente[[CREDENCIAL]:[PAGO]], 7, FALSE), 0)</f>
        <v>500</v>
      </c>
      <c r="I17" s="130">
        <v>45748</v>
      </c>
      <c r="J17" s="131"/>
      <c r="K17" s="131"/>
    </row>
    <row r="18" spans="1:11" x14ac:dyDescent="0.2">
      <c r="A18" s="125" t="s">
        <v>108</v>
      </c>
      <c r="B18" s="126">
        <v>134722</v>
      </c>
      <c r="C18" s="126" t="s">
        <v>236</v>
      </c>
      <c r="D18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0</v>
      </c>
      <c r="E18" s="126" t="s">
        <v>43</v>
      </c>
      <c r="F18" s="126" t="s">
        <v>313</v>
      </c>
      <c r="G18" s="128">
        <v>1342</v>
      </c>
      <c r="H18" s="129">
        <f>IFERROR(VLOOKUP(Tabla_Coordinador_JOSUE_ALVAREZ[[#This Row],[CREDENCIAL]], Tabla_Gerente[[CREDENCIAL]:[PAGO]], 7, FALSE), 0)</f>
        <v>200</v>
      </c>
      <c r="I18" s="130">
        <v>45749</v>
      </c>
      <c r="J18" s="131"/>
      <c r="K18" s="131"/>
    </row>
    <row r="19" spans="1:11" x14ac:dyDescent="0.2">
      <c r="A19" s="125" t="s">
        <v>108</v>
      </c>
      <c r="B19" s="126">
        <v>134723</v>
      </c>
      <c r="C19" s="126" t="s">
        <v>237</v>
      </c>
      <c r="D19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19" s="126" t="s">
        <v>43</v>
      </c>
      <c r="F19" s="126" t="s">
        <v>311</v>
      </c>
      <c r="G19" s="128">
        <v>1342</v>
      </c>
      <c r="H19" s="129">
        <f>IFERROR(VLOOKUP(Tabla_Coordinador_JOSUE_ALVAREZ[[#This Row],[CREDENCIAL]], Tabla_Gerente[[CREDENCIAL]:[PAGO]], 7, FALSE), 0)</f>
        <v>300</v>
      </c>
      <c r="I19" s="130">
        <v>45748</v>
      </c>
      <c r="J19" s="131"/>
      <c r="K19" s="131"/>
    </row>
    <row r="20" spans="1:11" x14ac:dyDescent="0.2">
      <c r="A20" s="125" t="s">
        <v>108</v>
      </c>
      <c r="B20" s="126">
        <v>134724</v>
      </c>
      <c r="C20" s="126" t="s">
        <v>238</v>
      </c>
      <c r="D20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20" s="126" t="s">
        <v>43</v>
      </c>
      <c r="F20" s="126" t="s">
        <v>312</v>
      </c>
      <c r="G20" s="128">
        <v>1342</v>
      </c>
      <c r="H20" s="129">
        <f>IFERROR(VLOOKUP(Tabla_Coordinador_JOSUE_ALVAREZ[[#This Row],[CREDENCIAL]], Tabla_Gerente[[CREDENCIAL]:[PAGO]], 7, FALSE), 0)</f>
        <v>350</v>
      </c>
      <c r="I20" s="130">
        <v>45749</v>
      </c>
      <c r="J20" s="131"/>
      <c r="K20" s="131"/>
    </row>
    <row r="21" spans="1:11" x14ac:dyDescent="0.2">
      <c r="A21" s="125" t="s">
        <v>108</v>
      </c>
      <c r="B21" s="126">
        <v>134725</v>
      </c>
      <c r="C21" s="126" t="s">
        <v>239</v>
      </c>
      <c r="D21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0</v>
      </c>
      <c r="E21" s="126" t="s">
        <v>43</v>
      </c>
      <c r="F21" s="126" t="s">
        <v>311</v>
      </c>
      <c r="G21" s="128">
        <v>503</v>
      </c>
      <c r="H21" s="129">
        <f>IFERROR(VLOOKUP(Tabla_Coordinador_JOSUE_ALVAREZ[[#This Row],[CREDENCIAL]], Tabla_Gerente[[CREDENCIAL]:[PAGO]], 7, FALSE), 0)</f>
        <v>350</v>
      </c>
      <c r="I21" s="130">
        <v>45746</v>
      </c>
      <c r="J21" s="131"/>
      <c r="K21" s="131"/>
    </row>
    <row r="22" spans="1:11" x14ac:dyDescent="0.2">
      <c r="A22" s="125" t="s">
        <v>108</v>
      </c>
      <c r="B22" s="126">
        <v>134726</v>
      </c>
      <c r="C22" s="126" t="s">
        <v>240</v>
      </c>
      <c r="D22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22" s="126" t="s">
        <v>43</v>
      </c>
      <c r="F22" s="126" t="s">
        <v>313</v>
      </c>
      <c r="G22" s="128">
        <v>1342</v>
      </c>
      <c r="H22" s="129">
        <f>IFERROR(VLOOKUP(Tabla_Coordinador_JOSUE_ALVAREZ[[#This Row],[CREDENCIAL]], Tabla_Gerente[[CREDENCIAL]:[PAGO]], 7, FALSE), 0)</f>
        <v>400</v>
      </c>
      <c r="I22" s="130">
        <v>45749</v>
      </c>
      <c r="J22" s="131"/>
      <c r="K22" s="131"/>
    </row>
    <row r="23" spans="1:11" x14ac:dyDescent="0.2">
      <c r="A23" s="125" t="s">
        <v>108</v>
      </c>
      <c r="B23" s="126">
        <v>134727</v>
      </c>
      <c r="C23" s="126" t="s">
        <v>241</v>
      </c>
      <c r="D23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23" s="126" t="s">
        <v>43</v>
      </c>
      <c r="F23" s="126" t="s">
        <v>314</v>
      </c>
      <c r="G23" s="128">
        <v>1342</v>
      </c>
      <c r="H23" s="129">
        <f>IFERROR(VLOOKUP(Tabla_Coordinador_JOSUE_ALVAREZ[[#This Row],[CREDENCIAL]], Tabla_Gerente[[CREDENCIAL]:[PAGO]], 7, FALSE), 0)</f>
        <v>500</v>
      </c>
      <c r="I23" s="130">
        <v>45746</v>
      </c>
      <c r="J23" s="131"/>
      <c r="K23" s="131"/>
    </row>
    <row r="24" spans="1:11" x14ac:dyDescent="0.2">
      <c r="A24" s="125" t="s">
        <v>108</v>
      </c>
      <c r="B24" s="126">
        <v>134728</v>
      </c>
      <c r="C24" s="126" t="s">
        <v>242</v>
      </c>
      <c r="D24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24" s="126" t="s">
        <v>44</v>
      </c>
      <c r="F24" s="126" t="s">
        <v>315</v>
      </c>
      <c r="G24" s="128">
        <v>1342</v>
      </c>
      <c r="H24" s="129">
        <f>IFERROR(VLOOKUP(Tabla_Coordinador_JOSUE_ALVAREZ[[#This Row],[CREDENCIAL]], Tabla_Gerente[[CREDENCIAL]:[PAGO]], 7, FALSE), 0)</f>
        <v>299</v>
      </c>
      <c r="I24" s="130">
        <v>45746</v>
      </c>
      <c r="J24" s="131"/>
      <c r="K24" s="131"/>
    </row>
    <row r="25" spans="1:11" x14ac:dyDescent="0.2">
      <c r="A25" s="125" t="s">
        <v>108</v>
      </c>
      <c r="B25" s="126">
        <v>134729</v>
      </c>
      <c r="C25" s="126" t="s">
        <v>243</v>
      </c>
      <c r="D25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0</v>
      </c>
      <c r="E25" s="126" t="s">
        <v>44</v>
      </c>
      <c r="F25" s="126" t="s">
        <v>311</v>
      </c>
      <c r="G25" s="128">
        <v>501</v>
      </c>
      <c r="H25" s="129">
        <f>IFERROR(VLOOKUP(Tabla_Coordinador_JOSUE_ALVAREZ[[#This Row],[CREDENCIAL]], Tabla_Gerente[[CREDENCIAL]:[PAGO]], 7, FALSE), 0)</f>
        <v>300</v>
      </c>
      <c r="I25" s="130">
        <v>45749</v>
      </c>
      <c r="J25" s="131"/>
      <c r="K25" s="131"/>
    </row>
    <row r="26" spans="1:11" x14ac:dyDescent="0.2">
      <c r="A26" s="125" t="s">
        <v>108</v>
      </c>
      <c r="B26" s="126">
        <v>134730</v>
      </c>
      <c r="C26" s="126" t="s">
        <v>244</v>
      </c>
      <c r="D26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26" s="126" t="s">
        <v>44</v>
      </c>
      <c r="F26" s="126" t="s">
        <v>312</v>
      </c>
      <c r="G26" s="128">
        <v>1342</v>
      </c>
      <c r="H26" s="129">
        <f>IFERROR(VLOOKUP(Tabla_Coordinador_JOSUE_ALVAREZ[[#This Row],[CREDENCIAL]], Tabla_Gerente[[CREDENCIAL]:[PAGO]], 7, FALSE), 0)</f>
        <v>350</v>
      </c>
      <c r="I26" s="130">
        <v>45746</v>
      </c>
      <c r="J26" s="131"/>
      <c r="K26" s="131"/>
    </row>
    <row r="27" spans="1:11" x14ac:dyDescent="0.2">
      <c r="A27" s="125" t="s">
        <v>108</v>
      </c>
      <c r="B27" s="126">
        <v>134731</v>
      </c>
      <c r="C27" s="126" t="s">
        <v>245</v>
      </c>
      <c r="D27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27" s="126" t="s">
        <v>44</v>
      </c>
      <c r="F27" s="126" t="s">
        <v>311</v>
      </c>
      <c r="G27" s="128">
        <v>1342</v>
      </c>
      <c r="H27" s="129">
        <f>IFERROR(VLOOKUP(Tabla_Coordinador_JOSUE_ALVAREZ[[#This Row],[CREDENCIAL]], Tabla_Gerente[[CREDENCIAL]:[PAGO]], 7, FALSE), 0)</f>
        <v>350</v>
      </c>
      <c r="I27" s="130">
        <v>45749</v>
      </c>
      <c r="J27" s="131"/>
      <c r="K27" s="131"/>
    </row>
    <row r="28" spans="1:11" x14ac:dyDescent="0.2">
      <c r="A28" s="125" t="s">
        <v>186</v>
      </c>
      <c r="B28" s="126">
        <v>134732</v>
      </c>
      <c r="C28" s="126" t="s">
        <v>246</v>
      </c>
      <c r="D28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28" s="126" t="s">
        <v>44</v>
      </c>
      <c r="F28" s="126" t="s">
        <v>313</v>
      </c>
      <c r="G28" s="128">
        <v>1342</v>
      </c>
      <c r="H28" s="129">
        <f>IFERROR(VLOOKUP(Tabla_Coordinador_JOSUE_ALVAREZ[[#This Row],[CREDENCIAL]], Tabla_Gerente[[CREDENCIAL]:[PAGO]], 7, FALSE), 0)</f>
        <v>400</v>
      </c>
      <c r="I28" s="130">
        <v>45746</v>
      </c>
      <c r="J28" s="131"/>
      <c r="K28" s="131"/>
    </row>
    <row r="29" spans="1:11" x14ac:dyDescent="0.2">
      <c r="A29" s="125" t="s">
        <v>186</v>
      </c>
      <c r="B29" s="126">
        <v>134733</v>
      </c>
      <c r="C29" s="126" t="s">
        <v>247</v>
      </c>
      <c r="D29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29" s="126" t="s">
        <v>44</v>
      </c>
      <c r="F29" s="126" t="s">
        <v>314</v>
      </c>
      <c r="G29" s="128">
        <v>1342</v>
      </c>
      <c r="H29" s="129">
        <f>IFERROR(VLOOKUP(Tabla_Coordinador_JOSUE_ALVAREZ[[#This Row],[CREDENCIAL]], Tabla_Gerente[[CREDENCIAL]:[PAGO]], 7, FALSE), 0)</f>
        <v>500</v>
      </c>
      <c r="I29" s="130">
        <v>45743</v>
      </c>
      <c r="J29" s="131"/>
      <c r="K29" s="131"/>
    </row>
    <row r="30" spans="1:11" x14ac:dyDescent="0.2">
      <c r="A30" s="125" t="s">
        <v>186</v>
      </c>
      <c r="B30" s="126">
        <v>134734</v>
      </c>
      <c r="C30" s="126" t="s">
        <v>250</v>
      </c>
      <c r="D30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30" s="126" t="s">
        <v>44</v>
      </c>
      <c r="F30" s="126" t="s">
        <v>311</v>
      </c>
      <c r="G30" s="128">
        <v>1342</v>
      </c>
      <c r="H30" s="129">
        <f>IFERROR(VLOOKUP(Tabla_Coordinador_JOSUE_ALVAREZ[[#This Row],[CREDENCIAL]], Tabla_Gerente[[CREDENCIAL]:[PAGO]], 7, FALSE), 0)</f>
        <v>299</v>
      </c>
      <c r="I30" s="130">
        <v>45746</v>
      </c>
      <c r="J30" s="131"/>
      <c r="K30" s="131"/>
    </row>
    <row r="31" spans="1:11" x14ac:dyDescent="0.2">
      <c r="A31" s="125" t="s">
        <v>186</v>
      </c>
      <c r="B31" s="126">
        <v>134735</v>
      </c>
      <c r="C31" s="126" t="s">
        <v>251</v>
      </c>
      <c r="D31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31" s="126" t="s">
        <v>44</v>
      </c>
      <c r="F31" s="126" t="s">
        <v>312</v>
      </c>
      <c r="G31" s="128">
        <v>1342</v>
      </c>
      <c r="H31" s="129">
        <f>IFERROR(VLOOKUP(Tabla_Coordinador_JOSUE_ALVAREZ[[#This Row],[CREDENCIAL]], Tabla_Gerente[[CREDENCIAL]:[PAGO]], 7, FALSE), 0)</f>
        <v>300</v>
      </c>
      <c r="I31" s="130">
        <v>45744</v>
      </c>
      <c r="J31" s="131"/>
      <c r="K31" s="131"/>
    </row>
    <row r="32" spans="1:11" x14ac:dyDescent="0.2">
      <c r="A32" s="125" t="s">
        <v>186</v>
      </c>
      <c r="B32" s="126">
        <v>134736</v>
      </c>
      <c r="C32" s="126" t="s">
        <v>252</v>
      </c>
      <c r="D32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32" s="126" t="s">
        <v>44</v>
      </c>
      <c r="F32" s="126" t="s">
        <v>311</v>
      </c>
      <c r="G32" s="128">
        <v>1342</v>
      </c>
      <c r="H32" s="129">
        <f>IFERROR(VLOOKUP(Tabla_Coordinador_JOSUE_ALVAREZ[[#This Row],[CREDENCIAL]], Tabla_Gerente[[CREDENCIAL]:[PAGO]], 7, FALSE), 0)</f>
        <v>350</v>
      </c>
      <c r="I32" s="130">
        <v>45746</v>
      </c>
      <c r="J32" s="131"/>
      <c r="K32" s="131"/>
    </row>
    <row r="33" spans="1:11" x14ac:dyDescent="0.2">
      <c r="A33" s="125" t="s">
        <v>186</v>
      </c>
      <c r="B33" s="126">
        <v>134737</v>
      </c>
      <c r="C33" s="126" t="s">
        <v>253</v>
      </c>
      <c r="D33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33" s="126" t="s">
        <v>36</v>
      </c>
      <c r="F33" s="126" t="s">
        <v>313</v>
      </c>
      <c r="G33" s="128">
        <v>1342</v>
      </c>
      <c r="H33" s="129">
        <f>IFERROR(VLOOKUP(Tabla_Coordinador_JOSUE_ALVAREZ[[#This Row],[CREDENCIAL]], Tabla_Gerente[[CREDENCIAL]:[PAGO]], 7, FALSE), 0)</f>
        <v>299</v>
      </c>
      <c r="I33" s="130">
        <v>45745</v>
      </c>
      <c r="J33" s="131"/>
      <c r="K33" s="131"/>
    </row>
    <row r="34" spans="1:11" x14ac:dyDescent="0.2">
      <c r="A34" s="125" t="s">
        <v>186</v>
      </c>
      <c r="B34" s="126">
        <v>134738</v>
      </c>
      <c r="C34" s="126" t="s">
        <v>254</v>
      </c>
      <c r="D34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34" s="126" t="s">
        <v>36</v>
      </c>
      <c r="F34" s="126" t="s">
        <v>314</v>
      </c>
      <c r="G34" s="128">
        <v>1342</v>
      </c>
      <c r="H34" s="129">
        <f>IFERROR(VLOOKUP(Tabla_Coordinador_JOSUE_ALVAREZ[[#This Row],[CREDENCIAL]], Tabla_Gerente[[CREDENCIAL]:[PAGO]], 7, FALSE), 0)</f>
        <v>300</v>
      </c>
      <c r="I34" s="130">
        <v>45748</v>
      </c>
      <c r="J34" s="131"/>
      <c r="K34" s="131"/>
    </row>
    <row r="35" spans="1:11" x14ac:dyDescent="0.2">
      <c r="A35" s="125" t="s">
        <v>186</v>
      </c>
      <c r="B35" s="126">
        <v>134739</v>
      </c>
      <c r="C35" s="126" t="s">
        <v>255</v>
      </c>
      <c r="D35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0</v>
      </c>
      <c r="E35" s="126" t="s">
        <v>36</v>
      </c>
      <c r="F35" s="126" t="s">
        <v>315</v>
      </c>
      <c r="G35" s="128">
        <v>501</v>
      </c>
      <c r="H35" s="129">
        <f>IFERROR(VLOOKUP(Tabla_Coordinador_JOSUE_ALVAREZ[[#This Row],[CREDENCIAL]], Tabla_Gerente[[CREDENCIAL]:[PAGO]], 7, FALSE), 0)</f>
        <v>350</v>
      </c>
      <c r="I35" s="130">
        <v>45744</v>
      </c>
      <c r="J35" s="131"/>
      <c r="K35" s="131"/>
    </row>
    <row r="36" spans="1:11" x14ac:dyDescent="0.2">
      <c r="A36" s="125" t="s">
        <v>67</v>
      </c>
      <c r="B36" s="126">
        <v>134740</v>
      </c>
      <c r="C36" s="126" t="s">
        <v>256</v>
      </c>
      <c r="D36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36" s="126" t="s">
        <v>36</v>
      </c>
      <c r="F36" s="126" t="s">
        <v>316</v>
      </c>
      <c r="G36" s="128">
        <v>1342</v>
      </c>
      <c r="H36" s="129">
        <f>IFERROR(VLOOKUP(Tabla_Coordinador_JOSUE_ALVAREZ[[#This Row],[CREDENCIAL]], Tabla_Gerente[[CREDENCIAL]:[PAGO]], 7, FALSE), 0)</f>
        <v>350</v>
      </c>
      <c r="I36" s="130">
        <v>45748</v>
      </c>
      <c r="J36" s="131"/>
      <c r="K36" s="131"/>
    </row>
    <row r="37" spans="1:11" x14ac:dyDescent="0.2">
      <c r="A37" s="125" t="s">
        <v>67</v>
      </c>
      <c r="B37" s="126">
        <v>134741</v>
      </c>
      <c r="C37" s="126" t="s">
        <v>257</v>
      </c>
      <c r="D37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37" s="126" t="s">
        <v>36</v>
      </c>
      <c r="F37" s="126" t="s">
        <v>317</v>
      </c>
      <c r="G37" s="128">
        <v>1342</v>
      </c>
      <c r="H37" s="129">
        <f>IFERROR(VLOOKUP(Tabla_Coordinador_JOSUE_ALVAREZ[[#This Row],[CREDENCIAL]], Tabla_Gerente[[CREDENCIAL]:[PAGO]], 7, FALSE), 0)</f>
        <v>400</v>
      </c>
      <c r="I37" s="130">
        <v>45749</v>
      </c>
      <c r="J37" s="131"/>
      <c r="K37" s="131"/>
    </row>
    <row r="38" spans="1:11" x14ac:dyDescent="0.2">
      <c r="A38" s="125" t="s">
        <v>67</v>
      </c>
      <c r="B38" s="126">
        <v>134742</v>
      </c>
      <c r="C38" s="126" t="s">
        <v>258</v>
      </c>
      <c r="D38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38" s="126" t="s">
        <v>36</v>
      </c>
      <c r="F38" s="126" t="s">
        <v>318</v>
      </c>
      <c r="G38" s="128">
        <v>1342</v>
      </c>
      <c r="H38" s="129">
        <f>IFERROR(VLOOKUP(Tabla_Coordinador_JOSUE_ALVAREZ[[#This Row],[CREDENCIAL]], Tabla_Gerente[[CREDENCIAL]:[PAGO]], 7, FALSE), 0)</f>
        <v>500</v>
      </c>
      <c r="I38" s="130">
        <v>45746</v>
      </c>
      <c r="J38" s="131"/>
      <c r="K38" s="131"/>
    </row>
    <row r="39" spans="1:11" x14ac:dyDescent="0.2">
      <c r="A39" s="125" t="s">
        <v>67</v>
      </c>
      <c r="B39" s="126">
        <v>134743</v>
      </c>
      <c r="C39" s="126" t="s">
        <v>259</v>
      </c>
      <c r="D39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39" s="126" t="s">
        <v>36</v>
      </c>
      <c r="F39" s="126" t="s">
        <v>319</v>
      </c>
      <c r="G39" s="128">
        <v>1342</v>
      </c>
      <c r="H39" s="129">
        <f>IFERROR(VLOOKUP(Tabla_Coordinador_JOSUE_ALVAREZ[[#This Row],[CREDENCIAL]], Tabla_Gerente[[CREDENCIAL]:[PAGO]], 7, FALSE), 0)</f>
        <v>299</v>
      </c>
      <c r="I39" s="130">
        <v>45749</v>
      </c>
      <c r="J39" s="131"/>
      <c r="K39" s="131"/>
    </row>
    <row r="40" spans="1:11" x14ac:dyDescent="0.2">
      <c r="A40" s="125" t="s">
        <v>67</v>
      </c>
      <c r="B40" s="126">
        <v>134744</v>
      </c>
      <c r="C40" s="126" t="s">
        <v>260</v>
      </c>
      <c r="D40" s="127">
        <f>IF(
    OR(
        Tabla_Coordinador_JOSUE_ALVAREZ[[#This Row],[GRUPO]] = 501,
        Tabla_Coordinador_JOSUE_ALVAREZ[[#This Row],[GRUPO]] = 505,
        Tabla_Coordinador_JOSUE_ALVAREZ[[#This Row],[GRUPO]] = 503,
        Tabla_Coordinador_JOSUE_ALVAREZ[[#This Row],[GRUPO]] = "",
        Tabla_Coordinador_JOSUE_ALVAREZ[[#This Row],[GRUPO]] = 500,
        Tabla_Coordinador_JOSUE_ALVAREZ[[#This Row],[PAGO]] &lt; 299,
        COUNTIF(Tabla_Coordinador_JOSUE_ALVAREZ[CREDENCIAL], Tabla_Coordinador_JOSUE_ALVAREZ[[#This Row],[CREDENCIAL]]) &gt; 1,
        COUNTIF(Tabla_Gerente[CREDENCIAL], Tabla_Coordinador_JOSUE_ALVAREZ[[#This Row],[CREDENCIAL]]) &gt; 1
    ),
    0,
    VLOOKUP(
        Total_Registros_Coordinador,
        Tabulador_Coordinador[],
        3,
        TRUE
    )
)</f>
        <v>140</v>
      </c>
      <c r="E40" s="126" t="s">
        <v>36</v>
      </c>
      <c r="F40" s="126" t="s">
        <v>318</v>
      </c>
      <c r="G40" s="128">
        <v>1342</v>
      </c>
      <c r="H40" s="129">
        <f>IFERROR(VLOOKUP(Tabla_Coordinador_JOSUE_ALVAREZ[[#This Row],[CREDENCIAL]], Tabla_Gerente[[CREDENCIAL]:[PAGO]], 7, FALSE), 0)</f>
        <v>300</v>
      </c>
      <c r="I40" s="130">
        <v>45746</v>
      </c>
      <c r="J40" s="131"/>
      <c r="K40" s="131"/>
    </row>
    <row r="41" spans="1:11" x14ac:dyDescent="0.2">
      <c r="A41" s="125" t="s">
        <v>50</v>
      </c>
      <c r="B41" s="126"/>
      <c r="C41" s="126"/>
      <c r="D41" s="127">
        <f>SUBTOTAL(109,Tabla_Coordinador_JOSUE_ALVAREZ[COMISION])</f>
        <v>3920</v>
      </c>
      <c r="E41" s="126"/>
      <c r="F41" s="126"/>
      <c r="G41" s="128"/>
      <c r="H41" s="132"/>
      <c r="I41" s="130"/>
      <c r="J41" s="131"/>
      <c r="K41" s="131"/>
    </row>
    <row r="42" spans="1:11" x14ac:dyDescent="0.2">
      <c r="A42" s="27"/>
      <c r="B42" s="14"/>
      <c r="C42" s="15"/>
      <c r="D42" s="52"/>
      <c r="E42" s="14"/>
      <c r="F42" s="14"/>
      <c r="G42" s="14"/>
      <c r="H42" s="53"/>
      <c r="I42" s="16"/>
      <c r="J42" s="16"/>
      <c r="K42" s="16"/>
    </row>
    <row r="43" spans="1:11" x14ac:dyDescent="0.2">
      <c r="A43" s="27" t="s">
        <v>13</v>
      </c>
      <c r="D43" s="26">
        <f>Sueldo_Base_Coordinador</f>
        <v>500</v>
      </c>
      <c r="E43" s="16"/>
      <c r="F43" s="15"/>
      <c r="H43" s="15"/>
      <c r="J43" s="24"/>
    </row>
    <row r="44" spans="1:11" ht="17" thickBot="1" x14ac:dyDescent="0.25">
      <c r="A44" s="37" t="s">
        <v>45</v>
      </c>
      <c r="B44" s="38">
        <f>IF(Total_Registros_Coordinador &gt;= Premios!H5,
    VLOOKUP(Total_Registros_Coordinador, Premios_Coordinador[], 1, TRUE),
    0
)</f>
        <v>30</v>
      </c>
      <c r="C44" s="34"/>
      <c r="D44" s="36">
        <f>IF(Premio_Coordinador &gt; 0, VLOOKUP(Premio_Coordinador, Premios_Coordinador[], 2, FALSE), 0)</f>
        <v>2500</v>
      </c>
      <c r="E44" s="16"/>
      <c r="F44" s="15"/>
      <c r="H44" s="15"/>
      <c r="J44" s="24"/>
    </row>
    <row r="45" spans="1:11" x14ac:dyDescent="0.2">
      <c r="A45" s="27" t="s">
        <v>46</v>
      </c>
      <c r="B45" s="18"/>
      <c r="D45" s="28">
        <f>Tabla_Coordinador_JOSUE_ALVAREZ[[#Totals],[COMISION]] + Pago_Sueldo_Base_Coordinador + Pago_Premio_Coordinador</f>
        <v>6920</v>
      </c>
      <c r="E45" s="16"/>
      <c r="F45" s="15"/>
      <c r="H45" s="15"/>
      <c r="J45" s="24"/>
    </row>
    <row r="46" spans="1:11" x14ac:dyDescent="0.2">
      <c r="A46" s="27" t="s">
        <v>195</v>
      </c>
      <c r="B46" s="18"/>
      <c r="C46" s="29"/>
      <c r="D46" s="40">
        <f>_xlfn.IFNA(SUMIFS(Descuentos[DESCUENTO], Descuentos[COLABORADOR], Nombre_Coordinador, Descuentos[PUESTO], Puesto_Coordinador), 0)</f>
        <v>0</v>
      </c>
      <c r="E46" s="16"/>
      <c r="F46" s="15"/>
      <c r="H46" s="15"/>
      <c r="J46" s="22"/>
      <c r="K46" s="22"/>
    </row>
    <row r="47" spans="1:11" ht="17" thickBot="1" x14ac:dyDescent="0.25">
      <c r="A47" s="37" t="s">
        <v>24</v>
      </c>
      <c r="B47" s="34"/>
      <c r="C47" s="34"/>
      <c r="D47" s="48">
        <f>(Pago_Subtotal_Coordinador * 0.05) * -1</f>
        <v>-346</v>
      </c>
      <c r="E47" s="16"/>
      <c r="F47" s="15"/>
      <c r="H47" s="15"/>
    </row>
    <row r="48" spans="1:11" ht="17" thickBot="1" x14ac:dyDescent="0.25">
      <c r="A48" s="42"/>
      <c r="C48" s="29"/>
      <c r="D48" s="28"/>
      <c r="E48" s="16"/>
      <c r="F48" s="15"/>
    </row>
    <row r="49" spans="1:9" ht="17" thickBot="1" x14ac:dyDescent="0.25">
      <c r="A49" s="37" t="s">
        <v>49</v>
      </c>
      <c r="B49" s="34"/>
      <c r="C49" s="49"/>
      <c r="D49" s="30">
        <f>Pago_Subtotal_Coordinador + Descuento_Coordinador + Deduccion_Coordinador</f>
        <v>6574</v>
      </c>
      <c r="E49" s="16"/>
      <c r="F49" s="15"/>
    </row>
    <row r="50" spans="1:9" x14ac:dyDescent="0.2">
      <c r="C50" s="29"/>
      <c r="D50" s="28"/>
      <c r="E50" s="26"/>
      <c r="F50" s="26"/>
    </row>
    <row r="51" spans="1:9" x14ac:dyDescent="0.2">
      <c r="C51" s="29"/>
      <c r="D51" s="28"/>
      <c r="E51" s="26"/>
      <c r="F51" s="26"/>
      <c r="I51" s="13"/>
    </row>
    <row r="52" spans="1:9" ht="17" thickBot="1" x14ac:dyDescent="0.25">
      <c r="C52" s="37" t="s">
        <v>25</v>
      </c>
      <c r="D52" s="121" t="str" cm="1">
        <f t="array" ref="D52">NumeroATexto(Pago_Neto_Coordinador)</f>
        <v>SEIS MIL QUINIENTOS SETENTA Y CUATRO PESOS 00/100</v>
      </c>
      <c r="E52" s="121"/>
      <c r="F52" s="121"/>
      <c r="G52" s="121"/>
      <c r="H52" s="121"/>
      <c r="I52" s="121"/>
    </row>
    <row r="53" spans="1:9" x14ac:dyDescent="0.2">
      <c r="C53" s="27"/>
      <c r="D53" s="26"/>
      <c r="E53" s="16"/>
      <c r="F53" s="15"/>
      <c r="I53" s="13"/>
    </row>
    <row r="54" spans="1:9" x14ac:dyDescent="0.2">
      <c r="C54" s="29"/>
      <c r="D54" s="28"/>
      <c r="I54" s="13"/>
    </row>
    <row r="55" spans="1:9" ht="17" thickBot="1" x14ac:dyDescent="0.25">
      <c r="C55" s="33" t="s">
        <v>26</v>
      </c>
      <c r="D55" s="122"/>
      <c r="E55" s="122"/>
      <c r="F55" s="122"/>
      <c r="G55" s="122"/>
      <c r="H55" s="122"/>
      <c r="I55" s="122"/>
    </row>
    <row r="56" spans="1:9" x14ac:dyDescent="0.2">
      <c r="I56" s="13"/>
    </row>
    <row r="57" spans="1:9" x14ac:dyDescent="0.2">
      <c r="I57" s="13"/>
    </row>
    <row r="58" spans="1:9" x14ac:dyDescent="0.2">
      <c r="I58" s="13"/>
    </row>
    <row r="59" spans="1:9" x14ac:dyDescent="0.2">
      <c r="I59" s="13"/>
    </row>
    <row r="60" spans="1:9" x14ac:dyDescent="0.2">
      <c r="I60" s="13"/>
    </row>
  </sheetData>
  <mergeCells count="4">
    <mergeCell ref="B1:D1"/>
    <mergeCell ref="B2:D2"/>
    <mergeCell ref="D52:I52"/>
    <mergeCell ref="D55:I55"/>
  </mergeCells>
  <conditionalFormatting sqref="D9:D40">
    <cfRule type="cellIs" dxfId="89" priority="5" operator="equal">
      <formula>0</formula>
    </cfRule>
    <cfRule type="cellIs" dxfId="88" priority="7" operator="equal">
      <formula>$G9=501</formula>
    </cfRule>
  </conditionalFormatting>
  <conditionalFormatting sqref="G9:G40">
    <cfRule type="cellIs" dxfId="87" priority="2" operator="equal">
      <formula>505</formula>
    </cfRule>
    <cfRule type="cellIs" dxfId="86" priority="4" operator="equal">
      <formula>501</formula>
    </cfRule>
    <cfRule type="containsBlanks" dxfId="85" priority="6">
      <formula>LEN(TRIM(G9))=0</formula>
    </cfRule>
  </conditionalFormatting>
  <conditionalFormatting sqref="A9:K40">
    <cfRule type="expression" dxfId="84" priority="3">
      <formula>$G9 = 503</formula>
    </cfRule>
  </conditionalFormatting>
  <conditionalFormatting sqref="H9:H40">
    <cfRule type="cellIs" dxfId="83" priority="1" stopIfTrue="1" operator="lessThan">
      <formula>299</formula>
    </cfRule>
  </conditionalFormatting>
  <conditionalFormatting sqref="B9:B40">
    <cfRule type="duplicateValues" dxfId="81" priority="3027"/>
  </conditionalFormatting>
  <dataValidations count="7">
    <dataValidation type="list" allowBlank="1" showInputMessage="1" showErrorMessage="1" sqref="F9:F40" xr:uid="{CB7B2347-C789-B240-82AB-0C1C8072981D}">
      <formula1>Cursos</formula1>
    </dataValidation>
    <dataValidation type="list" allowBlank="1" showInputMessage="1" showErrorMessage="1" sqref="B2:D2" xr:uid="{C5D8E74B-715B-3A47-BE70-107F4FEA328F}">
      <formula1>Razones_Sociales</formula1>
    </dataValidation>
    <dataValidation showInputMessage="1" showErrorMessage="1" sqref="A9:A40" xr:uid="{08D51973-084F-5C4C-9FB4-482532511D1F}"/>
    <dataValidation type="date" allowBlank="1" showInputMessage="1" showErrorMessage="1" sqref="I9:I40" xr:uid="{3A1F3892-9F90-DE42-9944-78C75DF011AF}">
      <formula1>Periodo_De_Pago_Inicial_Gerente</formula1>
      <formula2>Periodo_De_Pago_Final_Gerente</formula2>
    </dataValidation>
    <dataValidation type="custom" allowBlank="1" showInputMessage="1" showErrorMessage="1" sqref="G9:G40" xr:uid="{61D0CB67-D56C-8749-87D7-2067E8777960}">
      <formula1>G9&lt;&gt;500</formula1>
    </dataValidation>
    <dataValidation type="list" allowBlank="1" showInputMessage="1" showErrorMessage="1" sqref="E9:E40" xr:uid="{9E8F7271-09E6-F448-A23C-079839A2150A}">
      <formula1>Nombres_Planteles</formula1>
    </dataValidation>
    <dataValidation type="list" allowBlank="1" showInputMessage="1" showErrorMessage="1" sqref="B1" xr:uid="{B79465A7-7B32-8A44-B4FA-7592F50885EA}">
      <formula1>Nombres_Coordinadores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umPagoNetoCoordinacion">
                <anchor moveWithCells="1">
                  <from>
                    <xdr:col>12</xdr:col>
                    <xdr:colOff>152400</xdr:colOff>
                    <xdr:row>0</xdr:row>
                    <xdr:rowOff>63500</xdr:rowOff>
                  </from>
                  <to>
                    <xdr:col>13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953E71F0-42E5-6B46-ABFB-26B06F572267}">
            <xm:f>COUNTIF('FERNANDO VILLALVAZO'!#REF!,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35CD8C-2B33-1149-9BC3-69F5D55F91DC}">
          <x14:formula1>
            <xm:f>Planteles!$A$4:$A$15</xm:f>
          </x14:formula1>
          <xm:sqref>J9:J40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4B115-B226-DE4A-8374-452A78A02723}">
  <sheetPr codeName="Sheet25">
    <tabColor rgb="FF00B050"/>
    <pageSetUpPr fitToPage="1"/>
  </sheetPr>
  <dimension ref="A1:K27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8.1640625" style="13" bestFit="1" customWidth="1"/>
    <col min="6" max="6" width="12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97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COUNTIFS(Tabla_PromotorJONATHAN_MARTINEZ[GRUPO],"&lt;&gt;",
Tabla_PromotorJONATHAN_MARTINEZ[GRUPO],"&lt;&gt;503",
Tabla_PromotorJONATHAN_MARTINEZ[GRUPO],"&lt;&gt;500",
Tabla_PromotorJONATHAN_MARTINEZ[PAGO],"&gt;=299")</f>
        <v>5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67</v>
      </c>
      <c r="B9" s="126">
        <v>134740</v>
      </c>
      <c r="C9" s="126" t="s">
        <v>256</v>
      </c>
      <c r="D9" s="127">
        <f>IF(
    OR(
        Tabla_PromotorJONATHAN_MARTINEZ[[#This Row],[GRUPO]] = "",
        Tabla_PromotorJONATHAN_MARTINEZ[[#This Row],[GRUPO]] = 500,
        COUNTIF(Tabla_PromotorJONATHAN_MARTINEZ[CREDENCIAL], Tabla_PromotorJONATHAN_MARTINEZ[[#This Row],[CREDENCIAL]]) &gt; 1,
        COUNTIF(Tabla_Gerente[CREDENCIAL], Tabla_PromotorJONATHAN_MARTINEZ[[#This Row],[CREDENCIAL]]) &gt; 1,
    ),
    0,
    IF(
        Tabla_PromotorJONATHAN_MARTINEZ[[#This Row],[GRUPO]] = 503,
        Tabla_PromotorJONATHAN_MARTINEZ[[#This Row],[PAGO]],
        IF(
            Tabla_PromotorJONATHAN_MARTINEZ[[#This Row],[PAGO]] &gt;= 299,
            Tabla_PromotorJONATHAN_MARTINEZ[[#This Row],[PAGO]] - 150,
            0
        )
    )
)</f>
        <v>200</v>
      </c>
      <c r="E9" s="126" t="s">
        <v>36</v>
      </c>
      <c r="F9" s="126" t="s">
        <v>316</v>
      </c>
      <c r="G9" s="128">
        <v>1342</v>
      </c>
      <c r="H9" s="133">
        <f>IFERROR(VLOOKUP(Tabla_PromotorJONATHAN_MARTINEZ[[#This Row],[CREDENCIAL]], Tabla_Gerente[[CREDENCIAL]:[PAGO]], 7, FALSE), 0)</f>
        <v>350</v>
      </c>
      <c r="I9" s="134">
        <v>45748</v>
      </c>
      <c r="J9" s="131"/>
      <c r="K9" s="131"/>
    </row>
    <row r="10" spans="1:11" x14ac:dyDescent="0.2">
      <c r="A10" s="125" t="s">
        <v>67</v>
      </c>
      <c r="B10" s="126">
        <v>134741</v>
      </c>
      <c r="C10" s="126" t="s">
        <v>257</v>
      </c>
      <c r="D10" s="127">
        <f>IF(
    OR(
        Tabla_PromotorJONATHAN_MARTINEZ[[#This Row],[GRUPO]] = "",
        Tabla_PromotorJONATHAN_MARTINEZ[[#This Row],[GRUPO]] = 500,
        COUNTIF(Tabla_PromotorJONATHAN_MARTINEZ[CREDENCIAL], Tabla_PromotorJONATHAN_MARTINEZ[[#This Row],[CREDENCIAL]]) &gt; 1,
        COUNTIF(Tabla_Gerente[CREDENCIAL], Tabla_PromotorJONATHAN_MARTINEZ[[#This Row],[CREDENCIAL]]) &gt; 1,
    ),
    0,
    IF(
        Tabla_PromotorJONATHAN_MARTINEZ[[#This Row],[GRUPO]] = 503,
        Tabla_PromotorJONATHAN_MARTINEZ[[#This Row],[PAGO]],
        IF(
            Tabla_PromotorJONATHAN_MARTINEZ[[#This Row],[PAGO]] &gt;= 299,
            Tabla_PromotorJONATHAN_MARTINEZ[[#This Row],[PAGO]] - 150,
            0
        )
    )
)</f>
        <v>250</v>
      </c>
      <c r="E10" s="126" t="s">
        <v>36</v>
      </c>
      <c r="F10" s="126" t="s">
        <v>317</v>
      </c>
      <c r="G10" s="128">
        <v>1342</v>
      </c>
      <c r="H10" s="133">
        <f>IFERROR(VLOOKUP(Tabla_PromotorJONATHAN_MARTINEZ[[#This Row],[CREDENCIAL]], Tabla_Gerente[[CREDENCIAL]:[PAGO]], 7, FALSE), 0)</f>
        <v>400</v>
      </c>
      <c r="I10" s="134">
        <v>45749</v>
      </c>
      <c r="J10" s="131"/>
      <c r="K10" s="131"/>
    </row>
    <row r="11" spans="1:11" x14ac:dyDescent="0.2">
      <c r="A11" s="125" t="s">
        <v>67</v>
      </c>
      <c r="B11" s="126">
        <v>134742</v>
      </c>
      <c r="C11" s="126" t="s">
        <v>258</v>
      </c>
      <c r="D11" s="127">
        <f>IF(
    OR(
        Tabla_PromotorJONATHAN_MARTINEZ[[#This Row],[GRUPO]] = "",
        Tabla_PromotorJONATHAN_MARTINEZ[[#This Row],[GRUPO]] = 500,
        COUNTIF(Tabla_PromotorJONATHAN_MARTINEZ[CREDENCIAL], Tabla_PromotorJONATHAN_MARTINEZ[[#This Row],[CREDENCIAL]]) &gt; 1,
        COUNTIF(Tabla_Gerente[CREDENCIAL], Tabla_PromotorJONATHAN_MARTINEZ[[#This Row],[CREDENCIAL]]) &gt; 1,
    ),
    0,
    IF(
        Tabla_PromotorJONATHAN_MARTINEZ[[#This Row],[GRUPO]] = 503,
        Tabla_PromotorJONATHAN_MARTINEZ[[#This Row],[PAGO]],
        IF(
            Tabla_PromotorJONATHAN_MARTINEZ[[#This Row],[PAGO]] &gt;= 299,
            Tabla_PromotorJONATHAN_MARTINEZ[[#This Row],[PAGO]] - 150,
            0
        )
    )
)</f>
        <v>350</v>
      </c>
      <c r="E11" s="126" t="s">
        <v>36</v>
      </c>
      <c r="F11" s="126" t="s">
        <v>318</v>
      </c>
      <c r="G11" s="128">
        <v>1342</v>
      </c>
      <c r="H11" s="133">
        <f>IFERROR(VLOOKUP(Tabla_PromotorJONATHAN_MARTINEZ[[#This Row],[CREDENCIAL]], Tabla_Gerente[[CREDENCIAL]:[PAGO]], 7, FALSE), 0)</f>
        <v>500</v>
      </c>
      <c r="I11" s="134">
        <v>45746</v>
      </c>
      <c r="J11" s="131"/>
      <c r="K11" s="131"/>
    </row>
    <row r="12" spans="1:11" x14ac:dyDescent="0.2">
      <c r="A12" s="125" t="s">
        <v>67</v>
      </c>
      <c r="B12" s="126">
        <v>134743</v>
      </c>
      <c r="C12" s="126" t="s">
        <v>259</v>
      </c>
      <c r="D12" s="127">
        <f>IF(
    OR(
        Tabla_PromotorJONATHAN_MARTINEZ[[#This Row],[GRUPO]] = "",
        Tabla_PromotorJONATHAN_MARTINEZ[[#This Row],[GRUPO]] = 500,
        COUNTIF(Tabla_PromotorJONATHAN_MARTINEZ[CREDENCIAL], Tabla_PromotorJONATHAN_MARTINEZ[[#This Row],[CREDENCIAL]]) &gt; 1,
        COUNTIF(Tabla_Gerente[CREDENCIAL], Tabla_PromotorJONATHAN_MARTINEZ[[#This Row],[CREDENCIAL]]) &gt; 1,
    ),
    0,
    IF(
        Tabla_PromotorJONATHAN_MARTINEZ[[#This Row],[GRUPO]] = 503,
        Tabla_PromotorJONATHAN_MARTINEZ[[#This Row],[PAGO]],
        IF(
            Tabla_PromotorJONATHAN_MARTINEZ[[#This Row],[PAGO]] &gt;= 299,
            Tabla_PromotorJONATHAN_MARTINEZ[[#This Row],[PAGO]] - 150,
            0
        )
    )
)</f>
        <v>149</v>
      </c>
      <c r="E12" s="126" t="s">
        <v>36</v>
      </c>
      <c r="F12" s="126" t="s">
        <v>319</v>
      </c>
      <c r="G12" s="128">
        <v>1342</v>
      </c>
      <c r="H12" s="133">
        <f>IFERROR(VLOOKUP(Tabla_PromotorJONATHAN_MARTINEZ[[#This Row],[CREDENCIAL]], Tabla_Gerente[[CREDENCIAL]:[PAGO]], 7, FALSE), 0)</f>
        <v>299</v>
      </c>
      <c r="I12" s="134">
        <v>45749</v>
      </c>
      <c r="J12" s="131"/>
      <c r="K12" s="131"/>
    </row>
    <row r="13" spans="1:11" x14ac:dyDescent="0.2">
      <c r="A13" s="125" t="s">
        <v>67</v>
      </c>
      <c r="B13" s="126">
        <v>134744</v>
      </c>
      <c r="C13" s="126" t="s">
        <v>260</v>
      </c>
      <c r="D13" s="127">
        <f>IF(
    OR(
        Tabla_PromotorJONATHAN_MARTINEZ[[#This Row],[GRUPO]] = "",
        Tabla_PromotorJONATHAN_MARTINEZ[[#This Row],[GRUPO]] = 500,
        COUNTIF(Tabla_PromotorJONATHAN_MARTINEZ[CREDENCIAL], Tabla_PromotorJONATHAN_MARTINEZ[[#This Row],[CREDENCIAL]]) &gt; 1,
        COUNTIF(Tabla_Gerente[CREDENCIAL], Tabla_PromotorJONATHAN_MARTINEZ[[#This Row],[CREDENCIAL]]) &gt; 1,
    ),
    0,
    IF(
        Tabla_PromotorJONATHAN_MARTINEZ[[#This Row],[GRUPO]] = 503,
        Tabla_PromotorJONATHAN_MARTINEZ[[#This Row],[PAGO]],
        IF(
            Tabla_PromotorJONATHAN_MARTINEZ[[#This Row],[PAGO]] &gt;= 299,
            Tabla_PromotorJONATHAN_MARTINEZ[[#This Row],[PAGO]] - 150,
            0
        )
    )
)</f>
        <v>150</v>
      </c>
      <c r="E13" s="126" t="s">
        <v>36</v>
      </c>
      <c r="F13" s="126" t="s">
        <v>318</v>
      </c>
      <c r="G13" s="128">
        <v>1342</v>
      </c>
      <c r="H13" s="133">
        <f>IFERROR(VLOOKUP(Tabla_PromotorJONATHAN_MARTINEZ[[#This Row],[CREDENCIAL]], Tabla_Gerente[[CREDENCIAL]:[PAGO]], 7, FALSE), 0)</f>
        <v>300</v>
      </c>
      <c r="I13" s="134">
        <v>45746</v>
      </c>
      <c r="J13" s="131"/>
      <c r="K13" s="131"/>
    </row>
    <row r="14" spans="1:11" x14ac:dyDescent="0.2">
      <c r="A14" s="125" t="s">
        <v>50</v>
      </c>
      <c r="B14" s="126"/>
      <c r="C14" s="126"/>
      <c r="D14" s="127">
        <f>SUBTOTAL(109,Tabla_PromotorJONATHAN_MARTINEZ[COMISION])</f>
        <v>1099</v>
      </c>
      <c r="E14" s="126"/>
      <c r="F14" s="126"/>
      <c r="G14" s="128"/>
      <c r="H14" s="133"/>
      <c r="I14" s="134"/>
      <c r="J14" s="131"/>
      <c r="K14" s="131"/>
    </row>
    <row r="15" spans="1:11" x14ac:dyDescent="0.2">
      <c r="A15" s="25"/>
      <c r="B15" s="14"/>
      <c r="C15" s="15"/>
      <c r="D15" s="52"/>
      <c r="E15" s="14"/>
      <c r="F15" s="14"/>
      <c r="G15" s="27"/>
      <c r="H15" s="53"/>
      <c r="I15" s="14"/>
      <c r="J15" s="16"/>
      <c r="K15" s="16"/>
    </row>
    <row r="16" spans="1:11" x14ac:dyDescent="0.2">
      <c r="A16" s="25" t="s">
        <v>13</v>
      </c>
      <c r="D16" s="68">
        <f>_xlfn.IFNA(VLOOKUP(Nombre_Promotor,Sueldos_Base[],2,FALSE),0)</f>
        <v>1000</v>
      </c>
      <c r="E16" s="16"/>
      <c r="F16" s="15"/>
      <c r="H16" s="15"/>
      <c r="J16" s="24"/>
    </row>
    <row r="17" spans="1:11" ht="17" thickBot="1" x14ac:dyDescent="0.25">
      <c r="A17" s="37" t="s">
        <v>45</v>
      </c>
      <c r="B17" s="38">
        <f>IF(Total_Registros_Promotor &lt; Premios!A5, 0,
   VLOOKUP(Total_Registros_Promotor, Premios_Promotor[], 1, TRUE))</f>
        <v>4</v>
      </c>
      <c r="C17" s="34"/>
      <c r="D17" s="36">
        <f>IF(Premio_Promotor &gt; 0,
   VLOOKUP(Premio_Promotor, Premios_Promotor[],
      VLOOKUP(Total_Registros_Gerente, Tabulador_Premio_Promotor_Total_Gerencia[], 2, TRUE),
   FALSE),
   0)</f>
        <v>500</v>
      </c>
      <c r="E17" s="16"/>
      <c r="F17" s="15"/>
      <c r="H17" s="15"/>
      <c r="J17" s="24"/>
    </row>
    <row r="18" spans="1:11" x14ac:dyDescent="0.2">
      <c r="A18" s="27" t="s">
        <v>46</v>
      </c>
      <c r="B18" s="18"/>
      <c r="D18" s="28">
        <f>Tabla_PromotorJONATHAN_MARTINEZ[[#Totals],[COMISION]] + Pago_Sueldo_Base_Promotor + Pago_Premio_Promotor</f>
        <v>2599</v>
      </c>
      <c r="E18" s="16"/>
      <c r="F18" s="15"/>
      <c r="H18" s="15"/>
      <c r="J18" s="24"/>
    </row>
    <row r="19" spans="1:11" x14ac:dyDescent="0.2">
      <c r="A19" s="27" t="s">
        <v>195</v>
      </c>
      <c r="B19" s="18"/>
      <c r="C19" s="29"/>
      <c r="D19" s="39">
        <f>_xlfn.IFNA(SUMIFS(Descuentos[DESCUENTO], Descuentos[COLABORADOR], Nombre_Promotor, Descuentos[PUESTO], Puesto_Promotor), 0)</f>
        <v>0</v>
      </c>
      <c r="E19" s="16" t="s">
        <v>121</v>
      </c>
      <c r="F19" s="15"/>
      <c r="H19" s="15"/>
      <c r="I19" s="18"/>
      <c r="J19" s="22"/>
      <c r="K19" s="22"/>
    </row>
    <row r="20" spans="1:11" ht="17" thickBot="1" x14ac:dyDescent="0.25">
      <c r="A20" s="35"/>
      <c r="C20" s="29"/>
      <c r="D20" s="28"/>
      <c r="E20" s="16"/>
      <c r="F20" s="15"/>
    </row>
    <row r="21" spans="1:11" ht="17" thickBot="1" x14ac:dyDescent="0.25">
      <c r="A21" s="37" t="s">
        <v>49</v>
      </c>
      <c r="B21" s="34"/>
      <c r="C21" s="49"/>
      <c r="D21" s="30">
        <f>Pago_Subtotal_Promotor + Descuento_Promotor</f>
        <v>2599</v>
      </c>
      <c r="E21" s="16"/>
      <c r="F21" s="15"/>
    </row>
    <row r="22" spans="1:11" x14ac:dyDescent="0.2">
      <c r="C22" s="29"/>
      <c r="D22" s="28"/>
      <c r="E22" s="26"/>
      <c r="F22" s="26"/>
    </row>
    <row r="23" spans="1:11" x14ac:dyDescent="0.2">
      <c r="C23" s="29"/>
      <c r="D23" s="28"/>
      <c r="E23" s="26"/>
      <c r="F23" s="26"/>
    </row>
    <row r="24" spans="1:11" ht="17" thickBot="1" x14ac:dyDescent="0.25">
      <c r="C24" s="37" t="s">
        <v>25</v>
      </c>
      <c r="D24" s="121" t="str" cm="1">
        <f t="array" ref="D24">NumeroATexto(Pago_Neto_Promotor)</f>
        <v>DOS MIL QUINIENTOS NOVENTA Y NUEVE PESOS 00/100</v>
      </c>
      <c r="E24" s="121"/>
      <c r="F24" s="121"/>
      <c r="G24" s="121"/>
      <c r="H24" s="121"/>
      <c r="I24" s="121"/>
    </row>
    <row r="25" spans="1:11" x14ac:dyDescent="0.2">
      <c r="C25" s="27"/>
      <c r="D25" s="26"/>
      <c r="E25" s="16"/>
      <c r="F25" s="15"/>
    </row>
    <row r="26" spans="1:11" x14ac:dyDescent="0.2">
      <c r="C26" s="29"/>
      <c r="D26" s="28"/>
    </row>
    <row r="27" spans="1:11" ht="17" thickBot="1" x14ac:dyDescent="0.25">
      <c r="C27" s="33" t="s">
        <v>26</v>
      </c>
      <c r="D27" s="122"/>
      <c r="E27" s="122"/>
      <c r="F27" s="122"/>
      <c r="G27" s="122"/>
      <c r="H27" s="122"/>
      <c r="I27" s="122"/>
    </row>
  </sheetData>
  <mergeCells count="4">
    <mergeCell ref="B1:D1"/>
    <mergeCell ref="B2:D2"/>
    <mergeCell ref="D24:I24"/>
    <mergeCell ref="D27:I27"/>
  </mergeCells>
  <conditionalFormatting sqref="D9:D13">
    <cfRule type="expression" dxfId="80" priority="2">
      <formula>$G9=501</formula>
    </cfRule>
    <cfRule type="cellIs" dxfId="79" priority="5" operator="equal">
      <formula>0</formula>
    </cfRule>
  </conditionalFormatting>
  <conditionalFormatting sqref="G9:G13">
    <cfRule type="cellIs" dxfId="78" priority="3" operator="equal">
      <formula>503</formula>
    </cfRule>
    <cfRule type="cellIs" dxfId="77" priority="4" operator="equal">
      <formula>501</formula>
    </cfRule>
  </conditionalFormatting>
  <conditionalFormatting sqref="H9:H13">
    <cfRule type="cellIs" dxfId="76" priority="1" operator="lessThan">
      <formula>299</formula>
    </cfRule>
  </conditionalFormatting>
  <conditionalFormatting sqref="B9:B13">
    <cfRule type="duplicateValues" dxfId="74" priority="3063"/>
  </conditionalFormatting>
  <dataValidations count="6">
    <dataValidation type="list" allowBlank="1" showInputMessage="1" showErrorMessage="1" sqref="F9:F13" xr:uid="{0003065F-49B5-E847-B2C9-9544E57D02AD}">
      <formula1>Cursos</formula1>
    </dataValidation>
    <dataValidation type="list" allowBlank="1" showInputMessage="1" showErrorMessage="1" sqref="B2:D2" xr:uid="{4ABF8F21-8014-964C-BB85-9F72A3D0B388}">
      <formula1>Razones_Sociales</formula1>
    </dataValidation>
    <dataValidation type="date" allowBlank="1" showInputMessage="1" showErrorMessage="1" sqref="I9:I13" xr:uid="{D5265D76-2F1D-CD4A-B6E7-A03E3D12A53B}">
      <formula1>Periodo_De_Pago_Inicial_Gerente</formula1>
      <formula2>Periodo_De_Pago_Final_Gerente</formula2>
    </dataValidation>
    <dataValidation type="custom" allowBlank="1" showInputMessage="1" showErrorMessage="1" sqref="G9:G13" xr:uid="{D48F3408-588C-2147-885B-4B1A7F5B53B2}">
      <formula1>G9&lt;&gt;500</formula1>
    </dataValidation>
    <dataValidation type="list" allowBlank="1" showInputMessage="1" showErrorMessage="1" sqref="E9:E13" xr:uid="{49686FE3-718F-A040-A9D0-5D10B683F69C}">
      <formula1>Nombres_Planteles</formula1>
    </dataValidation>
    <dataValidation type="list" allowBlank="1" showInputMessage="1" showErrorMessage="1" sqref="B1" xr:uid="{4E470DF3-2CE0-044B-B5CC-41E971ACDDCE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A731CAC9-79C2-6440-8B96-34AC12B30213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FBC459-184D-4D4A-AB2E-ADF6FA9FA8BB}">
          <x14:formula1>
            <xm:f>Planteles!$A$4:$A$15</xm:f>
          </x14:formula1>
          <xm:sqref>J9:J13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A29A5-5EB4-F442-B679-9BDC4B9B6093}">
  <sheetPr codeName="Sheet24">
    <tabColor rgb="FF00B050"/>
    <pageSetUpPr fitToPage="1"/>
  </sheetPr>
  <dimension ref="A1:K30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8.1640625" style="13" bestFit="1" customWidth="1"/>
    <col min="6" max="6" width="12.66406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96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COUNTIFS(Tabla_PromotorFERNANDA_ORNELAS[GRUPO],"&lt;&gt;",
Tabla_PromotorFERNANDA_ORNELAS[GRUPO],"&lt;&gt;503",
Tabla_PromotorFERNANDA_ORNELAS[GRUPO],"&lt;&gt;500",
Tabla_PromotorFERNANDA_ORNELAS[PAGO],"&gt;=299")</f>
        <v>8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186</v>
      </c>
      <c r="B9" s="126">
        <v>134732</v>
      </c>
      <c r="C9" s="126" t="s">
        <v>246</v>
      </c>
      <c r="D9" s="127">
        <f>IF(
    OR(
        Tabla_PromotorFERNANDA_ORNELAS[[#This Row],[GRUPO]] = "",
        Tabla_PromotorFERNANDA_ORNELAS[[#This Row],[GRUPO]] = 500,
        COUNTIF(Tabla_PromotorFERNANDA_ORNELAS[CREDENCIAL], Tabla_PromotorFERNANDA_ORNELAS[[#This Row],[CREDENCIAL]]) &gt; 1,
        COUNTIF(Tabla_Gerente[CREDENCIAL], Tabla_PromotorFERNANDA_ORNELAS[[#This Row],[CREDENCIAL]]) &gt; 1,
    ),
    0,
    IF(
        Tabla_PromotorFERNANDA_ORNELAS[[#This Row],[GRUPO]] = 503,
        Tabla_PromotorFERNANDA_ORNELAS[[#This Row],[PAGO]],
        IF(
            Tabla_PromotorFERNANDA_ORNELAS[[#This Row],[PAGO]] &gt;= 299,
            Tabla_PromotorFERNANDA_ORNELAS[[#This Row],[PAGO]] - 150,
            0
        )
    )
)</f>
        <v>250</v>
      </c>
      <c r="E9" s="126" t="s">
        <v>44</v>
      </c>
      <c r="F9" s="126" t="s">
        <v>313</v>
      </c>
      <c r="G9" s="128">
        <v>1342</v>
      </c>
      <c r="H9" s="133">
        <f>IFERROR(VLOOKUP(Tabla_PromotorFERNANDA_ORNELAS[[#This Row],[CREDENCIAL]], Tabla_Gerente[[CREDENCIAL]:[PAGO]], 7, FALSE), 0)</f>
        <v>400</v>
      </c>
      <c r="I9" s="134">
        <v>45746</v>
      </c>
      <c r="J9" s="131"/>
      <c r="K9" s="131"/>
    </row>
    <row r="10" spans="1:11" x14ac:dyDescent="0.2">
      <c r="A10" s="125" t="s">
        <v>186</v>
      </c>
      <c r="B10" s="126">
        <v>134733</v>
      </c>
      <c r="C10" s="126" t="s">
        <v>247</v>
      </c>
      <c r="D10" s="127">
        <f>IF(
    OR(
        Tabla_PromotorFERNANDA_ORNELAS[[#This Row],[GRUPO]] = "",
        Tabla_PromotorFERNANDA_ORNELAS[[#This Row],[GRUPO]] = 500,
        COUNTIF(Tabla_PromotorFERNANDA_ORNELAS[CREDENCIAL], Tabla_PromotorFERNANDA_ORNELAS[[#This Row],[CREDENCIAL]]) &gt; 1,
        COUNTIF(Tabla_Gerente[CREDENCIAL], Tabla_PromotorFERNANDA_ORNELAS[[#This Row],[CREDENCIAL]]) &gt; 1,
    ),
    0,
    IF(
        Tabla_PromotorFERNANDA_ORNELAS[[#This Row],[GRUPO]] = 503,
        Tabla_PromotorFERNANDA_ORNELAS[[#This Row],[PAGO]],
        IF(
            Tabla_PromotorFERNANDA_ORNELAS[[#This Row],[PAGO]] &gt;= 299,
            Tabla_PromotorFERNANDA_ORNELAS[[#This Row],[PAGO]] - 150,
            0
        )
    )
)</f>
        <v>350</v>
      </c>
      <c r="E10" s="126" t="s">
        <v>44</v>
      </c>
      <c r="F10" s="126" t="s">
        <v>314</v>
      </c>
      <c r="G10" s="128">
        <v>1342</v>
      </c>
      <c r="H10" s="133">
        <f>IFERROR(VLOOKUP(Tabla_PromotorFERNANDA_ORNELAS[[#This Row],[CREDENCIAL]], Tabla_Gerente[[CREDENCIAL]:[PAGO]], 7, FALSE), 0)</f>
        <v>500</v>
      </c>
      <c r="I10" s="134">
        <v>45743</v>
      </c>
      <c r="J10" s="131"/>
      <c r="K10" s="131"/>
    </row>
    <row r="11" spans="1:11" x14ac:dyDescent="0.2">
      <c r="A11" s="125" t="s">
        <v>186</v>
      </c>
      <c r="B11" s="126">
        <v>134734</v>
      </c>
      <c r="C11" s="126" t="s">
        <v>250</v>
      </c>
      <c r="D11" s="127">
        <f>IF(
    OR(
        Tabla_PromotorFERNANDA_ORNELAS[[#This Row],[GRUPO]] = "",
        Tabla_PromotorFERNANDA_ORNELAS[[#This Row],[GRUPO]] = 500,
        COUNTIF(Tabla_PromotorFERNANDA_ORNELAS[CREDENCIAL], Tabla_PromotorFERNANDA_ORNELAS[[#This Row],[CREDENCIAL]]) &gt; 1,
        COUNTIF(Tabla_Gerente[CREDENCIAL], Tabla_PromotorFERNANDA_ORNELAS[[#This Row],[CREDENCIAL]]) &gt; 1,
    ),
    0,
    IF(
        Tabla_PromotorFERNANDA_ORNELAS[[#This Row],[GRUPO]] = 503,
        Tabla_PromotorFERNANDA_ORNELAS[[#This Row],[PAGO]],
        IF(
            Tabla_PromotorFERNANDA_ORNELAS[[#This Row],[PAGO]] &gt;= 299,
            Tabla_PromotorFERNANDA_ORNELAS[[#This Row],[PAGO]] - 150,
            0
        )
    )
)</f>
        <v>149</v>
      </c>
      <c r="E11" s="126" t="s">
        <v>44</v>
      </c>
      <c r="F11" s="126" t="s">
        <v>311</v>
      </c>
      <c r="G11" s="128">
        <v>1342</v>
      </c>
      <c r="H11" s="133">
        <f>IFERROR(VLOOKUP(Tabla_PromotorFERNANDA_ORNELAS[[#This Row],[CREDENCIAL]], Tabla_Gerente[[CREDENCIAL]:[PAGO]], 7, FALSE), 0)</f>
        <v>299</v>
      </c>
      <c r="I11" s="134">
        <v>45746</v>
      </c>
      <c r="J11" s="131"/>
      <c r="K11" s="131"/>
    </row>
    <row r="12" spans="1:11" x14ac:dyDescent="0.2">
      <c r="A12" s="125" t="s">
        <v>186</v>
      </c>
      <c r="B12" s="126">
        <v>134735</v>
      </c>
      <c r="C12" s="126" t="s">
        <v>251</v>
      </c>
      <c r="D12" s="127">
        <f>IF(
    OR(
        Tabla_PromotorFERNANDA_ORNELAS[[#This Row],[GRUPO]] = "",
        Tabla_PromotorFERNANDA_ORNELAS[[#This Row],[GRUPO]] = 500,
        COUNTIF(Tabla_PromotorFERNANDA_ORNELAS[CREDENCIAL], Tabla_PromotorFERNANDA_ORNELAS[[#This Row],[CREDENCIAL]]) &gt; 1,
        COUNTIF(Tabla_Gerente[CREDENCIAL], Tabla_PromotorFERNANDA_ORNELAS[[#This Row],[CREDENCIAL]]) &gt; 1,
    ),
    0,
    IF(
        Tabla_PromotorFERNANDA_ORNELAS[[#This Row],[GRUPO]] = 503,
        Tabla_PromotorFERNANDA_ORNELAS[[#This Row],[PAGO]],
        IF(
            Tabla_PromotorFERNANDA_ORNELAS[[#This Row],[PAGO]] &gt;= 299,
            Tabla_PromotorFERNANDA_ORNELAS[[#This Row],[PAGO]] - 150,
            0
        )
    )
)</f>
        <v>150</v>
      </c>
      <c r="E12" s="126" t="s">
        <v>44</v>
      </c>
      <c r="F12" s="126" t="s">
        <v>312</v>
      </c>
      <c r="G12" s="128">
        <v>1342</v>
      </c>
      <c r="H12" s="133">
        <f>IFERROR(VLOOKUP(Tabla_PromotorFERNANDA_ORNELAS[[#This Row],[CREDENCIAL]], Tabla_Gerente[[CREDENCIAL]:[PAGO]], 7, FALSE), 0)</f>
        <v>300</v>
      </c>
      <c r="I12" s="134">
        <v>45744</v>
      </c>
      <c r="J12" s="131"/>
      <c r="K12" s="131"/>
    </row>
    <row r="13" spans="1:11" x14ac:dyDescent="0.2">
      <c r="A13" s="125" t="s">
        <v>186</v>
      </c>
      <c r="B13" s="126">
        <v>134736</v>
      </c>
      <c r="C13" s="126" t="s">
        <v>252</v>
      </c>
      <c r="D13" s="127">
        <f>IF(
    OR(
        Tabla_PromotorFERNANDA_ORNELAS[[#This Row],[GRUPO]] = "",
        Tabla_PromotorFERNANDA_ORNELAS[[#This Row],[GRUPO]] = 500,
        COUNTIF(Tabla_PromotorFERNANDA_ORNELAS[CREDENCIAL], Tabla_PromotorFERNANDA_ORNELAS[[#This Row],[CREDENCIAL]]) &gt; 1,
        COUNTIF(Tabla_Gerente[CREDENCIAL], Tabla_PromotorFERNANDA_ORNELAS[[#This Row],[CREDENCIAL]]) &gt; 1,
    ),
    0,
    IF(
        Tabla_PromotorFERNANDA_ORNELAS[[#This Row],[GRUPO]] = 503,
        Tabla_PromotorFERNANDA_ORNELAS[[#This Row],[PAGO]],
        IF(
            Tabla_PromotorFERNANDA_ORNELAS[[#This Row],[PAGO]] &gt;= 299,
            Tabla_PromotorFERNANDA_ORNELAS[[#This Row],[PAGO]] - 150,
            0
        )
    )
)</f>
        <v>200</v>
      </c>
      <c r="E13" s="126" t="s">
        <v>44</v>
      </c>
      <c r="F13" s="126" t="s">
        <v>311</v>
      </c>
      <c r="G13" s="128">
        <v>1342</v>
      </c>
      <c r="H13" s="133">
        <f>IFERROR(VLOOKUP(Tabla_PromotorFERNANDA_ORNELAS[[#This Row],[CREDENCIAL]], Tabla_Gerente[[CREDENCIAL]:[PAGO]], 7, FALSE), 0)</f>
        <v>350</v>
      </c>
      <c r="I13" s="134">
        <v>45746</v>
      </c>
      <c r="J13" s="131"/>
      <c r="K13" s="131"/>
    </row>
    <row r="14" spans="1:11" x14ac:dyDescent="0.2">
      <c r="A14" s="125" t="s">
        <v>186</v>
      </c>
      <c r="B14" s="126">
        <v>134737</v>
      </c>
      <c r="C14" s="126" t="s">
        <v>253</v>
      </c>
      <c r="D14" s="127">
        <f>IF(
    OR(
        Tabla_PromotorFERNANDA_ORNELAS[[#This Row],[GRUPO]] = "",
        Tabla_PromotorFERNANDA_ORNELAS[[#This Row],[GRUPO]] = 500,
        COUNTIF(Tabla_PromotorFERNANDA_ORNELAS[CREDENCIAL], Tabla_PromotorFERNANDA_ORNELAS[[#This Row],[CREDENCIAL]]) &gt; 1,
        COUNTIF(Tabla_Gerente[CREDENCIAL], Tabla_PromotorFERNANDA_ORNELAS[[#This Row],[CREDENCIAL]]) &gt; 1,
    ),
    0,
    IF(
        Tabla_PromotorFERNANDA_ORNELAS[[#This Row],[GRUPO]] = 503,
        Tabla_PromotorFERNANDA_ORNELAS[[#This Row],[PAGO]],
        IF(
            Tabla_PromotorFERNANDA_ORNELAS[[#This Row],[PAGO]] &gt;= 299,
            Tabla_PromotorFERNANDA_ORNELAS[[#This Row],[PAGO]] - 150,
            0
        )
    )
)</f>
        <v>149</v>
      </c>
      <c r="E14" s="126" t="s">
        <v>36</v>
      </c>
      <c r="F14" s="126" t="s">
        <v>313</v>
      </c>
      <c r="G14" s="128">
        <v>1342</v>
      </c>
      <c r="H14" s="133">
        <f>IFERROR(VLOOKUP(Tabla_PromotorFERNANDA_ORNELAS[[#This Row],[CREDENCIAL]], Tabla_Gerente[[CREDENCIAL]:[PAGO]], 7, FALSE), 0)</f>
        <v>299</v>
      </c>
      <c r="I14" s="134">
        <v>45745</v>
      </c>
      <c r="J14" s="131"/>
      <c r="K14" s="131"/>
    </row>
    <row r="15" spans="1:11" x14ac:dyDescent="0.2">
      <c r="A15" s="125" t="s">
        <v>186</v>
      </c>
      <c r="B15" s="126">
        <v>134738</v>
      </c>
      <c r="C15" s="126" t="s">
        <v>254</v>
      </c>
      <c r="D15" s="127">
        <f>IF(
    OR(
        Tabla_PromotorFERNANDA_ORNELAS[[#This Row],[GRUPO]] = "",
        Tabla_PromotorFERNANDA_ORNELAS[[#This Row],[GRUPO]] = 500,
        COUNTIF(Tabla_PromotorFERNANDA_ORNELAS[CREDENCIAL], Tabla_PromotorFERNANDA_ORNELAS[[#This Row],[CREDENCIAL]]) &gt; 1,
        COUNTIF(Tabla_Gerente[CREDENCIAL], Tabla_PromotorFERNANDA_ORNELAS[[#This Row],[CREDENCIAL]]) &gt; 1,
    ),
    0,
    IF(
        Tabla_PromotorFERNANDA_ORNELAS[[#This Row],[GRUPO]] = 503,
        Tabla_PromotorFERNANDA_ORNELAS[[#This Row],[PAGO]],
        IF(
            Tabla_PromotorFERNANDA_ORNELAS[[#This Row],[PAGO]] &gt;= 299,
            Tabla_PromotorFERNANDA_ORNELAS[[#This Row],[PAGO]] - 150,
            0
        )
    )
)</f>
        <v>150</v>
      </c>
      <c r="E15" s="126" t="s">
        <v>36</v>
      </c>
      <c r="F15" s="126" t="s">
        <v>314</v>
      </c>
      <c r="G15" s="128">
        <v>1342</v>
      </c>
      <c r="H15" s="133">
        <f>IFERROR(VLOOKUP(Tabla_PromotorFERNANDA_ORNELAS[[#This Row],[CREDENCIAL]], Tabla_Gerente[[CREDENCIAL]:[PAGO]], 7, FALSE), 0)</f>
        <v>300</v>
      </c>
      <c r="I15" s="134">
        <v>45748</v>
      </c>
      <c r="J15" s="131"/>
      <c r="K15" s="131"/>
    </row>
    <row r="16" spans="1:11" x14ac:dyDescent="0.2">
      <c r="A16" s="125" t="s">
        <v>186</v>
      </c>
      <c r="B16" s="126">
        <v>134739</v>
      </c>
      <c r="C16" s="126" t="s">
        <v>255</v>
      </c>
      <c r="D16" s="127">
        <f>IF(
    OR(
        Tabla_PromotorFERNANDA_ORNELAS[[#This Row],[GRUPO]] = "",
        Tabla_PromotorFERNANDA_ORNELAS[[#This Row],[GRUPO]] = 500,
        COUNTIF(Tabla_PromotorFERNANDA_ORNELAS[CREDENCIAL], Tabla_PromotorFERNANDA_ORNELAS[[#This Row],[CREDENCIAL]]) &gt; 1,
        COUNTIF(Tabla_Gerente[CREDENCIAL], Tabla_PromotorFERNANDA_ORNELAS[[#This Row],[CREDENCIAL]]) &gt; 1,
    ),
    0,
    IF(
        Tabla_PromotorFERNANDA_ORNELAS[[#This Row],[GRUPO]] = 503,
        Tabla_PromotorFERNANDA_ORNELAS[[#This Row],[PAGO]],
        IF(
            Tabla_PromotorFERNANDA_ORNELAS[[#This Row],[PAGO]] &gt;= 299,
            Tabla_PromotorFERNANDA_ORNELAS[[#This Row],[PAGO]] - 150,
            0
        )
    )
)</f>
        <v>200</v>
      </c>
      <c r="E16" s="126" t="s">
        <v>36</v>
      </c>
      <c r="F16" s="126" t="s">
        <v>315</v>
      </c>
      <c r="G16" s="128">
        <v>501</v>
      </c>
      <c r="H16" s="133">
        <f>IFERROR(VLOOKUP(Tabla_PromotorFERNANDA_ORNELAS[[#This Row],[CREDENCIAL]], Tabla_Gerente[[CREDENCIAL]:[PAGO]], 7, FALSE), 0)</f>
        <v>350</v>
      </c>
      <c r="I16" s="134">
        <v>45744</v>
      </c>
      <c r="J16" s="131"/>
      <c r="K16" s="131"/>
    </row>
    <row r="17" spans="1:11" x14ac:dyDescent="0.2">
      <c r="A17" s="125" t="s">
        <v>50</v>
      </c>
      <c r="B17" s="126"/>
      <c r="C17" s="126"/>
      <c r="D17" s="127">
        <f>SUBTOTAL(109,Tabla_PromotorFERNANDA_ORNELAS[COMISION])</f>
        <v>1598</v>
      </c>
      <c r="E17" s="126"/>
      <c r="F17" s="126"/>
      <c r="G17" s="128"/>
      <c r="H17" s="133"/>
      <c r="I17" s="134"/>
      <c r="J17" s="131"/>
      <c r="K17" s="131"/>
    </row>
    <row r="18" spans="1:11" x14ac:dyDescent="0.2">
      <c r="A18" s="25"/>
      <c r="B18" s="14"/>
      <c r="C18" s="15"/>
      <c r="D18" s="52"/>
      <c r="E18" s="14"/>
      <c r="F18" s="14"/>
      <c r="G18" s="27"/>
      <c r="H18" s="53"/>
      <c r="I18" s="14"/>
      <c r="J18" s="16"/>
      <c r="K18" s="16"/>
    </row>
    <row r="19" spans="1:11" x14ac:dyDescent="0.2">
      <c r="A19" s="25" t="s">
        <v>13</v>
      </c>
      <c r="D19" s="68">
        <f>_xlfn.IFNA(VLOOKUP(Nombre_Promotor,Sueldos_Base[],2,FALSE),0)</f>
        <v>1000</v>
      </c>
      <c r="E19" s="16"/>
      <c r="F19" s="15"/>
      <c r="H19" s="15"/>
      <c r="J19" s="24"/>
    </row>
    <row r="20" spans="1:11" ht="17" thickBot="1" x14ac:dyDescent="0.25">
      <c r="A20" s="37" t="s">
        <v>45</v>
      </c>
      <c r="B20" s="38">
        <f>IF(Total_Registros_Promotor &lt; Premios!A5, 0,
   VLOOKUP(Total_Registros_Promotor, Premios_Promotor[], 1, TRUE))</f>
        <v>6</v>
      </c>
      <c r="C20" s="34"/>
      <c r="D20" s="36">
        <f>IF(Premio_Promotor &gt; 0,
   VLOOKUP(Premio_Promotor, Premios_Promotor[],
      VLOOKUP(Total_Registros_Gerente, Tabulador_Premio_Promotor_Total_Gerencia[], 2, TRUE),
   FALSE),
   0)</f>
        <v>800</v>
      </c>
      <c r="E20" s="16"/>
      <c r="F20" s="15"/>
      <c r="H20" s="15"/>
      <c r="J20" s="24"/>
    </row>
    <row r="21" spans="1:11" x14ac:dyDescent="0.2">
      <c r="A21" s="27" t="s">
        <v>46</v>
      </c>
      <c r="B21" s="18"/>
      <c r="D21" s="28">
        <f>Tabla_PromotorFERNANDA_ORNELAS[[#Totals],[COMISION]] + Pago_Sueldo_Base_Promotor + Pago_Premio_Promotor</f>
        <v>3398</v>
      </c>
      <c r="E21" s="16"/>
      <c r="F21" s="15"/>
      <c r="H21" s="15"/>
      <c r="J21" s="24"/>
    </row>
    <row r="22" spans="1:11" x14ac:dyDescent="0.2">
      <c r="A22" s="27" t="s">
        <v>195</v>
      </c>
      <c r="B22" s="18"/>
      <c r="C22" s="29"/>
      <c r="D22" s="39">
        <f>_xlfn.IFNA(SUMIFS(Descuentos[DESCUENTO], Descuentos[COLABORADOR], Nombre_Promotor, Descuentos[PUESTO], Puesto_Promotor), 0)</f>
        <v>0</v>
      </c>
      <c r="E22" s="16" t="s">
        <v>121</v>
      </c>
      <c r="F22" s="15"/>
      <c r="H22" s="15"/>
      <c r="I22" s="18"/>
      <c r="J22" s="22"/>
      <c r="K22" s="22"/>
    </row>
    <row r="23" spans="1:11" ht="17" thickBot="1" x14ac:dyDescent="0.25">
      <c r="A23" s="35"/>
      <c r="C23" s="29"/>
      <c r="D23" s="28"/>
      <c r="E23" s="16"/>
      <c r="F23" s="15"/>
    </row>
    <row r="24" spans="1:11" ht="17" thickBot="1" x14ac:dyDescent="0.25">
      <c r="A24" s="37" t="s">
        <v>49</v>
      </c>
      <c r="B24" s="34"/>
      <c r="C24" s="49"/>
      <c r="D24" s="30">
        <f>Pago_Subtotal_Promotor + Descuento_Promotor</f>
        <v>3398</v>
      </c>
      <c r="E24" s="16"/>
      <c r="F24" s="15"/>
    </row>
    <row r="25" spans="1:11" x14ac:dyDescent="0.2">
      <c r="C25" s="29"/>
      <c r="D25" s="28"/>
      <c r="E25" s="26"/>
      <c r="F25" s="26"/>
    </row>
    <row r="26" spans="1:11" x14ac:dyDescent="0.2">
      <c r="C26" s="29"/>
      <c r="D26" s="28"/>
      <c r="E26" s="26"/>
      <c r="F26" s="26"/>
    </row>
    <row r="27" spans="1:11" ht="17" thickBot="1" x14ac:dyDescent="0.25">
      <c r="C27" s="37" t="s">
        <v>25</v>
      </c>
      <c r="D27" s="121" t="str" cm="1">
        <f t="array" ref="D27">NumeroATexto(Pago_Neto_Promotor)</f>
        <v>TRES MIL TRESCIENTOS NOVENTA Y OCHO PESOS 00/100</v>
      </c>
      <c r="E27" s="121"/>
      <c r="F27" s="121"/>
      <c r="G27" s="121"/>
      <c r="H27" s="121"/>
      <c r="I27" s="121"/>
    </row>
    <row r="28" spans="1:11" x14ac:dyDescent="0.2">
      <c r="C28" s="27"/>
      <c r="D28" s="26"/>
      <c r="E28" s="16"/>
      <c r="F28" s="15"/>
    </row>
    <row r="29" spans="1:11" x14ac:dyDescent="0.2">
      <c r="C29" s="29"/>
      <c r="D29" s="28"/>
    </row>
    <row r="30" spans="1:11" ht="17" thickBot="1" x14ac:dyDescent="0.25">
      <c r="C30" s="33" t="s">
        <v>26</v>
      </c>
      <c r="D30" s="122"/>
      <c r="E30" s="122"/>
      <c r="F30" s="122"/>
      <c r="G30" s="122"/>
      <c r="H30" s="122"/>
      <c r="I30" s="122"/>
    </row>
  </sheetData>
  <mergeCells count="4">
    <mergeCell ref="B1:D1"/>
    <mergeCell ref="B2:D2"/>
    <mergeCell ref="D27:I27"/>
    <mergeCell ref="D30:I30"/>
  </mergeCells>
  <conditionalFormatting sqref="D9:D16">
    <cfRule type="expression" dxfId="73" priority="2">
      <formula>$G9=501</formula>
    </cfRule>
    <cfRule type="cellIs" dxfId="72" priority="5" operator="equal">
      <formula>0</formula>
    </cfRule>
  </conditionalFormatting>
  <conditionalFormatting sqref="G9:G16">
    <cfRule type="cellIs" dxfId="71" priority="3" operator="equal">
      <formula>503</formula>
    </cfRule>
    <cfRule type="cellIs" dxfId="70" priority="4" operator="equal">
      <formula>501</formula>
    </cfRule>
  </conditionalFormatting>
  <conditionalFormatting sqref="H9:H16">
    <cfRule type="cellIs" dxfId="69" priority="1" operator="lessThan">
      <formula>299</formula>
    </cfRule>
  </conditionalFormatting>
  <conditionalFormatting sqref="B9:B16">
    <cfRule type="duplicateValues" dxfId="67" priority="3060"/>
  </conditionalFormatting>
  <dataValidations count="6">
    <dataValidation type="list" allowBlank="1" showInputMessage="1" showErrorMessage="1" sqref="F9:F16" xr:uid="{A41709E6-E50C-2348-A8F2-791D83F6A4F6}">
      <formula1>Cursos</formula1>
    </dataValidation>
    <dataValidation type="list" allowBlank="1" showInputMessage="1" showErrorMessage="1" sqref="B2:D2" xr:uid="{57958C42-7E50-F445-A609-023E9DA6C04A}">
      <formula1>Razones_Sociales</formula1>
    </dataValidation>
    <dataValidation type="date" allowBlank="1" showInputMessage="1" showErrorMessage="1" sqref="I9:I16" xr:uid="{E2738E91-D7C6-754B-8513-9C7796341D60}">
      <formula1>Periodo_De_Pago_Inicial_Gerente</formula1>
      <formula2>Periodo_De_Pago_Final_Gerente</formula2>
    </dataValidation>
    <dataValidation type="custom" allowBlank="1" showInputMessage="1" showErrorMessage="1" sqref="G9:G16" xr:uid="{279E3D6A-8D22-CF46-B56A-FCD288353531}">
      <formula1>G9&lt;&gt;500</formula1>
    </dataValidation>
    <dataValidation type="list" allowBlank="1" showInputMessage="1" showErrorMessage="1" sqref="E9:E16" xr:uid="{5C9E878C-2AE8-8844-84E6-A81604709E2E}">
      <formula1>Nombres_Planteles</formula1>
    </dataValidation>
    <dataValidation type="list" allowBlank="1" showInputMessage="1" showErrorMessage="1" sqref="B1" xr:uid="{00FAF776-40E9-254C-A0C8-6DBD2C5964AA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CB631B6D-C3CE-5341-9843-1ED15ABC2558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A3669A-2676-8946-8634-BA2AAB4DBC26}">
          <x14:formula1>
            <xm:f>Planteles!$A$4:$A$15</xm:f>
          </x14:formula1>
          <xm:sqref>J9:J16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B95E0-CF95-874D-9A74-4F75C870BC1F}">
  <sheetPr codeName="Sheet23">
    <tabColor rgb="FF00B050"/>
    <pageSetUpPr fitToPage="1"/>
  </sheetPr>
  <dimension ref="A1:K32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3.33203125" style="13" bestFit="1" customWidth="1"/>
    <col min="6" max="6" width="12.66406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94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COUNTIFS(Tabla_PromotorDANIELA_LOZANO[GRUPO],"&lt;&gt;",
Tabla_PromotorDANIELA_LOZANO[GRUPO],"&lt;&gt;503",
Tabla_PromotorDANIELA_LOZANO[GRUPO],"&lt;&gt;500",
Tabla_PromotorDANIELA_LOZANO[PAGO],"&gt;=299")</f>
        <v>8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108</v>
      </c>
      <c r="B9" s="126">
        <v>134722</v>
      </c>
      <c r="C9" s="126" t="s">
        <v>236</v>
      </c>
      <c r="D9" s="127">
        <f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f>
        <v>0</v>
      </c>
      <c r="E9" s="126" t="s">
        <v>43</v>
      </c>
      <c r="F9" s="126" t="s">
        <v>313</v>
      </c>
      <c r="G9" s="128">
        <v>1342</v>
      </c>
      <c r="H9" s="133">
        <f>IFERROR(VLOOKUP(Tabla_PromotorDANIELA_LOZANO[[#This Row],[CREDENCIAL]], Tabla_Gerente[[CREDENCIAL]:[PAGO]], 7, FALSE), 0)</f>
        <v>200</v>
      </c>
      <c r="I9" s="134">
        <v>45749</v>
      </c>
      <c r="J9" s="131"/>
      <c r="K9" s="131"/>
    </row>
    <row r="10" spans="1:11" x14ac:dyDescent="0.2">
      <c r="A10" s="125" t="s">
        <v>108</v>
      </c>
      <c r="B10" s="126">
        <v>134723</v>
      </c>
      <c r="C10" s="126" t="s">
        <v>237</v>
      </c>
      <c r="D10" s="127">
        <f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f>
        <v>150</v>
      </c>
      <c r="E10" s="126" t="s">
        <v>43</v>
      </c>
      <c r="F10" s="126" t="s">
        <v>311</v>
      </c>
      <c r="G10" s="128">
        <v>1342</v>
      </c>
      <c r="H10" s="133">
        <f>IFERROR(VLOOKUP(Tabla_PromotorDANIELA_LOZANO[[#This Row],[CREDENCIAL]], Tabla_Gerente[[CREDENCIAL]:[PAGO]], 7, FALSE), 0)</f>
        <v>300</v>
      </c>
      <c r="I10" s="134">
        <v>45748</v>
      </c>
      <c r="J10" s="131"/>
      <c r="K10" s="131"/>
    </row>
    <row r="11" spans="1:11" x14ac:dyDescent="0.2">
      <c r="A11" s="125" t="s">
        <v>108</v>
      </c>
      <c r="B11" s="126">
        <v>134724</v>
      </c>
      <c r="C11" s="126" t="s">
        <v>238</v>
      </c>
      <c r="D11" s="127">
        <f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f>
        <v>200</v>
      </c>
      <c r="E11" s="126" t="s">
        <v>43</v>
      </c>
      <c r="F11" s="126" t="s">
        <v>312</v>
      </c>
      <c r="G11" s="128">
        <v>1342</v>
      </c>
      <c r="H11" s="133">
        <f>IFERROR(VLOOKUP(Tabla_PromotorDANIELA_LOZANO[[#This Row],[CREDENCIAL]], Tabla_Gerente[[CREDENCIAL]:[PAGO]], 7, FALSE), 0)</f>
        <v>350</v>
      </c>
      <c r="I11" s="134">
        <v>45749</v>
      </c>
      <c r="J11" s="131"/>
      <c r="K11" s="131"/>
    </row>
    <row r="12" spans="1:11" x14ac:dyDescent="0.2">
      <c r="A12" s="125" t="s">
        <v>108</v>
      </c>
      <c r="B12" s="126">
        <v>134725</v>
      </c>
      <c r="C12" s="126" t="s">
        <v>239</v>
      </c>
      <c r="D12" s="127">
        <f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f>
        <v>350</v>
      </c>
      <c r="E12" s="126" t="s">
        <v>43</v>
      </c>
      <c r="F12" s="126" t="s">
        <v>311</v>
      </c>
      <c r="G12" s="128">
        <v>503</v>
      </c>
      <c r="H12" s="133">
        <f>IFERROR(VLOOKUP(Tabla_PromotorDANIELA_LOZANO[[#This Row],[CREDENCIAL]], Tabla_Gerente[[CREDENCIAL]:[PAGO]], 7, FALSE), 0)</f>
        <v>350</v>
      </c>
      <c r="I12" s="134">
        <v>45746</v>
      </c>
      <c r="J12" s="131"/>
      <c r="K12" s="131"/>
    </row>
    <row r="13" spans="1:11" x14ac:dyDescent="0.2">
      <c r="A13" s="125" t="s">
        <v>108</v>
      </c>
      <c r="B13" s="126">
        <v>134726</v>
      </c>
      <c r="C13" s="126" t="s">
        <v>240</v>
      </c>
      <c r="D13" s="127">
        <f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f>
        <v>250</v>
      </c>
      <c r="E13" s="126" t="s">
        <v>43</v>
      </c>
      <c r="F13" s="126" t="s">
        <v>313</v>
      </c>
      <c r="G13" s="128">
        <v>1342</v>
      </c>
      <c r="H13" s="133">
        <f>IFERROR(VLOOKUP(Tabla_PromotorDANIELA_LOZANO[[#This Row],[CREDENCIAL]], Tabla_Gerente[[CREDENCIAL]:[PAGO]], 7, FALSE), 0)</f>
        <v>400</v>
      </c>
      <c r="I13" s="134">
        <v>45749</v>
      </c>
      <c r="J13" s="131"/>
      <c r="K13" s="131"/>
    </row>
    <row r="14" spans="1:11" x14ac:dyDescent="0.2">
      <c r="A14" s="125" t="s">
        <v>108</v>
      </c>
      <c r="B14" s="126">
        <v>134727</v>
      </c>
      <c r="C14" s="126" t="s">
        <v>241</v>
      </c>
      <c r="D14" s="127">
        <f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f>
        <v>350</v>
      </c>
      <c r="E14" s="126" t="s">
        <v>43</v>
      </c>
      <c r="F14" s="126" t="s">
        <v>314</v>
      </c>
      <c r="G14" s="128">
        <v>1342</v>
      </c>
      <c r="H14" s="133">
        <f>IFERROR(VLOOKUP(Tabla_PromotorDANIELA_LOZANO[[#This Row],[CREDENCIAL]], Tabla_Gerente[[CREDENCIAL]:[PAGO]], 7, FALSE), 0)</f>
        <v>500</v>
      </c>
      <c r="I14" s="134">
        <v>45746</v>
      </c>
      <c r="J14" s="131"/>
      <c r="K14" s="131"/>
    </row>
    <row r="15" spans="1:11" x14ac:dyDescent="0.2">
      <c r="A15" s="125" t="s">
        <v>108</v>
      </c>
      <c r="B15" s="126">
        <v>134728</v>
      </c>
      <c r="C15" s="126" t="s">
        <v>242</v>
      </c>
      <c r="D15" s="127">
        <f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f>
        <v>149</v>
      </c>
      <c r="E15" s="126" t="s">
        <v>44</v>
      </c>
      <c r="F15" s="126" t="s">
        <v>315</v>
      </c>
      <c r="G15" s="128">
        <v>1342</v>
      </c>
      <c r="H15" s="133">
        <f>IFERROR(VLOOKUP(Tabla_PromotorDANIELA_LOZANO[[#This Row],[CREDENCIAL]], Tabla_Gerente[[CREDENCIAL]:[PAGO]], 7, FALSE), 0)</f>
        <v>299</v>
      </c>
      <c r="I15" s="134">
        <v>45746</v>
      </c>
      <c r="J15" s="131"/>
      <c r="K15" s="131"/>
    </row>
    <row r="16" spans="1:11" x14ac:dyDescent="0.2">
      <c r="A16" s="125" t="s">
        <v>108</v>
      </c>
      <c r="B16" s="126">
        <v>134729</v>
      </c>
      <c r="C16" s="126" t="s">
        <v>243</v>
      </c>
      <c r="D16" s="127">
        <f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f>
        <v>150</v>
      </c>
      <c r="E16" s="126" t="s">
        <v>44</v>
      </c>
      <c r="F16" s="126" t="s">
        <v>311</v>
      </c>
      <c r="G16" s="128">
        <v>501</v>
      </c>
      <c r="H16" s="133">
        <f>IFERROR(VLOOKUP(Tabla_PromotorDANIELA_LOZANO[[#This Row],[CREDENCIAL]], Tabla_Gerente[[CREDENCIAL]:[PAGO]], 7, FALSE), 0)</f>
        <v>300</v>
      </c>
      <c r="I16" s="134">
        <v>45749</v>
      </c>
      <c r="J16" s="131"/>
      <c r="K16" s="131"/>
    </row>
    <row r="17" spans="1:11" x14ac:dyDescent="0.2">
      <c r="A17" s="125" t="s">
        <v>108</v>
      </c>
      <c r="B17" s="126">
        <v>134730</v>
      </c>
      <c r="C17" s="126" t="s">
        <v>244</v>
      </c>
      <c r="D17" s="127">
        <f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f>
        <v>200</v>
      </c>
      <c r="E17" s="126" t="s">
        <v>44</v>
      </c>
      <c r="F17" s="126" t="s">
        <v>312</v>
      </c>
      <c r="G17" s="128">
        <v>1342</v>
      </c>
      <c r="H17" s="133">
        <f>IFERROR(VLOOKUP(Tabla_PromotorDANIELA_LOZANO[[#This Row],[CREDENCIAL]], Tabla_Gerente[[CREDENCIAL]:[PAGO]], 7, FALSE), 0)</f>
        <v>350</v>
      </c>
      <c r="I17" s="134">
        <v>45746</v>
      </c>
      <c r="J17" s="131"/>
      <c r="K17" s="131"/>
    </row>
    <row r="18" spans="1:11" x14ac:dyDescent="0.2">
      <c r="A18" s="125" t="s">
        <v>108</v>
      </c>
      <c r="B18" s="126">
        <v>134731</v>
      </c>
      <c r="C18" s="126" t="s">
        <v>245</v>
      </c>
      <c r="D18" s="127">
        <f>IF(
    OR(
        Tabla_PromotorDANIELA_LOZANO[[#This Row],[GRUPO]] = "",
        Tabla_PromotorDANIELA_LOZANO[[#This Row],[GRUPO]] = 500,
        COUNTIF(Tabla_PromotorDANIELA_LOZANO[CREDENCIAL], Tabla_PromotorDANIELA_LOZANO[[#This Row],[CREDENCIAL]]) &gt; 1,
        COUNTIF(Tabla_Gerente[CREDENCIAL], Tabla_PromotorDANIELA_LOZANO[[#This Row],[CREDENCIAL]]) &gt; 1,
    ),
    0,
    IF(
        Tabla_PromotorDANIELA_LOZANO[[#This Row],[GRUPO]] = 503,
        Tabla_PromotorDANIELA_LOZANO[[#This Row],[PAGO]],
        IF(
            Tabla_PromotorDANIELA_LOZANO[[#This Row],[PAGO]] &gt;= 299,
            Tabla_PromotorDANIELA_LOZANO[[#This Row],[PAGO]] - 150,
            0
        )
    )
)</f>
        <v>200</v>
      </c>
      <c r="E18" s="126" t="s">
        <v>44</v>
      </c>
      <c r="F18" s="126" t="s">
        <v>311</v>
      </c>
      <c r="G18" s="128">
        <v>1342</v>
      </c>
      <c r="H18" s="133">
        <f>IFERROR(VLOOKUP(Tabla_PromotorDANIELA_LOZANO[[#This Row],[CREDENCIAL]], Tabla_Gerente[[CREDENCIAL]:[PAGO]], 7, FALSE), 0)</f>
        <v>350</v>
      </c>
      <c r="I18" s="134">
        <v>45749</v>
      </c>
      <c r="J18" s="131"/>
      <c r="K18" s="131"/>
    </row>
    <row r="19" spans="1:11" x14ac:dyDescent="0.2">
      <c r="A19" s="125" t="s">
        <v>50</v>
      </c>
      <c r="B19" s="126"/>
      <c r="C19" s="126"/>
      <c r="D19" s="127">
        <f>SUBTOTAL(109,Tabla_PromotorDANIELA_LOZANO[COMISION])</f>
        <v>1999</v>
      </c>
      <c r="E19" s="126"/>
      <c r="F19" s="126"/>
      <c r="G19" s="128"/>
      <c r="H19" s="133"/>
      <c r="I19" s="134"/>
      <c r="J19" s="131"/>
      <c r="K19" s="131"/>
    </row>
    <row r="20" spans="1:11" x14ac:dyDescent="0.2">
      <c r="A20" s="25"/>
      <c r="B20" s="14"/>
      <c r="C20" s="15"/>
      <c r="D20" s="52"/>
      <c r="E20" s="14"/>
      <c r="F20" s="14"/>
      <c r="G20" s="27"/>
      <c r="H20" s="53"/>
      <c r="I20" s="14"/>
      <c r="J20" s="16"/>
      <c r="K20" s="16"/>
    </row>
    <row r="21" spans="1:11" x14ac:dyDescent="0.2">
      <c r="A21" s="25" t="s">
        <v>13</v>
      </c>
      <c r="D21" s="68">
        <f>_xlfn.IFNA(VLOOKUP(Nombre_Promotor,Sueldos_Base[],2,FALSE),0)</f>
        <v>700</v>
      </c>
      <c r="E21" s="16"/>
      <c r="F21" s="15"/>
      <c r="H21" s="15"/>
      <c r="J21" s="24"/>
    </row>
    <row r="22" spans="1:11" ht="17" thickBot="1" x14ac:dyDescent="0.25">
      <c r="A22" s="37" t="s">
        <v>45</v>
      </c>
      <c r="B22" s="38">
        <f>IF(Total_Registros_Promotor &lt; Premios!A5, 0,
   VLOOKUP(Total_Registros_Promotor, Premios_Promotor[], 1, TRUE))</f>
        <v>6</v>
      </c>
      <c r="C22" s="34"/>
      <c r="D22" s="36">
        <f>IF(Premio_Promotor &gt; 0,
   VLOOKUP(Premio_Promotor, Premios_Promotor[],
      VLOOKUP(Total_Registros_Gerente, Tabulador_Premio_Promotor_Total_Gerencia[], 2, TRUE),
   FALSE),
   0)</f>
        <v>800</v>
      </c>
      <c r="E22" s="16"/>
      <c r="F22" s="15"/>
      <c r="H22" s="15"/>
      <c r="J22" s="24"/>
    </row>
    <row r="23" spans="1:11" x14ac:dyDescent="0.2">
      <c r="A23" s="27" t="s">
        <v>46</v>
      </c>
      <c r="B23" s="18"/>
      <c r="D23" s="28">
        <f>Tabla_PromotorDANIELA_LOZANO[[#Totals],[COMISION]] + Pago_Sueldo_Base_Promotor + Pago_Premio_Promotor</f>
        <v>3499</v>
      </c>
      <c r="E23" s="16"/>
      <c r="F23" s="15"/>
      <c r="H23" s="15"/>
      <c r="J23" s="24"/>
    </row>
    <row r="24" spans="1:11" x14ac:dyDescent="0.2">
      <c r="A24" s="27" t="s">
        <v>195</v>
      </c>
      <c r="B24" s="18"/>
      <c r="C24" s="29"/>
      <c r="D24" s="39">
        <f>_xlfn.IFNA(SUMIFS(Descuentos[DESCUENTO], Descuentos[COLABORADOR], Nombre_Promotor, Descuentos[PUESTO], Puesto_Promotor), 0)</f>
        <v>0</v>
      </c>
      <c r="E24" s="16" t="s">
        <v>121</v>
      </c>
      <c r="F24" s="15"/>
      <c r="H24" s="15"/>
      <c r="I24" s="18"/>
      <c r="J24" s="22"/>
      <c r="K24" s="22"/>
    </row>
    <row r="25" spans="1:11" ht="17" thickBot="1" x14ac:dyDescent="0.25">
      <c r="A25" s="35"/>
      <c r="C25" s="29"/>
      <c r="D25" s="28"/>
      <c r="E25" s="16"/>
      <c r="F25" s="15"/>
    </row>
    <row r="26" spans="1:11" ht="17" thickBot="1" x14ac:dyDescent="0.25">
      <c r="A26" s="37" t="s">
        <v>49</v>
      </c>
      <c r="B26" s="34"/>
      <c r="C26" s="49"/>
      <c r="D26" s="30">
        <f>Pago_Subtotal_Promotor + Descuento_Promotor</f>
        <v>3499</v>
      </c>
      <c r="E26" s="16"/>
      <c r="F26" s="15"/>
    </row>
    <row r="27" spans="1:11" x14ac:dyDescent="0.2">
      <c r="C27" s="29"/>
      <c r="D27" s="28"/>
      <c r="E27" s="26"/>
      <c r="F27" s="26"/>
    </row>
    <row r="28" spans="1:11" x14ac:dyDescent="0.2">
      <c r="C28" s="29"/>
      <c r="D28" s="28"/>
      <c r="E28" s="26"/>
      <c r="F28" s="26"/>
    </row>
    <row r="29" spans="1:11" ht="17" thickBot="1" x14ac:dyDescent="0.25">
      <c r="C29" s="37" t="s">
        <v>25</v>
      </c>
      <c r="D29" s="121" t="str" cm="1">
        <f t="array" ref="D29">NumeroATexto(Pago_Neto_Promotor)</f>
        <v>TRES MIL CUATROCIENTOS NOVENTA Y NUEVE PESOS 00/100</v>
      </c>
      <c r="E29" s="121"/>
      <c r="F29" s="121"/>
      <c r="G29" s="121"/>
      <c r="H29" s="121"/>
      <c r="I29" s="121"/>
    </row>
    <row r="30" spans="1:11" x14ac:dyDescent="0.2">
      <c r="C30" s="27"/>
      <c r="D30" s="26"/>
      <c r="E30" s="16"/>
      <c r="F30" s="15"/>
    </row>
    <row r="31" spans="1:11" x14ac:dyDescent="0.2">
      <c r="C31" s="29"/>
      <c r="D31" s="28"/>
    </row>
    <row r="32" spans="1:11" ht="17" thickBot="1" x14ac:dyDescent="0.25">
      <c r="C32" s="33" t="s">
        <v>26</v>
      </c>
      <c r="D32" s="122"/>
      <c r="E32" s="122"/>
      <c r="F32" s="122"/>
      <c r="G32" s="122"/>
      <c r="H32" s="122"/>
      <c r="I32" s="122"/>
    </row>
  </sheetData>
  <mergeCells count="4">
    <mergeCell ref="B1:D1"/>
    <mergeCell ref="B2:D2"/>
    <mergeCell ref="D29:I29"/>
    <mergeCell ref="D32:I32"/>
  </mergeCells>
  <conditionalFormatting sqref="D9:D18">
    <cfRule type="expression" dxfId="66" priority="2">
      <formula>$G9=501</formula>
    </cfRule>
    <cfRule type="cellIs" dxfId="65" priority="5" operator="equal">
      <formula>0</formula>
    </cfRule>
  </conditionalFormatting>
  <conditionalFormatting sqref="G9:G18">
    <cfRule type="cellIs" dxfId="64" priority="3" operator="equal">
      <formula>503</formula>
    </cfRule>
    <cfRule type="cellIs" dxfId="63" priority="4" operator="equal">
      <formula>501</formula>
    </cfRule>
  </conditionalFormatting>
  <conditionalFormatting sqref="H9:H18">
    <cfRule type="cellIs" dxfId="62" priority="1" operator="lessThan">
      <formula>299</formula>
    </cfRule>
  </conditionalFormatting>
  <conditionalFormatting sqref="B9:B18">
    <cfRule type="duplicateValues" dxfId="60" priority="3057"/>
  </conditionalFormatting>
  <dataValidations count="6">
    <dataValidation type="list" allowBlank="1" showInputMessage="1" showErrorMessage="1" sqref="F9:F18" xr:uid="{F013961E-D302-DA4E-9105-89592C4C5067}">
      <formula1>Cursos</formula1>
    </dataValidation>
    <dataValidation type="list" allowBlank="1" showInputMessage="1" showErrorMessage="1" sqref="B2:D2" xr:uid="{C5467C51-9746-584B-93A0-42A151127758}">
      <formula1>Razones_Sociales</formula1>
    </dataValidation>
    <dataValidation type="date" allowBlank="1" showInputMessage="1" showErrorMessage="1" sqref="I9:I18" xr:uid="{85077076-F7E2-B847-BABE-B674F8A45AE3}">
      <formula1>Periodo_De_Pago_Inicial_Gerente</formula1>
      <formula2>Periodo_De_Pago_Final_Gerente</formula2>
    </dataValidation>
    <dataValidation type="custom" allowBlank="1" showInputMessage="1" showErrorMessage="1" sqref="G9:G18" xr:uid="{9A28209D-608F-6540-A887-C1303D7EA4F9}">
      <formula1>G9&lt;&gt;500</formula1>
    </dataValidation>
    <dataValidation type="list" allowBlank="1" showInputMessage="1" showErrorMessage="1" sqref="E9:E18" xr:uid="{F3136607-9BAF-D047-B831-2A2C2BD4425F}">
      <formula1>Nombres_Planteles</formula1>
    </dataValidation>
    <dataValidation type="list" allowBlank="1" showInputMessage="1" showErrorMessage="1" sqref="B1" xr:uid="{5C95C446-58FA-E548-9F3F-991996234A79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B1B2866-CCEB-984E-8E05-F90B3B936D9C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E12A96-0786-FB4E-A34F-399E1BA03C46}">
          <x14:formula1>
            <xm:f>Planteles!$A$4:$A$15</xm:f>
          </x14:formula1>
          <xm:sqref>J9:J18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2D0E6-AA20-A849-9788-747581FD2271}">
  <sheetPr codeName="Sheet22">
    <tabColor rgb="FF00B050"/>
    <pageSetUpPr fitToPage="1"/>
  </sheetPr>
  <dimension ref="A1:K31"/>
  <sheetViews>
    <sheetView workbookViewId="0">
      <selection activeCell="D20" sqref="D20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4.6640625" style="13" bestFit="1" customWidth="1"/>
    <col min="6" max="6" width="12.66406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95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COUNTIFS(Tabla_PromotorBETZANIA_MUÑOZ[GRUPO],"&lt;&gt;",
Tabla_PromotorBETZANIA_MUÑOZ[GRUPO],"&lt;&gt;503",
Tabla_PromotorBETZANIA_MUÑOZ[GRUPO],"&lt;&gt;500",
Tabla_PromotorBETZANIA_MUÑOZ[PAGO],"&gt;=299")</f>
        <v>9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68</v>
      </c>
      <c r="B9" s="126">
        <v>134713</v>
      </c>
      <c r="C9" s="126" t="s">
        <v>227</v>
      </c>
      <c r="D9" s="127">
        <f>IF(
    OR(
        Tabla_PromotorBETZANIA_MUÑOZ[[#This Row],[GRUPO]] = "",
        Tabla_PromotorBETZANIA_MUÑOZ[[#This Row],[GRUPO]] = 500,
        COUNTIF(Tabla_PromotorBETZANIA_MUÑOZ[CREDENCIAL], Tabla_PromotorBETZANIA_MUÑOZ[[#This Row],[CREDENCIAL]]) &gt; 1,
        COUNTIF(Tabla_Gerente[CREDENCIAL], Tabla_PromotorBETZANIA_MUÑOZ[[#This Row],[CREDENCIAL]]) &gt; 1,
    ),
    0,
    IF(
        Tabla_PromotorBETZANIA_MUÑOZ[[#This Row],[GRUPO]] = 503,
        Tabla_PromotorBETZANIA_MUÑOZ[[#This Row],[PAGO]],
        IF(
            Tabla_PromotorBETZANIA_MUÑOZ[[#This Row],[PAGO]] &gt;= 299,
            Tabla_PromotorBETZANIA_MUÑOZ[[#This Row],[PAGO]] - 150,
            0
        )
    )
)</f>
        <v>350</v>
      </c>
      <c r="E9" s="126" t="s">
        <v>42</v>
      </c>
      <c r="F9" s="126" t="s">
        <v>318</v>
      </c>
      <c r="G9" s="128">
        <v>1342</v>
      </c>
      <c r="H9" s="133">
        <f>IFERROR(VLOOKUP(Tabla_PromotorBETZANIA_MUÑOZ[[#This Row],[CREDENCIAL]], Tabla_Gerente[[CREDENCIAL]:[PAGO]], 7, FALSE), 0)</f>
        <v>500</v>
      </c>
      <c r="I9" s="134">
        <v>45745</v>
      </c>
      <c r="J9" s="131"/>
      <c r="K9" s="131"/>
    </row>
    <row r="10" spans="1:11" x14ac:dyDescent="0.2">
      <c r="A10" s="125" t="s">
        <v>68</v>
      </c>
      <c r="B10" s="126">
        <v>134714</v>
      </c>
      <c r="C10" s="126" t="s">
        <v>228</v>
      </c>
      <c r="D10" s="127">
        <f>IF(
    OR(
        Tabla_PromotorBETZANIA_MUÑOZ[[#This Row],[GRUPO]] = "",
        Tabla_PromotorBETZANIA_MUÑOZ[[#This Row],[GRUPO]] = 500,
        COUNTIF(Tabla_PromotorBETZANIA_MUÑOZ[CREDENCIAL], Tabla_PromotorBETZANIA_MUÑOZ[[#This Row],[CREDENCIAL]]) &gt; 1,
        COUNTIF(Tabla_Gerente[CREDENCIAL], Tabla_PromotorBETZANIA_MUÑOZ[[#This Row],[CREDENCIAL]]) &gt; 1,
    ),
    0,
    IF(
        Tabla_PromotorBETZANIA_MUÑOZ[[#This Row],[GRUPO]] = 503,
        Tabla_PromotorBETZANIA_MUÑOZ[[#This Row],[PAGO]],
        IF(
            Tabla_PromotorBETZANIA_MUÑOZ[[#This Row],[PAGO]] &gt;= 299,
            Tabla_PromotorBETZANIA_MUÑOZ[[#This Row],[PAGO]] - 150,
            0
        )
    )
)</f>
        <v>149</v>
      </c>
      <c r="E10" s="126" t="s">
        <v>41</v>
      </c>
      <c r="F10" s="126" t="s">
        <v>319</v>
      </c>
      <c r="G10" s="128">
        <v>1342</v>
      </c>
      <c r="H10" s="133">
        <f>IFERROR(VLOOKUP(Tabla_PromotorBETZANIA_MUÑOZ[[#This Row],[CREDENCIAL]], Tabla_Gerente[[CREDENCIAL]:[PAGO]], 7, FALSE), 0)</f>
        <v>299</v>
      </c>
      <c r="I10" s="134">
        <v>45748</v>
      </c>
      <c r="J10" s="131"/>
      <c r="K10" s="131"/>
    </row>
    <row r="11" spans="1:11" x14ac:dyDescent="0.2">
      <c r="A11" s="125" t="s">
        <v>68</v>
      </c>
      <c r="B11" s="126">
        <v>134715</v>
      </c>
      <c r="C11" s="126" t="s">
        <v>229</v>
      </c>
      <c r="D11" s="127">
        <f>IF(
    OR(
        Tabla_PromotorBETZANIA_MUÑOZ[[#This Row],[GRUPO]] = "",
        Tabla_PromotorBETZANIA_MUÑOZ[[#This Row],[GRUPO]] = 500,
        COUNTIF(Tabla_PromotorBETZANIA_MUÑOZ[CREDENCIAL], Tabla_PromotorBETZANIA_MUÑOZ[[#This Row],[CREDENCIAL]]) &gt; 1,
        COUNTIF(Tabla_Gerente[CREDENCIAL], Tabla_PromotorBETZANIA_MUÑOZ[[#This Row],[CREDENCIAL]]) &gt; 1,
    ),
    0,
    IF(
        Tabla_PromotorBETZANIA_MUÑOZ[[#This Row],[GRUPO]] = 503,
        Tabla_PromotorBETZANIA_MUÑOZ[[#This Row],[PAGO]],
        IF(
            Tabla_PromotorBETZANIA_MUÑOZ[[#This Row],[PAGO]] &gt;= 299,
            Tabla_PromotorBETZANIA_MUÑOZ[[#This Row],[PAGO]] - 150,
            0
        )
    )
)</f>
        <v>150</v>
      </c>
      <c r="E11" s="126" t="s">
        <v>41</v>
      </c>
      <c r="F11" s="126" t="s">
        <v>318</v>
      </c>
      <c r="G11" s="128">
        <v>1342</v>
      </c>
      <c r="H11" s="133">
        <f>IFERROR(VLOOKUP(Tabla_PromotorBETZANIA_MUÑOZ[[#This Row],[CREDENCIAL]], Tabla_Gerente[[CREDENCIAL]:[PAGO]], 7, FALSE), 0)</f>
        <v>300</v>
      </c>
      <c r="I11" s="134">
        <v>45744</v>
      </c>
      <c r="J11" s="131"/>
      <c r="K11" s="131"/>
    </row>
    <row r="12" spans="1:11" x14ac:dyDescent="0.2">
      <c r="A12" s="125" t="s">
        <v>68</v>
      </c>
      <c r="B12" s="126">
        <v>134716</v>
      </c>
      <c r="C12" s="126" t="s">
        <v>230</v>
      </c>
      <c r="D12" s="127">
        <f>IF(
    OR(
        Tabla_PromotorBETZANIA_MUÑOZ[[#This Row],[GRUPO]] = "",
        Tabla_PromotorBETZANIA_MUÑOZ[[#This Row],[GRUPO]] = 500,
        COUNTIF(Tabla_PromotorBETZANIA_MUÑOZ[CREDENCIAL], Tabla_PromotorBETZANIA_MUÑOZ[[#This Row],[CREDENCIAL]]) &gt; 1,
        COUNTIF(Tabla_Gerente[CREDENCIAL], Tabla_PromotorBETZANIA_MUÑOZ[[#This Row],[CREDENCIAL]]) &gt; 1,
    ),
    0,
    IF(
        Tabla_PromotorBETZANIA_MUÑOZ[[#This Row],[GRUPO]] = 503,
        Tabla_PromotorBETZANIA_MUÑOZ[[#This Row],[PAGO]],
        IF(
            Tabla_PromotorBETZANIA_MUÑOZ[[#This Row],[PAGO]] &gt;= 299,
            Tabla_PromotorBETZANIA_MUÑOZ[[#This Row],[PAGO]] - 150,
            0
        )
    )
)</f>
        <v>200</v>
      </c>
      <c r="E12" s="126" t="s">
        <v>41</v>
      </c>
      <c r="F12" s="126" t="s">
        <v>313</v>
      </c>
      <c r="G12" s="128">
        <v>1342</v>
      </c>
      <c r="H12" s="133">
        <f>IFERROR(VLOOKUP(Tabla_PromotorBETZANIA_MUÑOZ[[#This Row],[CREDENCIAL]], Tabla_Gerente[[CREDENCIAL]:[PAGO]], 7, FALSE), 0)</f>
        <v>350</v>
      </c>
      <c r="I12" s="134">
        <v>45748</v>
      </c>
      <c r="J12" s="131"/>
      <c r="K12" s="131"/>
    </row>
    <row r="13" spans="1:11" x14ac:dyDescent="0.2">
      <c r="A13" s="125" t="s">
        <v>68</v>
      </c>
      <c r="B13" s="126">
        <v>134717</v>
      </c>
      <c r="C13" s="126" t="s">
        <v>231</v>
      </c>
      <c r="D13" s="127">
        <f>IF(
    OR(
        Tabla_PromotorBETZANIA_MUÑOZ[[#This Row],[GRUPO]] = "",
        Tabla_PromotorBETZANIA_MUÑOZ[[#This Row],[GRUPO]] = 500,
        COUNTIF(Tabla_PromotorBETZANIA_MUÑOZ[CREDENCIAL], Tabla_PromotorBETZANIA_MUÑOZ[[#This Row],[CREDENCIAL]]) &gt; 1,
        COUNTIF(Tabla_Gerente[CREDENCIAL], Tabla_PromotorBETZANIA_MUÑOZ[[#This Row],[CREDENCIAL]]) &gt; 1,
    ),
    0,
    IF(
        Tabla_PromotorBETZANIA_MUÑOZ[[#This Row],[GRUPO]] = 503,
        Tabla_PromotorBETZANIA_MUÑOZ[[#This Row],[PAGO]],
        IF(
            Tabla_PromotorBETZANIA_MUÑOZ[[#This Row],[PAGO]] &gt;= 299,
            Tabla_PromotorBETZANIA_MUÑOZ[[#This Row],[PAGO]] - 150,
            0
        )
    )
)</f>
        <v>200</v>
      </c>
      <c r="E13" s="126" t="s">
        <v>41</v>
      </c>
      <c r="F13" s="126" t="s">
        <v>314</v>
      </c>
      <c r="G13" s="128">
        <v>1342</v>
      </c>
      <c r="H13" s="133">
        <f>IFERROR(VLOOKUP(Tabla_PromotorBETZANIA_MUÑOZ[[#This Row],[CREDENCIAL]], Tabla_Gerente[[CREDENCIAL]:[PAGO]], 7, FALSE), 0)</f>
        <v>350</v>
      </c>
      <c r="I13" s="134">
        <v>45746</v>
      </c>
      <c r="J13" s="131"/>
      <c r="K13" s="131"/>
    </row>
    <row r="14" spans="1:11" x14ac:dyDescent="0.2">
      <c r="A14" s="125" t="s">
        <v>68</v>
      </c>
      <c r="B14" s="126">
        <v>134718</v>
      </c>
      <c r="C14" s="126" t="s">
        <v>232</v>
      </c>
      <c r="D14" s="127">
        <f>IF(
    OR(
        Tabla_PromotorBETZANIA_MUÑOZ[[#This Row],[GRUPO]] = "",
        Tabla_PromotorBETZANIA_MUÑOZ[[#This Row],[GRUPO]] = 500,
        COUNTIF(Tabla_PromotorBETZANIA_MUÑOZ[CREDENCIAL], Tabla_PromotorBETZANIA_MUÑOZ[[#This Row],[CREDENCIAL]]) &gt; 1,
        COUNTIF(Tabla_Gerente[CREDENCIAL], Tabla_PromotorBETZANIA_MUÑOZ[[#This Row],[CREDENCIAL]]) &gt; 1,
    ),
    0,
    IF(
        Tabla_PromotorBETZANIA_MUÑOZ[[#This Row],[GRUPO]] = 503,
        Tabla_PromotorBETZANIA_MUÑOZ[[#This Row],[PAGO]],
        IF(
            Tabla_PromotorBETZANIA_MUÑOZ[[#This Row],[PAGO]] &gt;= 299,
            Tabla_PromotorBETZANIA_MUÑOZ[[#This Row],[PAGO]] - 150,
            0
        )
    )
)</f>
        <v>250</v>
      </c>
      <c r="E14" s="126" t="s">
        <v>41</v>
      </c>
      <c r="F14" s="126" t="s">
        <v>315</v>
      </c>
      <c r="G14" s="128">
        <v>1342</v>
      </c>
      <c r="H14" s="133">
        <f>IFERROR(VLOOKUP(Tabla_PromotorBETZANIA_MUÑOZ[[#This Row],[CREDENCIAL]], Tabla_Gerente[[CREDENCIAL]:[PAGO]], 7, FALSE), 0)</f>
        <v>400</v>
      </c>
      <c r="I14" s="134">
        <v>45744</v>
      </c>
      <c r="J14" s="131"/>
      <c r="K14" s="131"/>
    </row>
    <row r="15" spans="1:11" x14ac:dyDescent="0.2">
      <c r="A15" s="125" t="s">
        <v>68</v>
      </c>
      <c r="B15" s="126">
        <v>134719</v>
      </c>
      <c r="C15" s="126" t="s">
        <v>233</v>
      </c>
      <c r="D15" s="127">
        <f>IF(
    OR(
        Tabla_PromotorBETZANIA_MUÑOZ[[#This Row],[GRUPO]] = "",
        Tabla_PromotorBETZANIA_MUÑOZ[[#This Row],[GRUPO]] = 500,
        COUNTIF(Tabla_PromotorBETZANIA_MUÑOZ[CREDENCIAL], Tabla_PromotorBETZANIA_MUÑOZ[[#This Row],[CREDENCIAL]]) &gt; 1,
        COUNTIF(Tabla_Gerente[CREDENCIAL], Tabla_PromotorBETZANIA_MUÑOZ[[#This Row],[CREDENCIAL]]) &gt; 1,
    ),
    0,
    IF(
        Tabla_PromotorBETZANIA_MUÑOZ[[#This Row],[GRUPO]] = 503,
        Tabla_PromotorBETZANIA_MUÑOZ[[#This Row],[PAGO]],
        IF(
            Tabla_PromotorBETZANIA_MUÑOZ[[#This Row],[PAGO]] &gt;= 299,
            Tabla_PromotorBETZANIA_MUÑOZ[[#This Row],[PAGO]] - 150,
            0
        )
    )
)</f>
        <v>350</v>
      </c>
      <c r="E15" s="126" t="s">
        <v>41</v>
      </c>
      <c r="F15" s="126" t="s">
        <v>311</v>
      </c>
      <c r="G15" s="128">
        <v>1342</v>
      </c>
      <c r="H15" s="133">
        <f>IFERROR(VLOOKUP(Tabla_PromotorBETZANIA_MUÑOZ[[#This Row],[CREDENCIAL]], Tabla_Gerente[[CREDENCIAL]:[PAGO]], 7, FALSE), 0)</f>
        <v>500</v>
      </c>
      <c r="I15" s="134">
        <v>45748</v>
      </c>
      <c r="J15" s="131"/>
      <c r="K15" s="131"/>
    </row>
    <row r="16" spans="1:11" x14ac:dyDescent="0.2">
      <c r="A16" s="125" t="s">
        <v>68</v>
      </c>
      <c r="B16" s="126">
        <v>134720</v>
      </c>
      <c r="C16" s="126" t="s">
        <v>234</v>
      </c>
      <c r="D16" s="127">
        <f>IF(
    OR(
        Tabla_PromotorBETZANIA_MUÑOZ[[#This Row],[GRUPO]] = "",
        Tabla_PromotorBETZANIA_MUÑOZ[[#This Row],[GRUPO]] = 500,
        COUNTIF(Tabla_PromotorBETZANIA_MUÑOZ[CREDENCIAL], Tabla_PromotorBETZANIA_MUÑOZ[[#This Row],[CREDENCIAL]]) &gt; 1,
        COUNTIF(Tabla_Gerente[CREDENCIAL], Tabla_PromotorBETZANIA_MUÑOZ[[#This Row],[CREDENCIAL]]) &gt; 1,
    ),
    0,
    IF(
        Tabla_PromotorBETZANIA_MUÑOZ[[#This Row],[GRUPO]] = 503,
        Tabla_PromotorBETZANIA_MUÑOZ[[#This Row],[PAGO]],
        IF(
            Tabla_PromotorBETZANIA_MUÑOZ[[#This Row],[PAGO]] &gt;= 299,
            Tabla_PromotorBETZANIA_MUÑOZ[[#This Row],[PAGO]] - 150,
            0
        )
    )
)</f>
        <v>250</v>
      </c>
      <c r="E16" s="126" t="s">
        <v>43</v>
      </c>
      <c r="F16" s="126" t="s">
        <v>312</v>
      </c>
      <c r="G16" s="128">
        <v>1342</v>
      </c>
      <c r="H16" s="133">
        <f>IFERROR(VLOOKUP(Tabla_PromotorBETZANIA_MUÑOZ[[#This Row],[CREDENCIAL]], Tabla_Gerente[[CREDENCIAL]:[PAGO]], 7, FALSE), 0)</f>
        <v>400</v>
      </c>
      <c r="I16" s="134">
        <v>45749</v>
      </c>
      <c r="J16" s="131"/>
      <c r="K16" s="131"/>
    </row>
    <row r="17" spans="1:11" x14ac:dyDescent="0.2">
      <c r="A17" s="125" t="s">
        <v>68</v>
      </c>
      <c r="B17" s="126">
        <v>134721</v>
      </c>
      <c r="C17" s="126" t="s">
        <v>235</v>
      </c>
      <c r="D17" s="127">
        <f>IF(
    OR(
        Tabla_PromotorBETZANIA_MUÑOZ[[#This Row],[GRUPO]] = "",
        Tabla_PromotorBETZANIA_MUÑOZ[[#This Row],[GRUPO]] = 500,
        COUNTIF(Tabla_PromotorBETZANIA_MUÑOZ[CREDENCIAL], Tabla_PromotorBETZANIA_MUÑOZ[[#This Row],[CREDENCIAL]]) &gt; 1,
        COUNTIF(Tabla_Gerente[CREDENCIAL], Tabla_PromotorBETZANIA_MUÑOZ[[#This Row],[CREDENCIAL]]) &gt; 1,
    ),
    0,
    IF(
        Tabla_PromotorBETZANIA_MUÑOZ[[#This Row],[GRUPO]] = 503,
        Tabla_PromotorBETZANIA_MUÑOZ[[#This Row],[PAGO]],
        IF(
            Tabla_PromotorBETZANIA_MUÑOZ[[#This Row],[PAGO]] &gt;= 299,
            Tabla_PromotorBETZANIA_MUÑOZ[[#This Row],[PAGO]] - 150,
            0
        )
    )
)</f>
        <v>350</v>
      </c>
      <c r="E17" s="126" t="s">
        <v>43</v>
      </c>
      <c r="F17" s="126" t="s">
        <v>311</v>
      </c>
      <c r="G17" s="128">
        <v>1342</v>
      </c>
      <c r="H17" s="133">
        <f>IFERROR(VLOOKUP(Tabla_PromotorBETZANIA_MUÑOZ[[#This Row],[CREDENCIAL]], Tabla_Gerente[[CREDENCIAL]:[PAGO]], 7, FALSE), 0)</f>
        <v>500</v>
      </c>
      <c r="I17" s="134">
        <v>45748</v>
      </c>
      <c r="J17" s="131"/>
      <c r="K17" s="131"/>
    </row>
    <row r="18" spans="1:11" x14ac:dyDescent="0.2">
      <c r="A18" s="125" t="s">
        <v>50</v>
      </c>
      <c r="B18" s="126"/>
      <c r="C18" s="126"/>
      <c r="D18" s="127">
        <f>SUBTOTAL(109,Tabla_PromotorBETZANIA_MUÑOZ[COMISION])</f>
        <v>2249</v>
      </c>
      <c r="E18" s="126"/>
      <c r="F18" s="126"/>
      <c r="G18" s="128"/>
      <c r="H18" s="133"/>
      <c r="I18" s="134"/>
      <c r="J18" s="131"/>
      <c r="K18" s="131"/>
    </row>
    <row r="19" spans="1:11" x14ac:dyDescent="0.2">
      <c r="A19" s="25"/>
      <c r="B19" s="14"/>
      <c r="C19" s="15"/>
      <c r="D19" s="52"/>
      <c r="E19" s="14"/>
      <c r="F19" s="14"/>
      <c r="G19" s="27"/>
      <c r="H19" s="53"/>
      <c r="I19" s="14"/>
      <c r="J19" s="16"/>
      <c r="K19" s="16"/>
    </row>
    <row r="20" spans="1:11" x14ac:dyDescent="0.2">
      <c r="A20" s="25" t="s">
        <v>13</v>
      </c>
      <c r="D20" s="68">
        <f>_xlfn.IFNA(VLOOKUP(Nombre_Promotor,Sueldos_Base[],2,FALSE),0)</f>
        <v>700</v>
      </c>
      <c r="E20" s="16"/>
      <c r="F20" s="15"/>
      <c r="H20" s="15"/>
      <c r="J20" s="24"/>
    </row>
    <row r="21" spans="1:11" ht="17" thickBot="1" x14ac:dyDescent="0.25">
      <c r="A21" s="37" t="s">
        <v>45</v>
      </c>
      <c r="B21" s="38">
        <f>IF(Total_Registros_Promotor &lt; Premios!A5, 0,
   VLOOKUP(Total_Registros_Promotor, Premios_Promotor[], 1, TRUE))</f>
        <v>9</v>
      </c>
      <c r="C21" s="34"/>
      <c r="D21" s="36">
        <f>IF(Premio_Promotor &gt; 0,
   VLOOKUP(Premio_Promotor, Premios_Promotor[],
      VLOOKUP(Total_Registros_Gerente, Tabulador_Premio_Promotor_Total_Gerencia[], 2, TRUE),
   FALSE),
   0)</f>
        <v>1200</v>
      </c>
      <c r="E21" s="16"/>
      <c r="F21" s="15"/>
      <c r="H21" s="15"/>
      <c r="J21" s="24"/>
    </row>
    <row r="22" spans="1:11" x14ac:dyDescent="0.2">
      <c r="A22" s="27" t="s">
        <v>46</v>
      </c>
      <c r="B22" s="18"/>
      <c r="D22" s="28">
        <f>Tabla_PromotorBETZANIA_MUÑOZ[[#Totals],[COMISION]] + Pago_Sueldo_Base_Promotor + Pago_Premio_Promotor</f>
        <v>4149</v>
      </c>
      <c r="E22" s="16"/>
      <c r="F22" s="15"/>
      <c r="H22" s="15"/>
      <c r="J22" s="24"/>
    </row>
    <row r="23" spans="1:11" x14ac:dyDescent="0.2">
      <c r="A23" s="27" t="s">
        <v>195</v>
      </c>
      <c r="B23" s="18"/>
      <c r="C23" s="29"/>
      <c r="D23" s="39">
        <f>_xlfn.IFNA(SUMIFS(Descuentos[DESCUENTO], Descuentos[COLABORADOR], Nombre_Promotor, Descuentos[PUESTO], Puesto_Promotor), 0)</f>
        <v>0</v>
      </c>
      <c r="E23" s="16" t="s">
        <v>121</v>
      </c>
      <c r="F23" s="15"/>
      <c r="H23" s="15"/>
      <c r="I23" s="18"/>
      <c r="J23" s="22"/>
      <c r="K23" s="22"/>
    </row>
    <row r="24" spans="1:11" ht="17" thickBot="1" x14ac:dyDescent="0.25">
      <c r="A24" s="35"/>
      <c r="C24" s="29"/>
      <c r="D24" s="28"/>
      <c r="E24" s="16"/>
      <c r="F24" s="15"/>
    </row>
    <row r="25" spans="1:11" ht="17" thickBot="1" x14ac:dyDescent="0.25">
      <c r="A25" s="37" t="s">
        <v>49</v>
      </c>
      <c r="B25" s="34"/>
      <c r="C25" s="49"/>
      <c r="D25" s="30">
        <f>Pago_Subtotal_Promotor + Descuento_Promotor</f>
        <v>4149</v>
      </c>
      <c r="E25" s="16"/>
      <c r="F25" s="15"/>
    </row>
    <row r="26" spans="1:11" x14ac:dyDescent="0.2">
      <c r="C26" s="29"/>
      <c r="D26" s="28"/>
      <c r="E26" s="26"/>
      <c r="F26" s="26"/>
    </row>
    <row r="27" spans="1:11" x14ac:dyDescent="0.2">
      <c r="C27" s="29"/>
      <c r="D27" s="28"/>
      <c r="E27" s="26"/>
      <c r="F27" s="26"/>
    </row>
    <row r="28" spans="1:11" ht="17" thickBot="1" x14ac:dyDescent="0.25">
      <c r="C28" s="37" t="s">
        <v>25</v>
      </c>
      <c r="D28" s="121" t="str" cm="1">
        <f t="array" ref="D28">NumeroATexto(Pago_Neto_Promotor)</f>
        <v>CUATRO MIL CIENTO CUARENTA Y NUEVE PESOS 00/100</v>
      </c>
      <c r="E28" s="121"/>
      <c r="F28" s="121"/>
      <c r="G28" s="121"/>
      <c r="H28" s="121"/>
      <c r="I28" s="121"/>
    </row>
    <row r="29" spans="1:11" x14ac:dyDescent="0.2">
      <c r="C29" s="27"/>
      <c r="D29" s="26"/>
      <c r="E29" s="16"/>
      <c r="F29" s="15"/>
    </row>
    <row r="30" spans="1:11" x14ac:dyDescent="0.2">
      <c r="C30" s="29"/>
      <c r="D30" s="28"/>
    </row>
    <row r="31" spans="1:11" ht="17" thickBot="1" x14ac:dyDescent="0.25">
      <c r="C31" s="33" t="s">
        <v>26</v>
      </c>
      <c r="D31" s="122"/>
      <c r="E31" s="122"/>
      <c r="F31" s="122"/>
      <c r="G31" s="122"/>
      <c r="H31" s="122"/>
      <c r="I31" s="122"/>
    </row>
  </sheetData>
  <mergeCells count="4">
    <mergeCell ref="B1:D1"/>
    <mergeCell ref="B2:D2"/>
    <mergeCell ref="D28:I28"/>
    <mergeCell ref="D31:I31"/>
  </mergeCells>
  <conditionalFormatting sqref="D9:D17">
    <cfRule type="expression" dxfId="59" priority="2">
      <formula>$G9=501</formula>
    </cfRule>
    <cfRule type="cellIs" dxfId="58" priority="5" operator="equal">
      <formula>0</formula>
    </cfRule>
  </conditionalFormatting>
  <conditionalFormatting sqref="G9:G17">
    <cfRule type="cellIs" dxfId="57" priority="3" operator="equal">
      <formula>503</formula>
    </cfRule>
    <cfRule type="cellIs" dxfId="56" priority="4" operator="equal">
      <formula>501</formula>
    </cfRule>
  </conditionalFormatting>
  <conditionalFormatting sqref="H9:H17">
    <cfRule type="cellIs" dxfId="55" priority="1" operator="lessThan">
      <formula>299</formula>
    </cfRule>
  </conditionalFormatting>
  <conditionalFormatting sqref="B9:B17">
    <cfRule type="duplicateValues" dxfId="53" priority="3054"/>
  </conditionalFormatting>
  <dataValidations count="6">
    <dataValidation type="list" allowBlank="1" showInputMessage="1" showErrorMessage="1" sqref="F9:F17" xr:uid="{557B4E8D-EF66-8345-A039-CBD25F6D1B6B}">
      <formula1>Cursos</formula1>
    </dataValidation>
    <dataValidation type="list" allowBlank="1" showInputMessage="1" showErrorMessage="1" sqref="B2:D2" xr:uid="{5E5F8332-6DBD-EA4C-B595-0C8EB850E6DA}">
      <formula1>Razones_Sociales</formula1>
    </dataValidation>
    <dataValidation type="date" allowBlank="1" showInputMessage="1" showErrorMessage="1" sqref="I9:I17" xr:uid="{1A549FDD-DDDE-7447-AB6C-3F0C99304AE3}">
      <formula1>Periodo_De_Pago_Inicial_Gerente</formula1>
      <formula2>Periodo_De_Pago_Final_Gerente</formula2>
    </dataValidation>
    <dataValidation type="custom" allowBlank="1" showInputMessage="1" showErrorMessage="1" sqref="G9:G17" xr:uid="{3C3F0CF0-A7DC-4740-9826-971371D05D20}">
      <formula1>G9&lt;&gt;500</formula1>
    </dataValidation>
    <dataValidation type="list" allowBlank="1" showInputMessage="1" showErrorMessage="1" sqref="E9:E17" xr:uid="{20D0245E-5B5A-7641-814F-40D13B156079}">
      <formula1>Nombres_Planteles</formula1>
    </dataValidation>
    <dataValidation type="list" allowBlank="1" showInputMessage="1" showErrorMessage="1" sqref="B1" xr:uid="{73597953-8E74-C949-A5D9-01044188BF53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826C98C9-703D-6648-9B43-04A55F9E304A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27558D0-9E6A-C841-AC85-9D522A60308B}">
          <x14:formula1>
            <xm:f>Planteles!$A$4:$A$15</xm:f>
          </x14:formula1>
          <xm:sqref>J9:J17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0B072-329B-8244-B3D7-F41329B82924}">
  <sheetPr codeName="Sheet14">
    <tabColor rgb="FF0070C0"/>
  </sheetPr>
  <dimension ref="A1:N59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5.83203125" style="13" bestFit="1" customWidth="1"/>
    <col min="4" max="4" width="19.5" style="13" bestFit="1" customWidth="1"/>
    <col min="5" max="5" width="19.33203125" style="13" bestFit="1" customWidth="1"/>
    <col min="6" max="6" width="12.6640625" style="13" bestFit="1" customWidth="1"/>
    <col min="7" max="7" width="13.83203125" style="13" bestFit="1" customWidth="1"/>
    <col min="8" max="8" width="11.6640625" style="13" bestFit="1" customWidth="1"/>
    <col min="9" max="9" width="26" style="19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14" width="12.5" style="13" customWidth="1"/>
    <col min="15" max="15" width="3.33203125" style="13" bestFit="1" customWidth="1"/>
    <col min="16" max="22" width="10.6640625" style="13" customWidth="1"/>
    <col min="23" max="16384" width="14.5" style="13"/>
  </cols>
  <sheetData>
    <row r="1" spans="1:14" ht="17" thickBot="1" x14ac:dyDescent="0.25">
      <c r="A1" s="32" t="s">
        <v>28</v>
      </c>
      <c r="B1" s="119" t="s">
        <v>79</v>
      </c>
      <c r="C1" s="119"/>
      <c r="D1" s="119"/>
      <c r="F1" s="43" t="s">
        <v>116</v>
      </c>
      <c r="G1" s="45" t="s">
        <v>6</v>
      </c>
      <c r="I1" s="31" t="s">
        <v>58</v>
      </c>
      <c r="J1" s="34">
        <f>Total_Registros_Gerente</f>
        <v>88</v>
      </c>
      <c r="M1" s="96"/>
      <c r="N1" s="96"/>
    </row>
    <row r="2" spans="1:14" ht="17" thickBot="1" x14ac:dyDescent="0.25">
      <c r="A2" s="43" t="s">
        <v>31</v>
      </c>
      <c r="B2" s="120" t="s">
        <v>303</v>
      </c>
      <c r="C2" s="120"/>
      <c r="D2" s="120"/>
      <c r="M2" s="96"/>
      <c r="N2" s="96"/>
    </row>
    <row r="3" spans="1:14" ht="17" thickBot="1" x14ac:dyDescent="0.25">
      <c r="A3" s="43" t="s">
        <v>29</v>
      </c>
      <c r="B3" s="101">
        <v>45743</v>
      </c>
      <c r="C3" s="44" t="s">
        <v>30</v>
      </c>
      <c r="D3" s="102">
        <v>45750</v>
      </c>
      <c r="F3" s="20"/>
      <c r="G3" s="21"/>
      <c r="I3" s="16"/>
      <c r="M3" s="96"/>
      <c r="N3" s="96"/>
    </row>
    <row r="4" spans="1:14" ht="17" thickBot="1" x14ac:dyDescent="0.25">
      <c r="A4" s="43" t="s">
        <v>17</v>
      </c>
      <c r="B4" s="86" cm="1">
        <f t="array" ref="B4">IF(COUNTA(Tabla_Coordinador_MICHELLE_APARICIO[GRUPO]) = 0, 0,
   COUNTIFS(Tabla_Coordinador_MICHELLE_APARICIO[GRUPO], "&lt;&gt;",
            Tabla_Coordinador_MICHELLE_APARICIO[GRUPO], "&lt;&gt;503",
            Tabla_Coordinador_MICHELLE_APARICIO[GRUPO], "&lt;&gt;500",
            Tabla_Coordinador_MICHELLE_APARICIO[PAGO], "&gt;=299")
   - SUMPRODUCT(COUNTIF(Tabla_Gerente[CREDENCIAL], Tabla_Coordinador_MICHELLE_APARICIO[CREDENCIAL]) - 1))</f>
        <v>29</v>
      </c>
      <c r="C4" s="17"/>
      <c r="F4" s="18"/>
      <c r="G4" s="18"/>
      <c r="H4" s="17"/>
      <c r="I4" s="31" t="s">
        <v>48</v>
      </c>
      <c r="J4" s="72">
        <v>0</v>
      </c>
      <c r="K4" s="19"/>
      <c r="M4" s="96"/>
      <c r="N4" s="96"/>
    </row>
    <row r="5" spans="1:14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J5" s="23"/>
      <c r="K5" s="23"/>
    </row>
    <row r="6" spans="1:14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4" x14ac:dyDescent="0.2">
      <c r="A8" s="112" t="s">
        <v>7</v>
      </c>
      <c r="B8" s="112" t="s">
        <v>18</v>
      </c>
      <c r="C8" s="112" t="s">
        <v>110</v>
      </c>
      <c r="D8" s="113" t="s">
        <v>34</v>
      </c>
      <c r="E8" s="112" t="s">
        <v>33</v>
      </c>
      <c r="F8" s="112" t="s">
        <v>64</v>
      </c>
      <c r="G8" s="112" t="s">
        <v>20</v>
      </c>
      <c r="H8" s="113" t="s">
        <v>1</v>
      </c>
      <c r="I8" s="112" t="s">
        <v>65</v>
      </c>
      <c r="J8" s="112" t="s">
        <v>21</v>
      </c>
      <c r="K8" s="112" t="s">
        <v>22</v>
      </c>
    </row>
    <row r="9" spans="1:14" x14ac:dyDescent="0.2">
      <c r="A9" s="125" t="s">
        <v>70</v>
      </c>
      <c r="B9" s="126">
        <v>134745</v>
      </c>
      <c r="C9" s="126" t="s">
        <v>261</v>
      </c>
      <c r="D9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9" s="126" t="s">
        <v>36</v>
      </c>
      <c r="F9" s="126" t="s">
        <v>313</v>
      </c>
      <c r="G9" s="128">
        <v>1342</v>
      </c>
      <c r="H9" s="129">
        <f>IFERROR(VLOOKUP(Tabla_Coordinador_MICHELLE_APARICIO[[#This Row],[CREDENCIAL]], Tabla_Gerente[[CREDENCIAL]:[PAGO]], 7, FALSE), 0)</f>
        <v>350</v>
      </c>
      <c r="I9" s="130">
        <v>45749</v>
      </c>
      <c r="J9" s="131"/>
      <c r="K9" s="131"/>
    </row>
    <row r="10" spans="1:14" x14ac:dyDescent="0.2">
      <c r="A10" s="125" t="s">
        <v>70</v>
      </c>
      <c r="B10" s="126">
        <v>134746</v>
      </c>
      <c r="C10" s="126" t="s">
        <v>262</v>
      </c>
      <c r="D10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0</v>
      </c>
      <c r="E10" s="126" t="s">
        <v>36</v>
      </c>
      <c r="F10" s="126" t="s">
        <v>314</v>
      </c>
      <c r="G10" s="128">
        <v>503</v>
      </c>
      <c r="H10" s="129">
        <f>IFERROR(VLOOKUP(Tabla_Coordinador_MICHELLE_APARICIO[[#This Row],[CREDENCIAL]], Tabla_Gerente[[CREDENCIAL]:[PAGO]], 7, FALSE), 0)</f>
        <v>350</v>
      </c>
      <c r="I10" s="130">
        <v>45746</v>
      </c>
      <c r="J10" s="131"/>
      <c r="K10" s="131"/>
    </row>
    <row r="11" spans="1:14" x14ac:dyDescent="0.2">
      <c r="A11" s="125" t="s">
        <v>70</v>
      </c>
      <c r="B11" s="126">
        <v>134747</v>
      </c>
      <c r="C11" s="126" t="s">
        <v>263</v>
      </c>
      <c r="D11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11" s="126" t="s">
        <v>36</v>
      </c>
      <c r="F11" s="126" t="s">
        <v>315</v>
      </c>
      <c r="G11" s="128">
        <v>1342</v>
      </c>
      <c r="H11" s="129">
        <f>IFERROR(VLOOKUP(Tabla_Coordinador_MICHELLE_APARICIO[[#This Row],[CREDENCIAL]], Tabla_Gerente[[CREDENCIAL]:[PAGO]], 7, FALSE), 0)</f>
        <v>400</v>
      </c>
      <c r="I11" s="130">
        <v>45743</v>
      </c>
      <c r="J11" s="131"/>
      <c r="K11" s="131"/>
    </row>
    <row r="12" spans="1:14" x14ac:dyDescent="0.2">
      <c r="A12" s="125" t="s">
        <v>70</v>
      </c>
      <c r="B12" s="126">
        <v>134748</v>
      </c>
      <c r="C12" s="126" t="s">
        <v>264</v>
      </c>
      <c r="D12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12" s="126" t="s">
        <v>36</v>
      </c>
      <c r="F12" s="126" t="s">
        <v>316</v>
      </c>
      <c r="G12" s="128">
        <v>1342</v>
      </c>
      <c r="H12" s="129">
        <f>IFERROR(VLOOKUP(Tabla_Coordinador_MICHELLE_APARICIO[[#This Row],[CREDENCIAL]], Tabla_Gerente[[CREDENCIAL]:[PAGO]], 7, FALSE), 0)</f>
        <v>500</v>
      </c>
      <c r="I12" s="130">
        <v>45746</v>
      </c>
      <c r="J12" s="131"/>
      <c r="K12" s="131"/>
    </row>
    <row r="13" spans="1:14" x14ac:dyDescent="0.2">
      <c r="A13" s="125" t="s">
        <v>70</v>
      </c>
      <c r="B13" s="126">
        <v>134749</v>
      </c>
      <c r="C13" s="126" t="s">
        <v>265</v>
      </c>
      <c r="D13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13" s="126" t="s">
        <v>36</v>
      </c>
      <c r="F13" s="126" t="s">
        <v>317</v>
      </c>
      <c r="G13" s="128">
        <v>1342</v>
      </c>
      <c r="H13" s="129">
        <f>IFERROR(VLOOKUP(Tabla_Coordinador_MICHELLE_APARICIO[[#This Row],[CREDENCIAL]], Tabla_Gerente[[CREDENCIAL]:[PAGO]], 7, FALSE), 0)</f>
        <v>299</v>
      </c>
      <c r="I13" s="130">
        <v>45744</v>
      </c>
      <c r="J13" s="131"/>
      <c r="K13" s="131"/>
    </row>
    <row r="14" spans="1:14" x14ac:dyDescent="0.2">
      <c r="A14" s="125" t="s">
        <v>70</v>
      </c>
      <c r="B14" s="126">
        <v>134750</v>
      </c>
      <c r="C14" s="126" t="s">
        <v>266</v>
      </c>
      <c r="D14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14" s="126" t="s">
        <v>37</v>
      </c>
      <c r="F14" s="126" t="s">
        <v>311</v>
      </c>
      <c r="G14" s="128">
        <v>1342</v>
      </c>
      <c r="H14" s="129">
        <f>IFERROR(VLOOKUP(Tabla_Coordinador_MICHELLE_APARICIO[[#This Row],[CREDENCIAL]], Tabla_Gerente[[CREDENCIAL]:[PAGO]], 7, FALSE), 0)</f>
        <v>350</v>
      </c>
      <c r="I14" s="130">
        <v>45745</v>
      </c>
      <c r="J14" s="131"/>
      <c r="K14" s="131"/>
    </row>
    <row r="15" spans="1:14" x14ac:dyDescent="0.2">
      <c r="A15" s="125" t="s">
        <v>70</v>
      </c>
      <c r="B15" s="126">
        <v>134751</v>
      </c>
      <c r="C15" s="126" t="s">
        <v>267</v>
      </c>
      <c r="D15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15" s="126" t="s">
        <v>37</v>
      </c>
      <c r="F15" s="126" t="s">
        <v>312</v>
      </c>
      <c r="G15" s="128">
        <v>1342</v>
      </c>
      <c r="H15" s="129">
        <f>IFERROR(VLOOKUP(Tabla_Coordinador_MICHELLE_APARICIO[[#This Row],[CREDENCIAL]], Tabla_Gerente[[CREDENCIAL]:[PAGO]], 7, FALSE), 0)</f>
        <v>300</v>
      </c>
      <c r="I15" s="130">
        <v>45743</v>
      </c>
      <c r="J15" s="131"/>
      <c r="K15" s="131"/>
    </row>
    <row r="16" spans="1:14" x14ac:dyDescent="0.2">
      <c r="A16" s="125" t="s">
        <v>70</v>
      </c>
      <c r="B16" s="126">
        <v>134752</v>
      </c>
      <c r="C16" s="126" t="s">
        <v>268</v>
      </c>
      <c r="D16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16" s="126" t="s">
        <v>37</v>
      </c>
      <c r="F16" s="126" t="s">
        <v>311</v>
      </c>
      <c r="G16" s="128">
        <v>1342</v>
      </c>
      <c r="H16" s="129">
        <f>IFERROR(VLOOKUP(Tabla_Coordinador_MICHELLE_APARICIO[[#This Row],[CREDENCIAL]], Tabla_Gerente[[CREDENCIAL]:[PAGO]], 7, FALSE), 0)</f>
        <v>350</v>
      </c>
      <c r="I16" s="130">
        <v>45746</v>
      </c>
      <c r="J16" s="131"/>
      <c r="K16" s="131"/>
    </row>
    <row r="17" spans="1:11" x14ac:dyDescent="0.2">
      <c r="A17" s="125" t="s">
        <v>70</v>
      </c>
      <c r="B17" s="126">
        <v>134753</v>
      </c>
      <c r="C17" s="126" t="s">
        <v>269</v>
      </c>
      <c r="D17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0</v>
      </c>
      <c r="E17" s="126" t="s">
        <v>37</v>
      </c>
      <c r="F17" s="126" t="s">
        <v>313</v>
      </c>
      <c r="G17" s="128">
        <v>503</v>
      </c>
      <c r="H17" s="129">
        <f>IFERROR(VLOOKUP(Tabla_Coordinador_MICHELLE_APARICIO[[#This Row],[CREDENCIAL]], Tabla_Gerente[[CREDENCIAL]:[PAGO]], 7, FALSE), 0)</f>
        <v>350</v>
      </c>
      <c r="I17" s="130">
        <v>45744</v>
      </c>
      <c r="J17" s="131"/>
      <c r="K17" s="131"/>
    </row>
    <row r="18" spans="1:11" x14ac:dyDescent="0.2">
      <c r="A18" s="125" t="s">
        <v>70</v>
      </c>
      <c r="B18" s="126">
        <v>134754</v>
      </c>
      <c r="C18" s="126" t="s">
        <v>270</v>
      </c>
      <c r="D18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18" s="126" t="s">
        <v>37</v>
      </c>
      <c r="F18" s="126" t="s">
        <v>314</v>
      </c>
      <c r="G18" s="128">
        <v>1342</v>
      </c>
      <c r="H18" s="129">
        <f>IFERROR(VLOOKUP(Tabla_Coordinador_MICHELLE_APARICIO[[#This Row],[CREDENCIAL]], Tabla_Gerente[[CREDENCIAL]:[PAGO]], 7, FALSE), 0)</f>
        <v>400</v>
      </c>
      <c r="I18" s="130">
        <v>45746</v>
      </c>
      <c r="J18" s="131"/>
      <c r="K18" s="131"/>
    </row>
    <row r="19" spans="1:11" x14ac:dyDescent="0.2">
      <c r="A19" s="125" t="s">
        <v>72</v>
      </c>
      <c r="B19" s="126">
        <v>134755</v>
      </c>
      <c r="C19" s="126" t="s">
        <v>271</v>
      </c>
      <c r="D19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19" s="126" t="s">
        <v>37</v>
      </c>
      <c r="F19" s="126" t="s">
        <v>315</v>
      </c>
      <c r="G19" s="128">
        <v>1342</v>
      </c>
      <c r="H19" s="129">
        <f>IFERROR(VLOOKUP(Tabla_Coordinador_MICHELLE_APARICIO[[#This Row],[CREDENCIAL]], Tabla_Gerente[[CREDENCIAL]:[PAGO]], 7, FALSE), 0)</f>
        <v>500</v>
      </c>
      <c r="I19" s="130">
        <v>45745</v>
      </c>
      <c r="J19" s="131"/>
      <c r="K19" s="131"/>
    </row>
    <row r="20" spans="1:11" x14ac:dyDescent="0.2">
      <c r="A20" s="125" t="s">
        <v>72</v>
      </c>
      <c r="B20" s="126">
        <v>134756</v>
      </c>
      <c r="C20" s="126" t="s">
        <v>272</v>
      </c>
      <c r="D20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20" s="126" t="s">
        <v>109</v>
      </c>
      <c r="F20" s="126" t="s">
        <v>316</v>
      </c>
      <c r="G20" s="128">
        <v>1342</v>
      </c>
      <c r="H20" s="129">
        <f>IFERROR(VLOOKUP(Tabla_Coordinador_MICHELLE_APARICIO[[#This Row],[CREDENCIAL]], Tabla_Gerente[[CREDENCIAL]:[PAGO]], 7, FALSE), 0)</f>
        <v>300</v>
      </c>
      <c r="I20" s="130">
        <v>45748</v>
      </c>
      <c r="J20" s="131"/>
      <c r="K20" s="131"/>
    </row>
    <row r="21" spans="1:11" x14ac:dyDescent="0.2">
      <c r="A21" s="125" t="s">
        <v>72</v>
      </c>
      <c r="B21" s="126">
        <v>134757</v>
      </c>
      <c r="C21" s="126" t="s">
        <v>273</v>
      </c>
      <c r="D21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21" s="126" t="s">
        <v>109</v>
      </c>
      <c r="F21" s="126" t="s">
        <v>317</v>
      </c>
      <c r="G21" s="128">
        <v>1342</v>
      </c>
      <c r="H21" s="129">
        <f>IFERROR(VLOOKUP(Tabla_Coordinador_MICHELLE_APARICIO[[#This Row],[CREDENCIAL]], Tabla_Gerente[[CREDENCIAL]:[PAGO]], 7, FALSE), 0)</f>
        <v>350</v>
      </c>
      <c r="I21" s="130">
        <v>45744</v>
      </c>
      <c r="J21" s="131"/>
      <c r="K21" s="131"/>
    </row>
    <row r="22" spans="1:11" x14ac:dyDescent="0.2">
      <c r="A22" s="125" t="s">
        <v>72</v>
      </c>
      <c r="B22" s="126">
        <v>134758</v>
      </c>
      <c r="C22" s="126" t="s">
        <v>274</v>
      </c>
      <c r="D22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22" s="126" t="s">
        <v>109</v>
      </c>
      <c r="F22" s="126" t="s">
        <v>318</v>
      </c>
      <c r="G22" s="128">
        <v>1342</v>
      </c>
      <c r="H22" s="129">
        <f>IFERROR(VLOOKUP(Tabla_Coordinador_MICHELLE_APARICIO[[#This Row],[CREDENCIAL]], Tabla_Gerente[[CREDENCIAL]:[PAGO]], 7, FALSE), 0)</f>
        <v>350</v>
      </c>
      <c r="I22" s="130">
        <v>45748</v>
      </c>
      <c r="J22" s="131"/>
      <c r="K22" s="131"/>
    </row>
    <row r="23" spans="1:11" x14ac:dyDescent="0.2">
      <c r="A23" s="125" t="s">
        <v>72</v>
      </c>
      <c r="B23" s="126">
        <v>134759</v>
      </c>
      <c r="C23" s="126" t="s">
        <v>275</v>
      </c>
      <c r="D23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23" s="126" t="s">
        <v>39</v>
      </c>
      <c r="F23" s="126" t="s">
        <v>319</v>
      </c>
      <c r="G23" s="128">
        <v>1342</v>
      </c>
      <c r="H23" s="129">
        <f>IFERROR(VLOOKUP(Tabla_Coordinador_MICHELLE_APARICIO[[#This Row],[CREDENCIAL]], Tabla_Gerente[[CREDENCIAL]:[PAGO]], 7, FALSE), 0)</f>
        <v>400</v>
      </c>
      <c r="I23" s="130">
        <v>45749</v>
      </c>
      <c r="J23" s="131"/>
      <c r="K23" s="131"/>
    </row>
    <row r="24" spans="1:11" x14ac:dyDescent="0.2">
      <c r="A24" s="125" t="s">
        <v>72</v>
      </c>
      <c r="B24" s="126">
        <v>134760</v>
      </c>
      <c r="C24" s="126" t="s">
        <v>276</v>
      </c>
      <c r="D24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24" s="126" t="s">
        <v>39</v>
      </c>
      <c r="F24" s="126" t="s">
        <v>318</v>
      </c>
      <c r="G24" s="128">
        <v>1342</v>
      </c>
      <c r="H24" s="129">
        <f>IFERROR(VLOOKUP(Tabla_Coordinador_MICHELLE_APARICIO[[#This Row],[CREDENCIAL]], Tabla_Gerente[[CREDENCIAL]:[PAGO]], 7, FALSE), 0)</f>
        <v>500</v>
      </c>
      <c r="I24" s="130">
        <v>45749</v>
      </c>
      <c r="J24" s="131"/>
      <c r="K24" s="131"/>
    </row>
    <row r="25" spans="1:11" x14ac:dyDescent="0.2">
      <c r="A25" s="125" t="s">
        <v>72</v>
      </c>
      <c r="B25" s="126">
        <v>134761</v>
      </c>
      <c r="C25" s="126" t="s">
        <v>277</v>
      </c>
      <c r="D25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25" s="126" t="s">
        <v>39</v>
      </c>
      <c r="F25" s="126" t="s">
        <v>320</v>
      </c>
      <c r="G25" s="128">
        <v>1342</v>
      </c>
      <c r="H25" s="129">
        <f>IFERROR(VLOOKUP(Tabla_Coordinador_MICHELLE_APARICIO[[#This Row],[CREDENCIAL]], Tabla_Gerente[[CREDENCIAL]:[PAGO]], 7, FALSE), 0)</f>
        <v>299</v>
      </c>
      <c r="I25" s="130">
        <v>45748</v>
      </c>
      <c r="J25" s="131"/>
      <c r="K25" s="131"/>
    </row>
    <row r="26" spans="1:11" x14ac:dyDescent="0.2">
      <c r="A26" s="125" t="s">
        <v>106</v>
      </c>
      <c r="B26" s="126">
        <v>134762</v>
      </c>
      <c r="C26" s="126" t="s">
        <v>278</v>
      </c>
      <c r="D26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26" s="126" t="s">
        <v>39</v>
      </c>
      <c r="F26" s="126" t="s">
        <v>321</v>
      </c>
      <c r="G26" s="128">
        <v>1342</v>
      </c>
      <c r="H26" s="129">
        <f>IFERROR(VLOOKUP(Tabla_Coordinador_MICHELLE_APARICIO[[#This Row],[CREDENCIAL]], Tabla_Gerente[[CREDENCIAL]:[PAGO]], 7, FALSE), 0)</f>
        <v>300</v>
      </c>
      <c r="I26" s="130">
        <v>45746</v>
      </c>
      <c r="J26" s="131"/>
      <c r="K26" s="131"/>
    </row>
    <row r="27" spans="1:11" x14ac:dyDescent="0.2">
      <c r="A27" s="125" t="s">
        <v>106</v>
      </c>
      <c r="B27" s="126">
        <v>134763</v>
      </c>
      <c r="C27" s="126" t="s">
        <v>279</v>
      </c>
      <c r="D27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27" s="126" t="s">
        <v>39</v>
      </c>
      <c r="F27" s="126" t="s">
        <v>315</v>
      </c>
      <c r="G27" s="128">
        <v>1342</v>
      </c>
      <c r="H27" s="129">
        <f>IFERROR(VLOOKUP(Tabla_Coordinador_MICHELLE_APARICIO[[#This Row],[CREDENCIAL]], Tabla_Gerente[[CREDENCIAL]:[PAGO]], 7, FALSE), 0)</f>
        <v>350</v>
      </c>
      <c r="I27" s="130">
        <v>45744</v>
      </c>
      <c r="J27" s="131"/>
      <c r="K27" s="131"/>
    </row>
    <row r="28" spans="1:11" x14ac:dyDescent="0.2">
      <c r="A28" s="125" t="s">
        <v>106</v>
      </c>
      <c r="B28" s="126">
        <v>134764</v>
      </c>
      <c r="C28" s="126" t="s">
        <v>280</v>
      </c>
      <c r="D28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28" s="126" t="s">
        <v>39</v>
      </c>
      <c r="F28" s="126" t="s">
        <v>316</v>
      </c>
      <c r="G28" s="128">
        <v>1342</v>
      </c>
      <c r="H28" s="129">
        <f>IFERROR(VLOOKUP(Tabla_Coordinador_MICHELLE_APARICIO[[#This Row],[CREDENCIAL]], Tabla_Gerente[[CREDENCIAL]:[PAGO]], 7, FALSE), 0)</f>
        <v>350</v>
      </c>
      <c r="I28" s="130">
        <v>45748</v>
      </c>
      <c r="J28" s="131"/>
      <c r="K28" s="131"/>
    </row>
    <row r="29" spans="1:11" x14ac:dyDescent="0.2">
      <c r="A29" s="125" t="s">
        <v>106</v>
      </c>
      <c r="B29" s="126">
        <v>134765</v>
      </c>
      <c r="C29" s="126" t="s">
        <v>281</v>
      </c>
      <c r="D29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0</v>
      </c>
      <c r="E29" s="126" t="s">
        <v>38</v>
      </c>
      <c r="F29" s="126" t="s">
        <v>317</v>
      </c>
      <c r="G29" s="128">
        <v>501</v>
      </c>
      <c r="H29" s="129">
        <f>IFERROR(VLOOKUP(Tabla_Coordinador_MICHELLE_APARICIO[[#This Row],[CREDENCIAL]], Tabla_Gerente[[CREDENCIAL]:[PAGO]], 7, FALSE), 0)</f>
        <v>400</v>
      </c>
      <c r="I29" s="130">
        <v>45744</v>
      </c>
      <c r="J29" s="131"/>
      <c r="K29" s="131"/>
    </row>
    <row r="30" spans="1:11" x14ac:dyDescent="0.2">
      <c r="A30" s="125" t="s">
        <v>106</v>
      </c>
      <c r="B30" s="126">
        <v>134766</v>
      </c>
      <c r="C30" s="126" t="s">
        <v>282</v>
      </c>
      <c r="D30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30" s="126" t="s">
        <v>38</v>
      </c>
      <c r="F30" s="126" t="s">
        <v>318</v>
      </c>
      <c r="G30" s="128">
        <v>1342</v>
      </c>
      <c r="H30" s="129">
        <f>IFERROR(VLOOKUP(Tabla_Coordinador_MICHELLE_APARICIO[[#This Row],[CREDENCIAL]], Tabla_Gerente[[CREDENCIAL]:[PAGO]], 7, FALSE), 0)</f>
        <v>500</v>
      </c>
      <c r="I30" s="130">
        <v>45746</v>
      </c>
      <c r="J30" s="131"/>
      <c r="K30" s="131"/>
    </row>
    <row r="31" spans="1:11" x14ac:dyDescent="0.2">
      <c r="A31" s="125" t="s">
        <v>106</v>
      </c>
      <c r="B31" s="126">
        <v>134767</v>
      </c>
      <c r="C31" s="126" t="s">
        <v>283</v>
      </c>
      <c r="D31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31" s="126" t="s">
        <v>38</v>
      </c>
      <c r="F31" s="126" t="s">
        <v>319</v>
      </c>
      <c r="G31" s="128">
        <v>1342</v>
      </c>
      <c r="H31" s="129">
        <f>IFERROR(VLOOKUP(Tabla_Coordinador_MICHELLE_APARICIO[[#This Row],[CREDENCIAL]], Tabla_Gerente[[CREDENCIAL]:[PAGO]], 7, FALSE), 0)</f>
        <v>299</v>
      </c>
      <c r="I31" s="130">
        <v>45748</v>
      </c>
      <c r="J31" s="131"/>
      <c r="K31" s="131"/>
    </row>
    <row r="32" spans="1:11" x14ac:dyDescent="0.2">
      <c r="A32" s="125" t="s">
        <v>106</v>
      </c>
      <c r="B32" s="126">
        <v>134768</v>
      </c>
      <c r="C32" s="126" t="s">
        <v>284</v>
      </c>
      <c r="D32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32" s="126" t="s">
        <v>38</v>
      </c>
      <c r="F32" s="126" t="s">
        <v>318</v>
      </c>
      <c r="G32" s="128">
        <v>1342</v>
      </c>
      <c r="H32" s="129">
        <f>IFERROR(VLOOKUP(Tabla_Coordinador_MICHELLE_APARICIO[[#This Row],[CREDENCIAL]], Tabla_Gerente[[CREDENCIAL]:[PAGO]], 7, FALSE), 0)</f>
        <v>300</v>
      </c>
      <c r="I32" s="130">
        <v>45749</v>
      </c>
      <c r="J32" s="131"/>
      <c r="K32" s="131"/>
    </row>
    <row r="33" spans="1:11" x14ac:dyDescent="0.2">
      <c r="A33" s="125" t="s">
        <v>107</v>
      </c>
      <c r="B33" s="126">
        <v>134769</v>
      </c>
      <c r="C33" s="126" t="s">
        <v>285</v>
      </c>
      <c r="D33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33" s="126" t="s">
        <v>38</v>
      </c>
      <c r="F33" s="126" t="s">
        <v>311</v>
      </c>
      <c r="G33" s="128">
        <v>1342</v>
      </c>
      <c r="H33" s="129">
        <f>IFERROR(VLOOKUP(Tabla_Coordinador_MICHELLE_APARICIO[[#This Row],[CREDENCIAL]], Tabla_Gerente[[CREDENCIAL]:[PAGO]], 7, FALSE), 0)</f>
        <v>350</v>
      </c>
      <c r="I33" s="130">
        <v>45748</v>
      </c>
      <c r="J33" s="131"/>
      <c r="K33" s="131"/>
    </row>
    <row r="34" spans="1:11" x14ac:dyDescent="0.2">
      <c r="A34" s="125" t="s">
        <v>107</v>
      </c>
      <c r="B34" s="126">
        <v>134770</v>
      </c>
      <c r="C34" s="126" t="s">
        <v>286</v>
      </c>
      <c r="D34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34" s="126" t="s">
        <v>38</v>
      </c>
      <c r="F34" s="126" t="s">
        <v>312</v>
      </c>
      <c r="G34" s="128">
        <v>1342</v>
      </c>
      <c r="H34" s="129">
        <f>IFERROR(VLOOKUP(Tabla_Coordinador_MICHELLE_APARICIO[[#This Row],[CREDENCIAL]], Tabla_Gerente[[CREDENCIAL]:[PAGO]], 7, FALSE), 0)</f>
        <v>350</v>
      </c>
      <c r="I34" s="130">
        <v>45749</v>
      </c>
      <c r="J34" s="131"/>
      <c r="K34" s="131"/>
    </row>
    <row r="35" spans="1:11" x14ac:dyDescent="0.2">
      <c r="A35" s="125" t="s">
        <v>107</v>
      </c>
      <c r="B35" s="126">
        <v>134771</v>
      </c>
      <c r="C35" s="126" t="s">
        <v>287</v>
      </c>
      <c r="D35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35" s="126" t="s">
        <v>38</v>
      </c>
      <c r="F35" s="126" t="s">
        <v>311</v>
      </c>
      <c r="G35" s="128">
        <v>1342</v>
      </c>
      <c r="H35" s="129">
        <f>IFERROR(VLOOKUP(Tabla_Coordinador_MICHELLE_APARICIO[[#This Row],[CREDENCIAL]], Tabla_Gerente[[CREDENCIAL]:[PAGO]], 7, FALSE), 0)</f>
        <v>400</v>
      </c>
      <c r="I35" s="130">
        <v>45748</v>
      </c>
      <c r="J35" s="131"/>
      <c r="K35" s="131"/>
    </row>
    <row r="36" spans="1:11" x14ac:dyDescent="0.2">
      <c r="A36" s="125" t="s">
        <v>107</v>
      </c>
      <c r="B36" s="126">
        <v>134772</v>
      </c>
      <c r="C36" s="126" t="s">
        <v>288</v>
      </c>
      <c r="D36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36" s="126" t="s">
        <v>38</v>
      </c>
      <c r="F36" s="126" t="s">
        <v>313</v>
      </c>
      <c r="G36" s="128">
        <v>1342</v>
      </c>
      <c r="H36" s="129">
        <f>IFERROR(VLOOKUP(Tabla_Coordinador_MICHELLE_APARICIO[[#This Row],[CREDENCIAL]], Tabla_Gerente[[CREDENCIAL]:[PAGO]], 7, FALSE), 0)</f>
        <v>500</v>
      </c>
      <c r="I36" s="130">
        <v>45743</v>
      </c>
      <c r="J36" s="131"/>
      <c r="K36" s="131"/>
    </row>
    <row r="37" spans="1:11" x14ac:dyDescent="0.2">
      <c r="A37" s="125" t="s">
        <v>107</v>
      </c>
      <c r="B37" s="126">
        <v>134773</v>
      </c>
      <c r="C37" s="126" t="s">
        <v>289</v>
      </c>
      <c r="D37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0</v>
      </c>
      <c r="E37" s="126" t="s">
        <v>40</v>
      </c>
      <c r="F37" s="126" t="s">
        <v>314</v>
      </c>
      <c r="G37" s="128">
        <v>501</v>
      </c>
      <c r="H37" s="129">
        <f>IFERROR(VLOOKUP(Tabla_Coordinador_MICHELLE_APARICIO[[#This Row],[CREDENCIAL]], Tabla_Gerente[[CREDENCIAL]:[PAGO]], 7, FALSE), 0)</f>
        <v>299</v>
      </c>
      <c r="I37" s="130">
        <v>45746</v>
      </c>
      <c r="J37" s="131"/>
      <c r="K37" s="131"/>
    </row>
    <row r="38" spans="1:11" x14ac:dyDescent="0.2">
      <c r="A38" s="125" t="s">
        <v>107</v>
      </c>
      <c r="B38" s="126">
        <v>134774</v>
      </c>
      <c r="C38" s="126" t="s">
        <v>290</v>
      </c>
      <c r="D38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38" s="126" t="s">
        <v>40</v>
      </c>
      <c r="F38" s="126" t="s">
        <v>315</v>
      </c>
      <c r="G38" s="128">
        <v>1342</v>
      </c>
      <c r="H38" s="129">
        <f>IFERROR(VLOOKUP(Tabla_Coordinador_MICHELLE_APARICIO[[#This Row],[CREDENCIAL]], Tabla_Gerente[[CREDENCIAL]:[PAGO]], 7, FALSE), 0)</f>
        <v>300</v>
      </c>
      <c r="I38" s="130">
        <v>45744</v>
      </c>
      <c r="J38" s="131"/>
      <c r="K38" s="131"/>
    </row>
    <row r="39" spans="1:11" x14ac:dyDescent="0.2">
      <c r="A39" s="125" t="s">
        <v>107</v>
      </c>
      <c r="B39" s="126">
        <v>134775</v>
      </c>
      <c r="C39" s="126" t="s">
        <v>291</v>
      </c>
      <c r="D39" s="127">
        <f>IF(
    OR(
        Tabla_Coordinador_MICHELLE_APARICIO[[#This Row],[GRUPO]] = 501,
        Tabla_Coordinador_MICHELLE_APARICIO[[#This Row],[GRUPO]] = 505,
        Tabla_Coordinador_MICHELLE_APARICIO[[#This Row],[GRUPO]] = 503,
        Tabla_Coordinador_MICHELLE_APARICIO[[#This Row],[GRUPO]] = "",
        Tabla_Coordinador_MICHELLE_APARICIO[[#This Row],[GRUPO]] = 500,
        Tabla_Coordinador_MICHELLE_APARICIO[[#This Row],[PAGO]] &lt; 299,
        COUNTIF(Tabla_Coordinador_MICHELLE_APARICIO[CREDENCIAL], Tabla_Coordinador_MICHELLE_APARICIO[[#This Row],[CREDENCIAL]]) &gt; 1,
        COUNTIF(Tabla_Gerente[CREDENCIAL], Tabla_Coordinador_MICHELLE_APARICIO[[#This Row],[CREDENCIAL]]) &gt; 1
    ),
    0,
    VLOOKUP(
        Total_Registros_Coordinador,
        Tabulador_Coordinador[],
        3,
        TRUE
    )
)</f>
        <v>140</v>
      </c>
      <c r="E39" s="126" t="s">
        <v>40</v>
      </c>
      <c r="F39" s="126" t="s">
        <v>316</v>
      </c>
      <c r="G39" s="128">
        <v>1342</v>
      </c>
      <c r="H39" s="129">
        <f>IFERROR(VLOOKUP(Tabla_Coordinador_MICHELLE_APARICIO[[#This Row],[CREDENCIAL]], Tabla_Gerente[[CREDENCIAL]:[PAGO]], 7, FALSE), 0)</f>
        <v>300</v>
      </c>
      <c r="I39" s="130">
        <v>45743</v>
      </c>
      <c r="J39" s="131"/>
      <c r="K39" s="131"/>
    </row>
    <row r="40" spans="1:11" x14ac:dyDescent="0.2">
      <c r="A40" s="125" t="s">
        <v>50</v>
      </c>
      <c r="B40" s="126"/>
      <c r="C40" s="126"/>
      <c r="D40" s="127">
        <f>SUBTOTAL(109,Tabla_Coordinador_MICHELLE_APARICIO[COMISION])</f>
        <v>3780</v>
      </c>
      <c r="E40" s="126"/>
      <c r="F40" s="126"/>
      <c r="G40" s="128"/>
      <c r="H40" s="132"/>
      <c r="I40" s="130"/>
      <c r="J40" s="131"/>
      <c r="K40" s="131"/>
    </row>
    <row r="41" spans="1:11" x14ac:dyDescent="0.2">
      <c r="A41" s="27"/>
      <c r="B41" s="14"/>
      <c r="C41" s="15"/>
      <c r="D41" s="52"/>
      <c r="E41" s="14"/>
      <c r="F41" s="14"/>
      <c r="G41" s="14"/>
      <c r="H41" s="53"/>
      <c r="I41" s="16"/>
      <c r="J41" s="16"/>
      <c r="K41" s="16"/>
    </row>
    <row r="42" spans="1:11" x14ac:dyDescent="0.2">
      <c r="A42" s="27" t="s">
        <v>13</v>
      </c>
      <c r="D42" s="26">
        <f>Sueldo_Base_Coordinador</f>
        <v>500</v>
      </c>
      <c r="E42" s="16"/>
      <c r="F42" s="15"/>
      <c r="H42" s="15"/>
      <c r="J42" s="24"/>
    </row>
    <row r="43" spans="1:11" ht="17" thickBot="1" x14ac:dyDescent="0.25">
      <c r="A43" s="37" t="s">
        <v>45</v>
      </c>
      <c r="B43" s="38">
        <f>IF(Total_Registros_Coordinador &gt;= Premios!H5,
    VLOOKUP(Total_Registros_Coordinador, Premios_Coordinador[], 1, TRUE),
    0
)</f>
        <v>20</v>
      </c>
      <c r="C43" s="34"/>
      <c r="D43" s="36">
        <f>IF(Premio_Coordinador &gt; 0, VLOOKUP(Premio_Coordinador, Premios_Coordinador[], 2, FALSE), 0)</f>
        <v>2000</v>
      </c>
      <c r="E43" s="16"/>
      <c r="F43" s="15"/>
      <c r="H43" s="15"/>
      <c r="J43" s="24"/>
    </row>
    <row r="44" spans="1:11" x14ac:dyDescent="0.2">
      <c r="A44" s="27" t="s">
        <v>46</v>
      </c>
      <c r="B44" s="18"/>
      <c r="D44" s="28">
        <f>Tabla_Coordinador_MICHELLE_APARICIO[[#Totals],[COMISION]] + Pago_Sueldo_Base_Coordinador + Pago_Premio_Coordinador</f>
        <v>6280</v>
      </c>
      <c r="E44" s="16"/>
      <c r="F44" s="15"/>
      <c r="H44" s="15"/>
      <c r="J44" s="24"/>
    </row>
    <row r="45" spans="1:11" x14ac:dyDescent="0.2">
      <c r="A45" s="27" t="s">
        <v>195</v>
      </c>
      <c r="B45" s="18"/>
      <c r="C45" s="29"/>
      <c r="D45" s="40">
        <f>_xlfn.IFNA(SUMIFS(Descuentos[DESCUENTO], Descuentos[COLABORADOR], Nombre_Coordinador, Descuentos[PUESTO], Puesto_Coordinador), 0)</f>
        <v>0</v>
      </c>
      <c r="E45" s="16"/>
      <c r="F45" s="15"/>
      <c r="H45" s="15"/>
      <c r="J45" s="22"/>
      <c r="K45" s="22"/>
    </row>
    <row r="46" spans="1:11" ht="17" thickBot="1" x14ac:dyDescent="0.25">
      <c r="A46" s="37" t="s">
        <v>24</v>
      </c>
      <c r="B46" s="34"/>
      <c r="C46" s="34"/>
      <c r="D46" s="48">
        <f>(Pago_Subtotal_Coordinador * 0.05) * -1</f>
        <v>-314</v>
      </c>
      <c r="E46" s="16"/>
      <c r="F46" s="15"/>
      <c r="H46" s="15"/>
    </row>
    <row r="47" spans="1:11" ht="17" thickBot="1" x14ac:dyDescent="0.25">
      <c r="A47" s="42"/>
      <c r="C47" s="29"/>
      <c r="D47" s="28"/>
      <c r="E47" s="16"/>
      <c r="F47" s="15"/>
    </row>
    <row r="48" spans="1:11" ht="17" thickBot="1" x14ac:dyDescent="0.25">
      <c r="A48" s="37" t="s">
        <v>49</v>
      </c>
      <c r="B48" s="34"/>
      <c r="C48" s="49"/>
      <c r="D48" s="30">
        <f>Pago_Subtotal_Coordinador + Descuento_Coordinador + Deduccion_Coordinador</f>
        <v>5966</v>
      </c>
      <c r="E48" s="16"/>
      <c r="F48" s="15"/>
    </row>
    <row r="49" spans="3:9" x14ac:dyDescent="0.2">
      <c r="C49" s="29"/>
      <c r="D49" s="28"/>
      <c r="E49" s="26"/>
      <c r="F49" s="26"/>
    </row>
    <row r="50" spans="3:9" x14ac:dyDescent="0.2">
      <c r="C50" s="29"/>
      <c r="D50" s="28"/>
      <c r="E50" s="26"/>
      <c r="F50" s="26"/>
      <c r="I50" s="13"/>
    </row>
    <row r="51" spans="3:9" ht="17" thickBot="1" x14ac:dyDescent="0.25">
      <c r="C51" s="37" t="s">
        <v>25</v>
      </c>
      <c r="D51" s="121" t="str" cm="1">
        <f t="array" ref="D51">NumeroATexto(Pago_Neto_Coordinador)</f>
        <v>CINCO MIL NOVECIENTOS SESENTA Y SEIS PESOS 00/100</v>
      </c>
      <c r="E51" s="121"/>
      <c r="F51" s="121"/>
      <c r="G51" s="121"/>
      <c r="H51" s="121"/>
      <c r="I51" s="121"/>
    </row>
    <row r="52" spans="3:9" x14ac:dyDescent="0.2">
      <c r="C52" s="27"/>
      <c r="D52" s="26"/>
      <c r="E52" s="16"/>
      <c r="F52" s="15"/>
      <c r="I52" s="13"/>
    </row>
    <row r="53" spans="3:9" x14ac:dyDescent="0.2">
      <c r="C53" s="29"/>
      <c r="D53" s="28"/>
      <c r="I53" s="13"/>
    </row>
    <row r="54" spans="3:9" ht="17" thickBot="1" x14ac:dyDescent="0.25">
      <c r="C54" s="33" t="s">
        <v>26</v>
      </c>
      <c r="D54" s="122"/>
      <c r="E54" s="122"/>
      <c r="F54" s="122"/>
      <c r="G54" s="122"/>
      <c r="H54" s="122"/>
      <c r="I54" s="122"/>
    </row>
    <row r="55" spans="3:9" x14ac:dyDescent="0.2">
      <c r="I55" s="13"/>
    </row>
    <row r="56" spans="3:9" x14ac:dyDescent="0.2">
      <c r="I56" s="13"/>
    </row>
    <row r="57" spans="3:9" x14ac:dyDescent="0.2">
      <c r="I57" s="13"/>
    </row>
    <row r="58" spans="3:9" x14ac:dyDescent="0.2">
      <c r="I58" s="13"/>
    </row>
    <row r="59" spans="3:9" x14ac:dyDescent="0.2">
      <c r="I59" s="13"/>
    </row>
  </sheetData>
  <mergeCells count="4">
    <mergeCell ref="B1:D1"/>
    <mergeCell ref="B2:D2"/>
    <mergeCell ref="D51:I51"/>
    <mergeCell ref="D54:I54"/>
  </mergeCells>
  <conditionalFormatting sqref="D9:D39">
    <cfRule type="cellIs" dxfId="52" priority="5" operator="equal">
      <formula>0</formula>
    </cfRule>
    <cfRule type="cellIs" dxfId="51" priority="7" operator="equal">
      <formula>$G9=501</formula>
    </cfRule>
  </conditionalFormatting>
  <conditionalFormatting sqref="G9:G39">
    <cfRule type="cellIs" dxfId="50" priority="2" operator="equal">
      <formula>505</formula>
    </cfRule>
    <cfRule type="cellIs" dxfId="49" priority="4" operator="equal">
      <formula>501</formula>
    </cfRule>
    <cfRule type="containsBlanks" dxfId="48" priority="6">
      <formula>LEN(TRIM(G9))=0</formula>
    </cfRule>
  </conditionalFormatting>
  <conditionalFormatting sqref="A9:K39">
    <cfRule type="expression" dxfId="47" priority="3">
      <formula>$G9 = 503</formula>
    </cfRule>
  </conditionalFormatting>
  <conditionalFormatting sqref="H9:H39">
    <cfRule type="cellIs" dxfId="46" priority="1" stopIfTrue="1" operator="lessThan">
      <formula>299</formula>
    </cfRule>
  </conditionalFormatting>
  <conditionalFormatting sqref="B9:B39">
    <cfRule type="duplicateValues" dxfId="44" priority="3030"/>
  </conditionalFormatting>
  <dataValidations count="7">
    <dataValidation type="list" allowBlank="1" showInputMessage="1" showErrorMessage="1" sqref="F9:F39" xr:uid="{E853CC31-3609-124E-BEA7-93B7E4066502}">
      <formula1>Cursos</formula1>
    </dataValidation>
    <dataValidation type="list" allowBlank="1" showInputMessage="1" showErrorMessage="1" sqref="B2:D2" xr:uid="{22EF1786-055E-7E4F-A527-924BFA209FBA}">
      <formula1>Razones_Sociales</formula1>
    </dataValidation>
    <dataValidation showInputMessage="1" showErrorMessage="1" sqref="A9:A39" xr:uid="{45136124-6341-E049-AEDC-73C93A14FDFA}"/>
    <dataValidation type="date" allowBlank="1" showInputMessage="1" showErrorMessage="1" sqref="I9:I39" xr:uid="{2E73BEBC-CACD-7049-A93C-112BA01E0D48}">
      <formula1>Periodo_De_Pago_Inicial_Gerente</formula1>
      <formula2>Periodo_De_Pago_Final_Gerente</formula2>
    </dataValidation>
    <dataValidation type="custom" allowBlank="1" showInputMessage="1" showErrorMessage="1" sqref="G9:G39" xr:uid="{FE51B2A7-4E8B-CB46-B1BF-D2141CF07C26}">
      <formula1>G9&lt;&gt;500</formula1>
    </dataValidation>
    <dataValidation type="list" allowBlank="1" showInputMessage="1" showErrorMessage="1" sqref="E9:E39" xr:uid="{7FD58BAD-E164-EB4F-9DF9-18AD017C0771}">
      <formula1>Nombres_Planteles</formula1>
    </dataValidation>
    <dataValidation type="list" allowBlank="1" showInputMessage="1" showErrorMessage="1" sqref="B1" xr:uid="{299A9A3E-356C-994B-8CCC-96ED55E56390}">
      <formula1>Nombres_Coordinadores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umPagoNetoCoordinacion">
                <anchor moveWithCells="1">
                  <from>
                    <xdr:col>12</xdr:col>
                    <xdr:colOff>152400</xdr:colOff>
                    <xdr:row>0</xdr:row>
                    <xdr:rowOff>63500</xdr:rowOff>
                  </from>
                  <to>
                    <xdr:col>13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CDFB3ABE-E4A0-D04A-AFA0-57F01B47DBC7}">
            <xm:f>COUNTIF('FERNANDO VILLALVAZO'!#REF!,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264922-06A2-134E-8BA8-C4A25873FEA7}">
          <x14:formula1>
            <xm:f>Planteles!$A$4:$A$15</xm:f>
          </x14:formula1>
          <xm:sqref>J9:J39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29785-14E0-464C-AF4A-86B8FEE891D2}">
  <sheetPr codeName="Sheet29">
    <tabColor rgb="FF00B050"/>
    <pageSetUpPr fitToPage="1"/>
  </sheetPr>
  <dimension ref="A1:K29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9.33203125" style="13" bestFit="1" customWidth="1"/>
    <col min="6" max="6" width="12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90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COUNTIFS(Tabla_PromotorFRIDA_RIVERA[GRUPO],"&lt;&gt;",
Tabla_PromotorFRIDA_RIVERA[GRUPO],"&lt;&gt;503",
Tabla_PromotorFRIDA_RIVERA[GRUPO],"&lt;&gt;500",
Tabla_PromotorFRIDA_RIVERA[PAGO],"&gt;=299")</f>
        <v>7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72</v>
      </c>
      <c r="B9" s="126">
        <v>134755</v>
      </c>
      <c r="C9" s="126" t="s">
        <v>271</v>
      </c>
      <c r="D9" s="127">
        <f>IF(
    OR(
        Tabla_PromotorFRIDA_RIVERA[[#This Row],[GRUPO]] = "",
        Tabla_PromotorFRIDA_RIVERA[[#This Row],[GRUPO]] = 500,
        COUNTIF(Tabla_PromotorFRIDA_RIVERA[CREDENCIAL], Tabla_PromotorFRIDA_RIVERA[[#This Row],[CREDENCIAL]]) &gt; 1,
        COUNTIF(Tabla_Gerente[CREDENCIAL], Tabla_PromotorFRIDA_RIVERA[[#This Row],[CREDENCIAL]]) &gt; 1,
    ),
    0,
    IF(
        Tabla_PromotorFRIDA_RIVERA[[#This Row],[GRUPO]] = 503,
        Tabla_PromotorFRIDA_RIVERA[[#This Row],[PAGO]],
        IF(
            Tabla_PromotorFRIDA_RIVERA[[#This Row],[PAGO]] &gt;= 299,
            Tabla_PromotorFRIDA_RIVERA[[#This Row],[PAGO]] - 150,
            0
        )
    )
)</f>
        <v>350</v>
      </c>
      <c r="E9" s="126" t="s">
        <v>37</v>
      </c>
      <c r="F9" s="126" t="s">
        <v>315</v>
      </c>
      <c r="G9" s="128">
        <v>1342</v>
      </c>
      <c r="H9" s="133">
        <f>IFERROR(VLOOKUP(Tabla_PromotorFRIDA_RIVERA[[#This Row],[CREDENCIAL]], Tabla_Gerente[[CREDENCIAL]:[PAGO]], 7, FALSE), 0)</f>
        <v>500</v>
      </c>
      <c r="I9" s="134">
        <v>45745</v>
      </c>
      <c r="J9" s="131"/>
      <c r="K9" s="131"/>
    </row>
    <row r="10" spans="1:11" x14ac:dyDescent="0.2">
      <c r="A10" s="125" t="s">
        <v>72</v>
      </c>
      <c r="B10" s="126">
        <v>134756</v>
      </c>
      <c r="C10" s="126" t="s">
        <v>272</v>
      </c>
      <c r="D10" s="127">
        <f>IF(
    OR(
        Tabla_PromotorFRIDA_RIVERA[[#This Row],[GRUPO]] = "",
        Tabla_PromotorFRIDA_RIVERA[[#This Row],[GRUPO]] = 500,
        COUNTIF(Tabla_PromotorFRIDA_RIVERA[CREDENCIAL], Tabla_PromotorFRIDA_RIVERA[[#This Row],[CREDENCIAL]]) &gt; 1,
        COUNTIF(Tabla_Gerente[CREDENCIAL], Tabla_PromotorFRIDA_RIVERA[[#This Row],[CREDENCIAL]]) &gt; 1,
    ),
    0,
    IF(
        Tabla_PromotorFRIDA_RIVERA[[#This Row],[GRUPO]] = 503,
        Tabla_PromotorFRIDA_RIVERA[[#This Row],[PAGO]],
        IF(
            Tabla_PromotorFRIDA_RIVERA[[#This Row],[PAGO]] &gt;= 299,
            Tabla_PromotorFRIDA_RIVERA[[#This Row],[PAGO]] - 150,
            0
        )
    )
)</f>
        <v>150</v>
      </c>
      <c r="E10" s="126" t="s">
        <v>109</v>
      </c>
      <c r="F10" s="126" t="s">
        <v>316</v>
      </c>
      <c r="G10" s="128">
        <v>1342</v>
      </c>
      <c r="H10" s="133">
        <f>IFERROR(VLOOKUP(Tabla_PromotorFRIDA_RIVERA[[#This Row],[CREDENCIAL]], Tabla_Gerente[[CREDENCIAL]:[PAGO]], 7, FALSE), 0)</f>
        <v>300</v>
      </c>
      <c r="I10" s="134">
        <v>45748</v>
      </c>
      <c r="J10" s="131"/>
      <c r="K10" s="131"/>
    </row>
    <row r="11" spans="1:11" x14ac:dyDescent="0.2">
      <c r="A11" s="125" t="s">
        <v>72</v>
      </c>
      <c r="B11" s="126">
        <v>134757</v>
      </c>
      <c r="C11" s="126" t="s">
        <v>273</v>
      </c>
      <c r="D11" s="127">
        <f>IF(
    OR(
        Tabla_PromotorFRIDA_RIVERA[[#This Row],[GRUPO]] = "",
        Tabla_PromotorFRIDA_RIVERA[[#This Row],[GRUPO]] = 500,
        COUNTIF(Tabla_PromotorFRIDA_RIVERA[CREDENCIAL], Tabla_PromotorFRIDA_RIVERA[[#This Row],[CREDENCIAL]]) &gt; 1,
        COUNTIF(Tabla_Gerente[CREDENCIAL], Tabla_PromotorFRIDA_RIVERA[[#This Row],[CREDENCIAL]]) &gt; 1,
    ),
    0,
    IF(
        Tabla_PromotorFRIDA_RIVERA[[#This Row],[GRUPO]] = 503,
        Tabla_PromotorFRIDA_RIVERA[[#This Row],[PAGO]],
        IF(
            Tabla_PromotorFRIDA_RIVERA[[#This Row],[PAGO]] &gt;= 299,
            Tabla_PromotorFRIDA_RIVERA[[#This Row],[PAGO]] - 150,
            0
        )
    )
)</f>
        <v>200</v>
      </c>
      <c r="E11" s="126" t="s">
        <v>109</v>
      </c>
      <c r="F11" s="126" t="s">
        <v>317</v>
      </c>
      <c r="G11" s="128">
        <v>1342</v>
      </c>
      <c r="H11" s="133">
        <f>IFERROR(VLOOKUP(Tabla_PromotorFRIDA_RIVERA[[#This Row],[CREDENCIAL]], Tabla_Gerente[[CREDENCIAL]:[PAGO]], 7, FALSE), 0)</f>
        <v>350</v>
      </c>
      <c r="I11" s="134">
        <v>45744</v>
      </c>
      <c r="J11" s="131"/>
      <c r="K11" s="131"/>
    </row>
    <row r="12" spans="1:11" x14ac:dyDescent="0.2">
      <c r="A12" s="125" t="s">
        <v>72</v>
      </c>
      <c r="B12" s="126">
        <v>134758</v>
      </c>
      <c r="C12" s="126" t="s">
        <v>274</v>
      </c>
      <c r="D12" s="127">
        <f>IF(
    OR(
        Tabla_PromotorFRIDA_RIVERA[[#This Row],[GRUPO]] = "",
        Tabla_PromotorFRIDA_RIVERA[[#This Row],[GRUPO]] = 500,
        COUNTIF(Tabla_PromotorFRIDA_RIVERA[CREDENCIAL], Tabla_PromotorFRIDA_RIVERA[[#This Row],[CREDENCIAL]]) &gt; 1,
        COUNTIF(Tabla_Gerente[CREDENCIAL], Tabla_PromotorFRIDA_RIVERA[[#This Row],[CREDENCIAL]]) &gt; 1,
    ),
    0,
    IF(
        Tabla_PromotorFRIDA_RIVERA[[#This Row],[GRUPO]] = 503,
        Tabla_PromotorFRIDA_RIVERA[[#This Row],[PAGO]],
        IF(
            Tabla_PromotorFRIDA_RIVERA[[#This Row],[PAGO]] &gt;= 299,
            Tabla_PromotorFRIDA_RIVERA[[#This Row],[PAGO]] - 150,
            0
        )
    )
)</f>
        <v>200</v>
      </c>
      <c r="E12" s="126" t="s">
        <v>109</v>
      </c>
      <c r="F12" s="126" t="s">
        <v>318</v>
      </c>
      <c r="G12" s="128">
        <v>1342</v>
      </c>
      <c r="H12" s="133">
        <f>IFERROR(VLOOKUP(Tabla_PromotorFRIDA_RIVERA[[#This Row],[CREDENCIAL]], Tabla_Gerente[[CREDENCIAL]:[PAGO]], 7, FALSE), 0)</f>
        <v>350</v>
      </c>
      <c r="I12" s="134">
        <v>45748</v>
      </c>
      <c r="J12" s="131"/>
      <c r="K12" s="131"/>
    </row>
    <row r="13" spans="1:11" x14ac:dyDescent="0.2">
      <c r="A13" s="125" t="s">
        <v>72</v>
      </c>
      <c r="B13" s="126">
        <v>134759</v>
      </c>
      <c r="C13" s="126" t="s">
        <v>275</v>
      </c>
      <c r="D13" s="127">
        <f>IF(
    OR(
        Tabla_PromotorFRIDA_RIVERA[[#This Row],[GRUPO]] = "",
        Tabla_PromotorFRIDA_RIVERA[[#This Row],[GRUPO]] = 500,
        COUNTIF(Tabla_PromotorFRIDA_RIVERA[CREDENCIAL], Tabla_PromotorFRIDA_RIVERA[[#This Row],[CREDENCIAL]]) &gt; 1,
        COUNTIF(Tabla_Gerente[CREDENCIAL], Tabla_PromotorFRIDA_RIVERA[[#This Row],[CREDENCIAL]]) &gt; 1,
    ),
    0,
    IF(
        Tabla_PromotorFRIDA_RIVERA[[#This Row],[GRUPO]] = 503,
        Tabla_PromotorFRIDA_RIVERA[[#This Row],[PAGO]],
        IF(
            Tabla_PromotorFRIDA_RIVERA[[#This Row],[PAGO]] &gt;= 299,
            Tabla_PromotorFRIDA_RIVERA[[#This Row],[PAGO]] - 150,
            0
        )
    )
)</f>
        <v>250</v>
      </c>
      <c r="E13" s="126" t="s">
        <v>39</v>
      </c>
      <c r="F13" s="126" t="s">
        <v>319</v>
      </c>
      <c r="G13" s="128">
        <v>1342</v>
      </c>
      <c r="H13" s="133">
        <f>IFERROR(VLOOKUP(Tabla_PromotorFRIDA_RIVERA[[#This Row],[CREDENCIAL]], Tabla_Gerente[[CREDENCIAL]:[PAGO]], 7, FALSE), 0)</f>
        <v>400</v>
      </c>
      <c r="I13" s="134">
        <v>45749</v>
      </c>
      <c r="J13" s="131"/>
      <c r="K13" s="131"/>
    </row>
    <row r="14" spans="1:11" x14ac:dyDescent="0.2">
      <c r="A14" s="125" t="s">
        <v>72</v>
      </c>
      <c r="B14" s="126">
        <v>134760</v>
      </c>
      <c r="C14" s="126" t="s">
        <v>276</v>
      </c>
      <c r="D14" s="127">
        <f>IF(
    OR(
        Tabla_PromotorFRIDA_RIVERA[[#This Row],[GRUPO]] = "",
        Tabla_PromotorFRIDA_RIVERA[[#This Row],[GRUPO]] = 500,
        COUNTIF(Tabla_PromotorFRIDA_RIVERA[CREDENCIAL], Tabla_PromotorFRIDA_RIVERA[[#This Row],[CREDENCIAL]]) &gt; 1,
        COUNTIF(Tabla_Gerente[CREDENCIAL], Tabla_PromotorFRIDA_RIVERA[[#This Row],[CREDENCIAL]]) &gt; 1,
    ),
    0,
    IF(
        Tabla_PromotorFRIDA_RIVERA[[#This Row],[GRUPO]] = 503,
        Tabla_PromotorFRIDA_RIVERA[[#This Row],[PAGO]],
        IF(
            Tabla_PromotorFRIDA_RIVERA[[#This Row],[PAGO]] &gt;= 299,
            Tabla_PromotorFRIDA_RIVERA[[#This Row],[PAGO]] - 150,
            0
        )
    )
)</f>
        <v>350</v>
      </c>
      <c r="E14" s="126" t="s">
        <v>39</v>
      </c>
      <c r="F14" s="126" t="s">
        <v>318</v>
      </c>
      <c r="G14" s="128">
        <v>1342</v>
      </c>
      <c r="H14" s="133">
        <f>IFERROR(VLOOKUP(Tabla_PromotorFRIDA_RIVERA[[#This Row],[CREDENCIAL]], Tabla_Gerente[[CREDENCIAL]:[PAGO]], 7, FALSE), 0)</f>
        <v>500</v>
      </c>
      <c r="I14" s="134">
        <v>45749</v>
      </c>
      <c r="J14" s="131"/>
      <c r="K14" s="131"/>
    </row>
    <row r="15" spans="1:11" x14ac:dyDescent="0.2">
      <c r="A15" s="125" t="s">
        <v>72</v>
      </c>
      <c r="B15" s="126">
        <v>134761</v>
      </c>
      <c r="C15" s="126" t="s">
        <v>277</v>
      </c>
      <c r="D15" s="127">
        <f>IF(
    OR(
        Tabla_PromotorFRIDA_RIVERA[[#This Row],[GRUPO]] = "",
        Tabla_PromotorFRIDA_RIVERA[[#This Row],[GRUPO]] = 500,
        COUNTIF(Tabla_PromotorFRIDA_RIVERA[CREDENCIAL], Tabla_PromotorFRIDA_RIVERA[[#This Row],[CREDENCIAL]]) &gt; 1,
        COUNTIF(Tabla_Gerente[CREDENCIAL], Tabla_PromotorFRIDA_RIVERA[[#This Row],[CREDENCIAL]]) &gt; 1,
    ),
    0,
    IF(
        Tabla_PromotorFRIDA_RIVERA[[#This Row],[GRUPO]] = 503,
        Tabla_PromotorFRIDA_RIVERA[[#This Row],[PAGO]],
        IF(
            Tabla_PromotorFRIDA_RIVERA[[#This Row],[PAGO]] &gt;= 299,
            Tabla_PromotorFRIDA_RIVERA[[#This Row],[PAGO]] - 150,
            0
        )
    )
)</f>
        <v>149</v>
      </c>
      <c r="E15" s="126" t="s">
        <v>39</v>
      </c>
      <c r="F15" s="126" t="s">
        <v>320</v>
      </c>
      <c r="G15" s="128">
        <v>1342</v>
      </c>
      <c r="H15" s="133">
        <f>IFERROR(VLOOKUP(Tabla_PromotorFRIDA_RIVERA[[#This Row],[CREDENCIAL]], Tabla_Gerente[[CREDENCIAL]:[PAGO]], 7, FALSE), 0)</f>
        <v>299</v>
      </c>
      <c r="I15" s="134">
        <v>45748</v>
      </c>
      <c r="J15" s="131"/>
      <c r="K15" s="131"/>
    </row>
    <row r="16" spans="1:11" x14ac:dyDescent="0.2">
      <c r="A16" s="125" t="s">
        <v>50</v>
      </c>
      <c r="B16" s="126"/>
      <c r="C16" s="126"/>
      <c r="D16" s="127">
        <f>SUBTOTAL(109,Tabla_PromotorFRIDA_RIVERA[COMISION])</f>
        <v>1649</v>
      </c>
      <c r="E16" s="126"/>
      <c r="F16" s="126"/>
      <c r="G16" s="128"/>
      <c r="H16" s="133"/>
      <c r="I16" s="134"/>
      <c r="J16" s="131"/>
      <c r="K16" s="131"/>
    </row>
    <row r="17" spans="1:11" x14ac:dyDescent="0.2">
      <c r="A17" s="25"/>
      <c r="B17" s="14"/>
      <c r="C17" s="15"/>
      <c r="D17" s="52"/>
      <c r="E17" s="14"/>
      <c r="F17" s="14"/>
      <c r="G17" s="27"/>
      <c r="H17" s="53"/>
      <c r="I17" s="14"/>
      <c r="J17" s="16"/>
      <c r="K17" s="16"/>
    </row>
    <row r="18" spans="1:11" x14ac:dyDescent="0.2">
      <c r="A18" s="25" t="s">
        <v>13</v>
      </c>
      <c r="D18" s="68">
        <f>_xlfn.IFNA(VLOOKUP(Nombre_Promotor,Sueldos_Base[],2,FALSE),0)</f>
        <v>0</v>
      </c>
      <c r="E18" s="16"/>
      <c r="F18" s="15"/>
      <c r="H18" s="15"/>
      <c r="J18" s="24"/>
    </row>
    <row r="19" spans="1:11" ht="17" thickBot="1" x14ac:dyDescent="0.25">
      <c r="A19" s="37" t="s">
        <v>45</v>
      </c>
      <c r="B19" s="38">
        <f>IF(Total_Registros_Promotor &lt; Premios!A5, 0,
   VLOOKUP(Total_Registros_Promotor, Premios_Promotor[], 1, TRUE))</f>
        <v>6</v>
      </c>
      <c r="C19" s="34"/>
      <c r="D19" s="36">
        <f>IF(Premio_Promotor &gt; 0,
   VLOOKUP(Premio_Promotor, Premios_Promotor[],
      VLOOKUP(Total_Registros_Gerente, Tabulador_Premio_Promotor_Total_Gerencia[], 2, TRUE),
   FALSE),
   0)</f>
        <v>800</v>
      </c>
      <c r="E19" s="16"/>
      <c r="F19" s="15"/>
      <c r="H19" s="15"/>
      <c r="J19" s="24"/>
    </row>
    <row r="20" spans="1:11" x14ac:dyDescent="0.2">
      <c r="A20" s="27" t="s">
        <v>46</v>
      </c>
      <c r="B20" s="18"/>
      <c r="D20" s="28">
        <f>Tabla_PromotorFRIDA_RIVERA[[#Totals],[COMISION]] + Pago_Sueldo_Base_Promotor + Pago_Premio_Promotor</f>
        <v>2449</v>
      </c>
      <c r="E20" s="16"/>
      <c r="F20" s="15"/>
      <c r="H20" s="15"/>
      <c r="J20" s="24"/>
    </row>
    <row r="21" spans="1:11" x14ac:dyDescent="0.2">
      <c r="A21" s="27" t="s">
        <v>195</v>
      </c>
      <c r="B21" s="18"/>
      <c r="C21" s="29"/>
      <c r="D21" s="39">
        <f>_xlfn.IFNA(SUMIFS(Descuentos[DESCUENTO], Descuentos[COLABORADOR], Nombre_Promotor, Descuentos[PUESTO], Puesto_Promotor), 0)</f>
        <v>0</v>
      </c>
      <c r="E21" s="16" t="s">
        <v>121</v>
      </c>
      <c r="F21" s="15"/>
      <c r="H21" s="15"/>
      <c r="I21" s="18"/>
      <c r="J21" s="22"/>
      <c r="K21" s="22"/>
    </row>
    <row r="22" spans="1:11" ht="17" thickBot="1" x14ac:dyDescent="0.25">
      <c r="A22" s="35"/>
      <c r="C22" s="29"/>
      <c r="D22" s="28"/>
      <c r="E22" s="16"/>
      <c r="F22" s="15"/>
    </row>
    <row r="23" spans="1:11" ht="17" thickBot="1" x14ac:dyDescent="0.25">
      <c r="A23" s="37" t="s">
        <v>49</v>
      </c>
      <c r="B23" s="34"/>
      <c r="C23" s="49"/>
      <c r="D23" s="30">
        <f>Pago_Subtotal_Promotor + Descuento_Promotor</f>
        <v>2449</v>
      </c>
      <c r="E23" s="16"/>
      <c r="F23" s="15"/>
    </row>
    <row r="24" spans="1:11" x14ac:dyDescent="0.2">
      <c r="C24" s="29"/>
      <c r="D24" s="28"/>
      <c r="E24" s="26"/>
      <c r="F24" s="26"/>
    </row>
    <row r="25" spans="1:11" x14ac:dyDescent="0.2">
      <c r="C25" s="29"/>
      <c r="D25" s="28"/>
      <c r="E25" s="26"/>
      <c r="F25" s="26"/>
    </row>
    <row r="26" spans="1:11" ht="17" thickBot="1" x14ac:dyDescent="0.25">
      <c r="C26" s="37" t="s">
        <v>25</v>
      </c>
      <c r="D26" s="121" t="str" cm="1">
        <f t="array" ref="D26">NumeroATexto(Pago_Neto_Promotor)</f>
        <v>DOS MIL CUATROCIENTOS CUARENTA Y NUEVE PESOS 00/100</v>
      </c>
      <c r="E26" s="121"/>
      <c r="F26" s="121"/>
      <c r="G26" s="121"/>
      <c r="H26" s="121"/>
      <c r="I26" s="121"/>
    </row>
    <row r="27" spans="1:11" x14ac:dyDescent="0.2">
      <c r="C27" s="27"/>
      <c r="D27" s="26"/>
      <c r="E27" s="16"/>
      <c r="F27" s="15"/>
    </row>
    <row r="28" spans="1:11" x14ac:dyDescent="0.2">
      <c r="C28" s="29"/>
      <c r="D28" s="28"/>
    </row>
    <row r="29" spans="1:11" ht="17" thickBot="1" x14ac:dyDescent="0.25">
      <c r="C29" s="33" t="s">
        <v>26</v>
      </c>
      <c r="D29" s="122"/>
      <c r="E29" s="122"/>
      <c r="F29" s="122"/>
      <c r="G29" s="122"/>
      <c r="H29" s="122"/>
      <c r="I29" s="122"/>
    </row>
  </sheetData>
  <mergeCells count="4">
    <mergeCell ref="B1:D1"/>
    <mergeCell ref="B2:D2"/>
    <mergeCell ref="D26:I26"/>
    <mergeCell ref="D29:I29"/>
  </mergeCells>
  <conditionalFormatting sqref="D9:D15">
    <cfRule type="expression" dxfId="43" priority="2">
      <formula>$G9=501</formula>
    </cfRule>
    <cfRule type="cellIs" dxfId="42" priority="5" operator="equal">
      <formula>0</formula>
    </cfRule>
  </conditionalFormatting>
  <conditionalFormatting sqref="G9:G15">
    <cfRule type="cellIs" dxfId="41" priority="3" operator="equal">
      <formula>503</formula>
    </cfRule>
    <cfRule type="cellIs" dxfId="40" priority="4" operator="equal">
      <formula>501</formula>
    </cfRule>
  </conditionalFormatting>
  <conditionalFormatting sqref="H9:H15">
    <cfRule type="cellIs" dxfId="39" priority="1" operator="lessThan">
      <formula>299</formula>
    </cfRule>
  </conditionalFormatting>
  <conditionalFormatting sqref="B9:B15">
    <cfRule type="duplicateValues" dxfId="37" priority="3075"/>
  </conditionalFormatting>
  <dataValidations count="6">
    <dataValidation type="list" allowBlank="1" showInputMessage="1" showErrorMessage="1" sqref="F9:F15" xr:uid="{7D18EF37-CBFA-E849-A882-CE3F94979995}">
      <formula1>Cursos</formula1>
    </dataValidation>
    <dataValidation type="list" allowBlank="1" showInputMessage="1" showErrorMessage="1" sqref="B2:D2" xr:uid="{3057CF09-BFA2-B54B-BE5B-1055394BB96E}">
      <formula1>Razones_Sociales</formula1>
    </dataValidation>
    <dataValidation type="date" allowBlank="1" showInputMessage="1" showErrorMessage="1" sqref="I9:I15" xr:uid="{CCF55735-CD92-FD46-8F9A-82031E0BC05E}">
      <formula1>Periodo_De_Pago_Inicial_Gerente</formula1>
      <formula2>Periodo_De_Pago_Final_Gerente</formula2>
    </dataValidation>
    <dataValidation type="custom" allowBlank="1" showInputMessage="1" showErrorMessage="1" sqref="G9:G15" xr:uid="{694E66DB-BD39-AD40-A5DB-B899AF57A53A}">
      <formula1>G9&lt;&gt;500</formula1>
    </dataValidation>
    <dataValidation type="list" allowBlank="1" showInputMessage="1" showErrorMessage="1" sqref="E9:E15" xr:uid="{9DF3FE5D-4C1A-5E4F-9370-5CD251948327}">
      <formula1>Nombres_Planteles</formula1>
    </dataValidation>
    <dataValidation type="list" allowBlank="1" showInputMessage="1" showErrorMessage="1" sqref="B1" xr:uid="{D710E482-426F-7445-A3D2-C05E72CFA54C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1E4F7DF9-3C4F-324B-AA86-D592930E02B7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00DAB5-66C7-9A47-999F-09AE7B7B7C56}">
          <x14:formula1>
            <xm:f>Planteles!$A$4:$A$15</xm:f>
          </x14:formula1>
          <xm:sqref>J9:J15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8A734-292D-BD4B-9359-AD2C15369E44}">
  <sheetPr codeName="Sheet28">
    <tabColor rgb="FF00B050"/>
    <pageSetUpPr fitToPage="1"/>
  </sheetPr>
  <dimension ref="A1:K32"/>
  <sheetViews>
    <sheetView workbookViewId="0">
      <selection activeCell="B22" sqref="B22:D22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8.1640625" style="13" bestFit="1" customWidth="1"/>
    <col min="6" max="6" width="12.66406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92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COUNTIFS(Tabla_PromotorEVELYN_VELAZQUEZ[GRUPO],"&lt;&gt;",
Tabla_PromotorEVELYN_VELAZQUEZ[GRUPO],"&lt;&gt;503",
Tabla_PromotorEVELYN_VELAZQUEZ[GRUPO],"&lt;&gt;500",
Tabla_PromotorEVELYN_VELAZQUEZ[PAGO],"&gt;=299")</f>
        <v>8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70</v>
      </c>
      <c r="B9" s="126">
        <v>134745</v>
      </c>
      <c r="C9" s="126" t="s">
        <v>261</v>
      </c>
      <c r="D9" s="127">
        <f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f>
        <v>200</v>
      </c>
      <c r="E9" s="126" t="s">
        <v>36</v>
      </c>
      <c r="F9" s="126" t="s">
        <v>313</v>
      </c>
      <c r="G9" s="128">
        <v>1342</v>
      </c>
      <c r="H9" s="133">
        <f>IFERROR(VLOOKUP(Tabla_PromotorEVELYN_VELAZQUEZ[[#This Row],[CREDENCIAL]], Tabla_Gerente[[CREDENCIAL]:[PAGO]], 7, FALSE), 0)</f>
        <v>350</v>
      </c>
      <c r="I9" s="134">
        <v>45749</v>
      </c>
      <c r="J9" s="131"/>
      <c r="K9" s="131"/>
    </row>
    <row r="10" spans="1:11" x14ac:dyDescent="0.2">
      <c r="A10" s="125" t="s">
        <v>70</v>
      </c>
      <c r="B10" s="126">
        <v>134746</v>
      </c>
      <c r="C10" s="126" t="s">
        <v>262</v>
      </c>
      <c r="D10" s="127">
        <f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f>
        <v>350</v>
      </c>
      <c r="E10" s="126" t="s">
        <v>36</v>
      </c>
      <c r="F10" s="126" t="s">
        <v>314</v>
      </c>
      <c r="G10" s="128">
        <v>503</v>
      </c>
      <c r="H10" s="133">
        <f>IFERROR(VLOOKUP(Tabla_PromotorEVELYN_VELAZQUEZ[[#This Row],[CREDENCIAL]], Tabla_Gerente[[CREDENCIAL]:[PAGO]], 7, FALSE), 0)</f>
        <v>350</v>
      </c>
      <c r="I10" s="134">
        <v>45746</v>
      </c>
      <c r="J10" s="131"/>
      <c r="K10" s="131"/>
    </row>
    <row r="11" spans="1:11" x14ac:dyDescent="0.2">
      <c r="A11" s="125" t="s">
        <v>70</v>
      </c>
      <c r="B11" s="126">
        <v>134747</v>
      </c>
      <c r="C11" s="126" t="s">
        <v>263</v>
      </c>
      <c r="D11" s="127">
        <f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f>
        <v>250</v>
      </c>
      <c r="E11" s="126" t="s">
        <v>36</v>
      </c>
      <c r="F11" s="126" t="s">
        <v>315</v>
      </c>
      <c r="G11" s="128">
        <v>1342</v>
      </c>
      <c r="H11" s="133">
        <f>IFERROR(VLOOKUP(Tabla_PromotorEVELYN_VELAZQUEZ[[#This Row],[CREDENCIAL]], Tabla_Gerente[[CREDENCIAL]:[PAGO]], 7, FALSE), 0)</f>
        <v>400</v>
      </c>
      <c r="I11" s="134">
        <v>45743</v>
      </c>
      <c r="J11" s="131"/>
      <c r="K11" s="131"/>
    </row>
    <row r="12" spans="1:11" x14ac:dyDescent="0.2">
      <c r="A12" s="125" t="s">
        <v>70</v>
      </c>
      <c r="B12" s="126">
        <v>134748</v>
      </c>
      <c r="C12" s="126" t="s">
        <v>264</v>
      </c>
      <c r="D12" s="127">
        <f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f>
        <v>350</v>
      </c>
      <c r="E12" s="126" t="s">
        <v>36</v>
      </c>
      <c r="F12" s="126" t="s">
        <v>316</v>
      </c>
      <c r="G12" s="128">
        <v>1342</v>
      </c>
      <c r="H12" s="133">
        <f>IFERROR(VLOOKUP(Tabla_PromotorEVELYN_VELAZQUEZ[[#This Row],[CREDENCIAL]], Tabla_Gerente[[CREDENCIAL]:[PAGO]], 7, FALSE), 0)</f>
        <v>500</v>
      </c>
      <c r="I12" s="134">
        <v>45746</v>
      </c>
      <c r="J12" s="131"/>
      <c r="K12" s="131"/>
    </row>
    <row r="13" spans="1:11" x14ac:dyDescent="0.2">
      <c r="A13" s="125" t="s">
        <v>70</v>
      </c>
      <c r="B13" s="126">
        <v>134749</v>
      </c>
      <c r="C13" s="126" t="s">
        <v>265</v>
      </c>
      <c r="D13" s="127">
        <f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f>
        <v>149</v>
      </c>
      <c r="E13" s="126" t="s">
        <v>36</v>
      </c>
      <c r="F13" s="126" t="s">
        <v>317</v>
      </c>
      <c r="G13" s="128">
        <v>1342</v>
      </c>
      <c r="H13" s="133">
        <f>IFERROR(VLOOKUP(Tabla_PromotorEVELYN_VELAZQUEZ[[#This Row],[CREDENCIAL]], Tabla_Gerente[[CREDENCIAL]:[PAGO]], 7, FALSE), 0)</f>
        <v>299</v>
      </c>
      <c r="I13" s="134">
        <v>45744</v>
      </c>
      <c r="J13" s="131"/>
      <c r="K13" s="131"/>
    </row>
    <row r="14" spans="1:11" x14ac:dyDescent="0.2">
      <c r="A14" s="125" t="s">
        <v>70</v>
      </c>
      <c r="B14" s="126">
        <v>134750</v>
      </c>
      <c r="C14" s="126" t="s">
        <v>266</v>
      </c>
      <c r="D14" s="127">
        <f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f>
        <v>200</v>
      </c>
      <c r="E14" s="126" t="s">
        <v>37</v>
      </c>
      <c r="F14" s="126" t="s">
        <v>311</v>
      </c>
      <c r="G14" s="128">
        <v>1342</v>
      </c>
      <c r="H14" s="133">
        <f>IFERROR(VLOOKUP(Tabla_PromotorEVELYN_VELAZQUEZ[[#This Row],[CREDENCIAL]], Tabla_Gerente[[CREDENCIAL]:[PAGO]], 7, FALSE), 0)</f>
        <v>350</v>
      </c>
      <c r="I14" s="134">
        <v>45745</v>
      </c>
      <c r="J14" s="131"/>
      <c r="K14" s="131"/>
    </row>
    <row r="15" spans="1:11" x14ac:dyDescent="0.2">
      <c r="A15" s="125" t="s">
        <v>70</v>
      </c>
      <c r="B15" s="126">
        <v>134751</v>
      </c>
      <c r="C15" s="126" t="s">
        <v>267</v>
      </c>
      <c r="D15" s="127">
        <f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f>
        <v>150</v>
      </c>
      <c r="E15" s="126" t="s">
        <v>37</v>
      </c>
      <c r="F15" s="126" t="s">
        <v>312</v>
      </c>
      <c r="G15" s="128">
        <v>1342</v>
      </c>
      <c r="H15" s="133">
        <f>IFERROR(VLOOKUP(Tabla_PromotorEVELYN_VELAZQUEZ[[#This Row],[CREDENCIAL]], Tabla_Gerente[[CREDENCIAL]:[PAGO]], 7, FALSE), 0)</f>
        <v>300</v>
      </c>
      <c r="I15" s="134">
        <v>45743</v>
      </c>
      <c r="J15" s="131"/>
      <c r="K15" s="131"/>
    </row>
    <row r="16" spans="1:11" x14ac:dyDescent="0.2">
      <c r="A16" s="125" t="s">
        <v>70</v>
      </c>
      <c r="B16" s="126">
        <v>134752</v>
      </c>
      <c r="C16" s="126" t="s">
        <v>268</v>
      </c>
      <c r="D16" s="127">
        <f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f>
        <v>200</v>
      </c>
      <c r="E16" s="126" t="s">
        <v>37</v>
      </c>
      <c r="F16" s="126" t="s">
        <v>311</v>
      </c>
      <c r="G16" s="128">
        <v>1342</v>
      </c>
      <c r="H16" s="133">
        <f>IFERROR(VLOOKUP(Tabla_PromotorEVELYN_VELAZQUEZ[[#This Row],[CREDENCIAL]], Tabla_Gerente[[CREDENCIAL]:[PAGO]], 7, FALSE), 0)</f>
        <v>350</v>
      </c>
      <c r="I16" s="134">
        <v>45746</v>
      </c>
      <c r="J16" s="131"/>
      <c r="K16" s="131"/>
    </row>
    <row r="17" spans="1:11" x14ac:dyDescent="0.2">
      <c r="A17" s="125" t="s">
        <v>70</v>
      </c>
      <c r="B17" s="126">
        <v>134753</v>
      </c>
      <c r="C17" s="126" t="s">
        <v>269</v>
      </c>
      <c r="D17" s="127">
        <f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f>
        <v>350</v>
      </c>
      <c r="E17" s="126" t="s">
        <v>37</v>
      </c>
      <c r="F17" s="126" t="s">
        <v>313</v>
      </c>
      <c r="G17" s="128">
        <v>503</v>
      </c>
      <c r="H17" s="133">
        <f>IFERROR(VLOOKUP(Tabla_PromotorEVELYN_VELAZQUEZ[[#This Row],[CREDENCIAL]], Tabla_Gerente[[CREDENCIAL]:[PAGO]], 7, FALSE), 0)</f>
        <v>350</v>
      </c>
      <c r="I17" s="134">
        <v>45744</v>
      </c>
      <c r="J17" s="131"/>
      <c r="K17" s="131"/>
    </row>
    <row r="18" spans="1:11" x14ac:dyDescent="0.2">
      <c r="A18" s="125" t="s">
        <v>70</v>
      </c>
      <c r="B18" s="126">
        <v>134754</v>
      </c>
      <c r="C18" s="126" t="s">
        <v>270</v>
      </c>
      <c r="D18" s="127">
        <f>IF(
    OR(
        Tabla_PromotorEVELYN_VELAZQUEZ[[#This Row],[GRUPO]] = "",
        Tabla_PromotorEVELYN_VELAZQUEZ[[#This Row],[GRUPO]] = 500,
        COUNTIF(Tabla_PromotorEVELYN_VELAZQUEZ[CREDENCIAL], Tabla_PromotorEVELYN_VELAZQUEZ[[#This Row],[CREDENCIAL]]) &gt; 1,
        COUNTIF(Tabla_Gerente[CREDENCIAL], Tabla_PromotorEVELYN_VELAZQUEZ[[#This Row],[CREDENCIAL]]) &gt; 1,
    ),
    0,
    IF(
        Tabla_PromotorEVELYN_VELAZQUEZ[[#This Row],[GRUPO]] = 503,
        Tabla_PromotorEVELYN_VELAZQUEZ[[#This Row],[PAGO]],
        IF(
            Tabla_PromotorEVELYN_VELAZQUEZ[[#This Row],[PAGO]] &gt;= 299,
            Tabla_PromotorEVELYN_VELAZQUEZ[[#This Row],[PAGO]] - 150,
            0
        )
    )
)</f>
        <v>250</v>
      </c>
      <c r="E18" s="126" t="s">
        <v>37</v>
      </c>
      <c r="F18" s="126" t="s">
        <v>314</v>
      </c>
      <c r="G18" s="128">
        <v>1342</v>
      </c>
      <c r="H18" s="133">
        <f>IFERROR(VLOOKUP(Tabla_PromotorEVELYN_VELAZQUEZ[[#This Row],[CREDENCIAL]], Tabla_Gerente[[CREDENCIAL]:[PAGO]], 7, FALSE), 0)</f>
        <v>400</v>
      </c>
      <c r="I18" s="134">
        <v>45746</v>
      </c>
      <c r="J18" s="131"/>
      <c r="K18" s="131"/>
    </row>
    <row r="19" spans="1:11" x14ac:dyDescent="0.2">
      <c r="A19" s="125" t="s">
        <v>50</v>
      </c>
      <c r="B19" s="126"/>
      <c r="C19" s="126"/>
      <c r="D19" s="127">
        <f>SUBTOTAL(109,Tabla_PromotorEVELYN_VELAZQUEZ[COMISION])</f>
        <v>2449</v>
      </c>
      <c r="E19" s="126"/>
      <c r="F19" s="126"/>
      <c r="G19" s="128"/>
      <c r="H19" s="133"/>
      <c r="I19" s="134"/>
      <c r="J19" s="131"/>
      <c r="K19" s="131"/>
    </row>
    <row r="20" spans="1:11" x14ac:dyDescent="0.2">
      <c r="A20" s="25"/>
      <c r="B20" s="14"/>
      <c r="C20" s="15"/>
      <c r="D20" s="52"/>
      <c r="E20" s="14"/>
      <c r="F20" s="14"/>
      <c r="G20" s="27"/>
      <c r="H20" s="53"/>
      <c r="I20" s="14"/>
      <c r="J20" s="16"/>
      <c r="K20" s="16"/>
    </row>
    <row r="21" spans="1:11" x14ac:dyDescent="0.2">
      <c r="A21" s="25" t="s">
        <v>13</v>
      </c>
      <c r="D21" s="68">
        <f>_xlfn.IFNA(VLOOKUP(Nombre_Promotor,Sueldos_Base[],2,FALSE),0)</f>
        <v>0</v>
      </c>
      <c r="E21" s="16"/>
      <c r="F21" s="15"/>
      <c r="H21" s="15"/>
      <c r="J21" s="24"/>
    </row>
    <row r="22" spans="1:11" ht="17" thickBot="1" x14ac:dyDescent="0.25">
      <c r="A22" s="37" t="s">
        <v>45</v>
      </c>
      <c r="B22" s="38">
        <f>IF(Total_Registros_Promotor &lt; Premios!A5, 0,
   VLOOKUP(Total_Registros_Promotor, Premios_Promotor[], 1, TRUE))</f>
        <v>6</v>
      </c>
      <c r="C22" s="34"/>
      <c r="D22" s="36">
        <f>IF(Premio_Promotor &gt; 0,
   VLOOKUP(Premio_Promotor, Premios_Promotor[],
      VLOOKUP(Total_Registros_Gerente, Tabulador_Premio_Promotor_Total_Gerencia[], 2, TRUE),
   FALSE),
   0)</f>
        <v>800</v>
      </c>
      <c r="E22" s="16"/>
      <c r="F22" s="15"/>
      <c r="H22" s="15"/>
      <c r="J22" s="24"/>
    </row>
    <row r="23" spans="1:11" x14ac:dyDescent="0.2">
      <c r="A23" s="27" t="s">
        <v>46</v>
      </c>
      <c r="B23" s="18"/>
      <c r="D23" s="28">
        <f>Tabla_PromotorEVELYN_VELAZQUEZ[[#Totals],[COMISION]] + Pago_Sueldo_Base_Promotor + Pago_Premio_Promotor</f>
        <v>3249</v>
      </c>
      <c r="E23" s="16"/>
      <c r="F23" s="15"/>
      <c r="H23" s="15"/>
      <c r="J23" s="24"/>
    </row>
    <row r="24" spans="1:11" x14ac:dyDescent="0.2">
      <c r="A24" s="27" t="s">
        <v>195</v>
      </c>
      <c r="B24" s="18"/>
      <c r="C24" s="29"/>
      <c r="D24" s="39">
        <f>_xlfn.IFNA(SUMIFS(Descuentos[DESCUENTO], Descuentos[COLABORADOR], Nombre_Promotor, Descuentos[PUESTO], Puesto_Promotor), 0)</f>
        <v>0</v>
      </c>
      <c r="E24" s="16" t="s">
        <v>121</v>
      </c>
      <c r="F24" s="15"/>
      <c r="H24" s="15"/>
      <c r="I24" s="18"/>
      <c r="J24" s="22"/>
      <c r="K24" s="22"/>
    </row>
    <row r="25" spans="1:11" ht="17" thickBot="1" x14ac:dyDescent="0.25">
      <c r="A25" s="35"/>
      <c r="C25" s="29"/>
      <c r="D25" s="28"/>
      <c r="E25" s="16"/>
      <c r="F25" s="15"/>
    </row>
    <row r="26" spans="1:11" ht="17" thickBot="1" x14ac:dyDescent="0.25">
      <c r="A26" s="37" t="s">
        <v>49</v>
      </c>
      <c r="B26" s="34"/>
      <c r="C26" s="49"/>
      <c r="D26" s="30">
        <f>Pago_Subtotal_Promotor + Descuento_Promotor</f>
        <v>3249</v>
      </c>
      <c r="E26" s="16"/>
      <c r="F26" s="15"/>
    </row>
    <row r="27" spans="1:11" x14ac:dyDescent="0.2">
      <c r="C27" s="29"/>
      <c r="D27" s="28"/>
      <c r="E27" s="26"/>
      <c r="F27" s="26"/>
    </row>
    <row r="28" spans="1:11" x14ac:dyDescent="0.2">
      <c r="C28" s="29"/>
      <c r="D28" s="28"/>
      <c r="E28" s="26"/>
      <c r="F28" s="26"/>
    </row>
    <row r="29" spans="1:11" ht="17" thickBot="1" x14ac:dyDescent="0.25">
      <c r="C29" s="37" t="s">
        <v>25</v>
      </c>
      <c r="D29" s="121" t="str" cm="1">
        <f t="array" ref="D29">NumeroATexto(Pago_Neto_Promotor)</f>
        <v>TRES MIL DOSCIENTOS CUARENTA Y NUEVE PESOS 00/100</v>
      </c>
      <c r="E29" s="121"/>
      <c r="F29" s="121"/>
      <c r="G29" s="121"/>
      <c r="H29" s="121"/>
      <c r="I29" s="121"/>
    </row>
    <row r="30" spans="1:11" x14ac:dyDescent="0.2">
      <c r="C30" s="27"/>
      <c r="D30" s="26"/>
      <c r="E30" s="16"/>
      <c r="F30" s="15"/>
    </row>
    <row r="31" spans="1:11" x14ac:dyDescent="0.2">
      <c r="C31" s="29"/>
      <c r="D31" s="28"/>
    </row>
    <row r="32" spans="1:11" ht="17" thickBot="1" x14ac:dyDescent="0.25">
      <c r="C32" s="33" t="s">
        <v>26</v>
      </c>
      <c r="D32" s="122"/>
      <c r="E32" s="122"/>
      <c r="F32" s="122"/>
      <c r="G32" s="122"/>
      <c r="H32" s="122"/>
      <c r="I32" s="122"/>
    </row>
  </sheetData>
  <mergeCells count="4">
    <mergeCell ref="B1:D1"/>
    <mergeCell ref="B2:D2"/>
    <mergeCell ref="D29:I29"/>
    <mergeCell ref="D32:I32"/>
  </mergeCells>
  <conditionalFormatting sqref="D9:D18">
    <cfRule type="expression" dxfId="36" priority="2">
      <formula>$G9=501</formula>
    </cfRule>
    <cfRule type="cellIs" dxfId="35" priority="5" operator="equal">
      <formula>0</formula>
    </cfRule>
  </conditionalFormatting>
  <conditionalFormatting sqref="G9:G18">
    <cfRule type="cellIs" dxfId="34" priority="3" operator="equal">
      <formula>503</formula>
    </cfRule>
    <cfRule type="cellIs" dxfId="33" priority="4" operator="equal">
      <formula>501</formula>
    </cfRule>
  </conditionalFormatting>
  <conditionalFormatting sqref="H9:H18">
    <cfRule type="cellIs" dxfId="32" priority="1" operator="lessThan">
      <formula>299</formula>
    </cfRule>
  </conditionalFormatting>
  <conditionalFormatting sqref="B9:B18">
    <cfRule type="duplicateValues" dxfId="30" priority="3072"/>
  </conditionalFormatting>
  <dataValidations count="6">
    <dataValidation type="list" allowBlank="1" showInputMessage="1" showErrorMessage="1" sqref="F9:F18" xr:uid="{095055E7-7CE2-3841-A679-8AA721F29FFD}">
      <formula1>Cursos</formula1>
    </dataValidation>
    <dataValidation type="list" allowBlank="1" showInputMessage="1" showErrorMessage="1" sqref="B2:D2" xr:uid="{CA547BE0-085C-054F-A5FC-B509AD75E516}">
      <formula1>Razones_Sociales</formula1>
    </dataValidation>
    <dataValidation type="date" allowBlank="1" showInputMessage="1" showErrorMessage="1" sqref="I9:I18" xr:uid="{6B2C0A08-B608-9F49-89A0-56FEA6FC7BA3}">
      <formula1>Periodo_De_Pago_Inicial_Gerente</formula1>
      <formula2>Periodo_De_Pago_Final_Gerente</formula2>
    </dataValidation>
    <dataValidation type="custom" allowBlank="1" showInputMessage="1" showErrorMessage="1" sqref="G9:G18" xr:uid="{C59FA412-7E91-004D-8547-CCB0A3F0A5CC}">
      <formula1>G9&lt;&gt;500</formula1>
    </dataValidation>
    <dataValidation type="list" allowBlank="1" showInputMessage="1" showErrorMessage="1" sqref="E9:E18" xr:uid="{7166E09C-E8DE-924E-9123-302957A87CAC}">
      <formula1>Nombres_Planteles</formula1>
    </dataValidation>
    <dataValidation type="list" allowBlank="1" showInputMessage="1" showErrorMessage="1" sqref="B1" xr:uid="{B190172E-392F-B64E-9205-497A53ABEBDE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59AF78B-518F-1C46-A515-C388E208C8AC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E4BD20-7153-F742-8B0F-AA13D690324D}">
          <x14:formula1>
            <xm:f>Planteles!$A$4:$A$15</xm:f>
          </x14:formula1>
          <xm:sqref>J9:J18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8BFD2-B84D-664C-99CC-832D839BC0C8}">
  <sheetPr codeName="Sheet27">
    <tabColor rgb="FF00B050"/>
    <pageSetUpPr fitToPage="1"/>
  </sheetPr>
  <dimension ref="A1:K29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3.33203125" style="13" bestFit="1" customWidth="1"/>
    <col min="6" max="6" width="12.66406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91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COUNTIFS(Tabla_PromotorYADIRA_VEGA[GRUPO],"&lt;&gt;",
Tabla_PromotorYADIRA_VEGA[GRUPO],"&lt;&gt;503",
Tabla_PromotorYADIRA_VEGA[GRUPO],"&lt;&gt;500",
Tabla_PromotorYADIRA_VEGA[PAGO],"&gt;=299")</f>
        <v>7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107</v>
      </c>
      <c r="B9" s="126">
        <v>134769</v>
      </c>
      <c r="C9" s="126" t="s">
        <v>285</v>
      </c>
      <c r="D9" s="127">
        <f>IF(
    OR(
        Tabla_PromotorYADIRA_VEGA[[#This Row],[GRUPO]] = "",
        Tabla_PromotorYADIRA_VEGA[[#This Row],[GRUPO]] = 500,
        COUNTIF(Tabla_PromotorYADIRA_VEGA[CREDENCIAL], Tabla_PromotorYADIRA_VEGA[[#This Row],[CREDENCIAL]]) &gt; 1,
        COUNTIF(Tabla_Gerente[CREDENCIAL], Tabla_PromotorYADIRA_VEGA[[#This Row],[CREDENCIAL]]) &gt; 1,
    ),
    0,
    IF(
        Tabla_PromotorYADIRA_VEGA[[#This Row],[GRUPO]] = 503,
        Tabla_PromotorYADIRA_VEGA[[#This Row],[PAGO]],
        IF(
            Tabla_PromotorYADIRA_VEGA[[#This Row],[PAGO]] &gt;= 299,
            Tabla_PromotorYADIRA_VEGA[[#This Row],[PAGO]] - 150,
            0
        )
    )
)</f>
        <v>200</v>
      </c>
      <c r="E9" s="126" t="s">
        <v>38</v>
      </c>
      <c r="F9" s="126" t="s">
        <v>311</v>
      </c>
      <c r="G9" s="128">
        <v>1342</v>
      </c>
      <c r="H9" s="133">
        <f>IFERROR(VLOOKUP(Tabla_PromotorYADIRA_VEGA[[#This Row],[CREDENCIAL]], Tabla_Gerente[[CREDENCIAL]:[PAGO]], 7, FALSE), 0)</f>
        <v>350</v>
      </c>
      <c r="I9" s="134">
        <v>45748</v>
      </c>
      <c r="J9" s="131"/>
      <c r="K9" s="131"/>
    </row>
    <row r="10" spans="1:11" x14ac:dyDescent="0.2">
      <c r="A10" s="125" t="s">
        <v>107</v>
      </c>
      <c r="B10" s="126">
        <v>134770</v>
      </c>
      <c r="C10" s="126" t="s">
        <v>286</v>
      </c>
      <c r="D10" s="127">
        <f>IF(
    OR(
        Tabla_PromotorYADIRA_VEGA[[#This Row],[GRUPO]] = "",
        Tabla_PromotorYADIRA_VEGA[[#This Row],[GRUPO]] = 500,
        COUNTIF(Tabla_PromotorYADIRA_VEGA[CREDENCIAL], Tabla_PromotorYADIRA_VEGA[[#This Row],[CREDENCIAL]]) &gt; 1,
        COUNTIF(Tabla_Gerente[CREDENCIAL], Tabla_PromotorYADIRA_VEGA[[#This Row],[CREDENCIAL]]) &gt; 1,
    ),
    0,
    IF(
        Tabla_PromotorYADIRA_VEGA[[#This Row],[GRUPO]] = 503,
        Tabla_PromotorYADIRA_VEGA[[#This Row],[PAGO]],
        IF(
            Tabla_PromotorYADIRA_VEGA[[#This Row],[PAGO]] &gt;= 299,
            Tabla_PromotorYADIRA_VEGA[[#This Row],[PAGO]] - 150,
            0
        )
    )
)</f>
        <v>200</v>
      </c>
      <c r="E10" s="126" t="s">
        <v>38</v>
      </c>
      <c r="F10" s="126" t="s">
        <v>312</v>
      </c>
      <c r="G10" s="128">
        <v>1342</v>
      </c>
      <c r="H10" s="133">
        <f>IFERROR(VLOOKUP(Tabla_PromotorYADIRA_VEGA[[#This Row],[CREDENCIAL]], Tabla_Gerente[[CREDENCIAL]:[PAGO]], 7, FALSE), 0)</f>
        <v>350</v>
      </c>
      <c r="I10" s="134">
        <v>45749</v>
      </c>
      <c r="J10" s="131"/>
      <c r="K10" s="131"/>
    </row>
    <row r="11" spans="1:11" x14ac:dyDescent="0.2">
      <c r="A11" s="125" t="s">
        <v>107</v>
      </c>
      <c r="B11" s="126">
        <v>134771</v>
      </c>
      <c r="C11" s="126" t="s">
        <v>287</v>
      </c>
      <c r="D11" s="127">
        <f>IF(
    OR(
        Tabla_PromotorYADIRA_VEGA[[#This Row],[GRUPO]] = "",
        Tabla_PromotorYADIRA_VEGA[[#This Row],[GRUPO]] = 500,
        COUNTIF(Tabla_PromotorYADIRA_VEGA[CREDENCIAL], Tabla_PromotorYADIRA_VEGA[[#This Row],[CREDENCIAL]]) &gt; 1,
        COUNTIF(Tabla_Gerente[CREDENCIAL], Tabla_PromotorYADIRA_VEGA[[#This Row],[CREDENCIAL]]) &gt; 1,
    ),
    0,
    IF(
        Tabla_PromotorYADIRA_VEGA[[#This Row],[GRUPO]] = 503,
        Tabla_PromotorYADIRA_VEGA[[#This Row],[PAGO]],
        IF(
            Tabla_PromotorYADIRA_VEGA[[#This Row],[PAGO]] &gt;= 299,
            Tabla_PromotorYADIRA_VEGA[[#This Row],[PAGO]] - 150,
            0
        )
    )
)</f>
        <v>250</v>
      </c>
      <c r="E11" s="126" t="s">
        <v>38</v>
      </c>
      <c r="F11" s="126" t="s">
        <v>311</v>
      </c>
      <c r="G11" s="128">
        <v>1342</v>
      </c>
      <c r="H11" s="133">
        <f>IFERROR(VLOOKUP(Tabla_PromotorYADIRA_VEGA[[#This Row],[CREDENCIAL]], Tabla_Gerente[[CREDENCIAL]:[PAGO]], 7, FALSE), 0)</f>
        <v>400</v>
      </c>
      <c r="I11" s="134">
        <v>45748</v>
      </c>
      <c r="J11" s="131"/>
      <c r="K11" s="131"/>
    </row>
    <row r="12" spans="1:11" x14ac:dyDescent="0.2">
      <c r="A12" s="125" t="s">
        <v>107</v>
      </c>
      <c r="B12" s="126">
        <v>134772</v>
      </c>
      <c r="C12" s="126" t="s">
        <v>288</v>
      </c>
      <c r="D12" s="127">
        <f>IF(
    OR(
        Tabla_PromotorYADIRA_VEGA[[#This Row],[GRUPO]] = "",
        Tabla_PromotorYADIRA_VEGA[[#This Row],[GRUPO]] = 500,
        COUNTIF(Tabla_PromotorYADIRA_VEGA[CREDENCIAL], Tabla_PromotorYADIRA_VEGA[[#This Row],[CREDENCIAL]]) &gt; 1,
        COUNTIF(Tabla_Gerente[CREDENCIAL], Tabla_PromotorYADIRA_VEGA[[#This Row],[CREDENCIAL]]) &gt; 1,
    ),
    0,
    IF(
        Tabla_PromotorYADIRA_VEGA[[#This Row],[GRUPO]] = 503,
        Tabla_PromotorYADIRA_VEGA[[#This Row],[PAGO]],
        IF(
            Tabla_PromotorYADIRA_VEGA[[#This Row],[PAGO]] &gt;= 299,
            Tabla_PromotorYADIRA_VEGA[[#This Row],[PAGO]] - 150,
            0
        )
    )
)</f>
        <v>350</v>
      </c>
      <c r="E12" s="126" t="s">
        <v>38</v>
      </c>
      <c r="F12" s="126" t="s">
        <v>313</v>
      </c>
      <c r="G12" s="128">
        <v>1342</v>
      </c>
      <c r="H12" s="133">
        <f>IFERROR(VLOOKUP(Tabla_PromotorYADIRA_VEGA[[#This Row],[CREDENCIAL]], Tabla_Gerente[[CREDENCIAL]:[PAGO]], 7, FALSE), 0)</f>
        <v>500</v>
      </c>
      <c r="I12" s="134">
        <v>45743</v>
      </c>
      <c r="J12" s="131"/>
      <c r="K12" s="131"/>
    </row>
    <row r="13" spans="1:11" x14ac:dyDescent="0.2">
      <c r="A13" s="125" t="s">
        <v>107</v>
      </c>
      <c r="B13" s="126">
        <v>134773</v>
      </c>
      <c r="C13" s="126" t="s">
        <v>289</v>
      </c>
      <c r="D13" s="127">
        <f>IF(
    OR(
        Tabla_PromotorYADIRA_VEGA[[#This Row],[GRUPO]] = "",
        Tabla_PromotorYADIRA_VEGA[[#This Row],[GRUPO]] = 500,
        COUNTIF(Tabla_PromotorYADIRA_VEGA[CREDENCIAL], Tabla_PromotorYADIRA_VEGA[[#This Row],[CREDENCIAL]]) &gt; 1,
        COUNTIF(Tabla_Gerente[CREDENCIAL], Tabla_PromotorYADIRA_VEGA[[#This Row],[CREDENCIAL]]) &gt; 1,
    ),
    0,
    IF(
        Tabla_PromotorYADIRA_VEGA[[#This Row],[GRUPO]] = 503,
        Tabla_PromotorYADIRA_VEGA[[#This Row],[PAGO]],
        IF(
            Tabla_PromotorYADIRA_VEGA[[#This Row],[PAGO]] &gt;= 299,
            Tabla_PromotorYADIRA_VEGA[[#This Row],[PAGO]] - 150,
            0
        )
    )
)</f>
        <v>149</v>
      </c>
      <c r="E13" s="126" t="s">
        <v>40</v>
      </c>
      <c r="F13" s="126" t="s">
        <v>314</v>
      </c>
      <c r="G13" s="128">
        <v>501</v>
      </c>
      <c r="H13" s="133">
        <f>IFERROR(VLOOKUP(Tabla_PromotorYADIRA_VEGA[[#This Row],[CREDENCIAL]], Tabla_Gerente[[CREDENCIAL]:[PAGO]], 7, FALSE), 0)</f>
        <v>299</v>
      </c>
      <c r="I13" s="134">
        <v>45746</v>
      </c>
      <c r="J13" s="131"/>
      <c r="K13" s="131"/>
    </row>
    <row r="14" spans="1:11" x14ac:dyDescent="0.2">
      <c r="A14" s="125" t="s">
        <v>107</v>
      </c>
      <c r="B14" s="126">
        <v>134774</v>
      </c>
      <c r="C14" s="126" t="s">
        <v>290</v>
      </c>
      <c r="D14" s="127">
        <f>IF(
    OR(
        Tabla_PromotorYADIRA_VEGA[[#This Row],[GRUPO]] = "",
        Tabla_PromotorYADIRA_VEGA[[#This Row],[GRUPO]] = 500,
        COUNTIF(Tabla_PromotorYADIRA_VEGA[CREDENCIAL], Tabla_PromotorYADIRA_VEGA[[#This Row],[CREDENCIAL]]) &gt; 1,
        COUNTIF(Tabla_Gerente[CREDENCIAL], Tabla_PromotorYADIRA_VEGA[[#This Row],[CREDENCIAL]]) &gt; 1,
    ),
    0,
    IF(
        Tabla_PromotorYADIRA_VEGA[[#This Row],[GRUPO]] = 503,
        Tabla_PromotorYADIRA_VEGA[[#This Row],[PAGO]],
        IF(
            Tabla_PromotorYADIRA_VEGA[[#This Row],[PAGO]] &gt;= 299,
            Tabla_PromotorYADIRA_VEGA[[#This Row],[PAGO]] - 150,
            0
        )
    )
)</f>
        <v>150</v>
      </c>
      <c r="E14" s="126" t="s">
        <v>40</v>
      </c>
      <c r="F14" s="126" t="s">
        <v>315</v>
      </c>
      <c r="G14" s="128">
        <v>1342</v>
      </c>
      <c r="H14" s="133">
        <f>IFERROR(VLOOKUP(Tabla_PromotorYADIRA_VEGA[[#This Row],[CREDENCIAL]], Tabla_Gerente[[CREDENCIAL]:[PAGO]], 7, FALSE), 0)</f>
        <v>300</v>
      </c>
      <c r="I14" s="134">
        <v>45744</v>
      </c>
      <c r="J14" s="131"/>
      <c r="K14" s="131"/>
    </row>
    <row r="15" spans="1:11" x14ac:dyDescent="0.2">
      <c r="A15" s="125" t="s">
        <v>107</v>
      </c>
      <c r="B15" s="126">
        <v>134775</v>
      </c>
      <c r="C15" s="126" t="s">
        <v>291</v>
      </c>
      <c r="D15" s="127">
        <f>IF(
    OR(
        Tabla_PromotorYADIRA_VEGA[[#This Row],[GRUPO]] = "",
        Tabla_PromotorYADIRA_VEGA[[#This Row],[GRUPO]] = 500,
        COUNTIF(Tabla_PromotorYADIRA_VEGA[CREDENCIAL], Tabla_PromotorYADIRA_VEGA[[#This Row],[CREDENCIAL]]) &gt; 1,
        COUNTIF(Tabla_Gerente[CREDENCIAL], Tabla_PromotorYADIRA_VEGA[[#This Row],[CREDENCIAL]]) &gt; 1,
    ),
    0,
    IF(
        Tabla_PromotorYADIRA_VEGA[[#This Row],[GRUPO]] = 503,
        Tabla_PromotorYADIRA_VEGA[[#This Row],[PAGO]],
        IF(
            Tabla_PromotorYADIRA_VEGA[[#This Row],[PAGO]] &gt;= 299,
            Tabla_PromotorYADIRA_VEGA[[#This Row],[PAGO]] - 150,
            0
        )
    )
)</f>
        <v>150</v>
      </c>
      <c r="E15" s="126" t="s">
        <v>40</v>
      </c>
      <c r="F15" s="126" t="s">
        <v>316</v>
      </c>
      <c r="G15" s="128">
        <v>1342</v>
      </c>
      <c r="H15" s="133">
        <f>IFERROR(VLOOKUP(Tabla_PromotorYADIRA_VEGA[[#This Row],[CREDENCIAL]], Tabla_Gerente[[CREDENCIAL]:[PAGO]], 7, FALSE), 0)</f>
        <v>300</v>
      </c>
      <c r="I15" s="134">
        <v>45743</v>
      </c>
      <c r="J15" s="131"/>
      <c r="K15" s="131"/>
    </row>
    <row r="16" spans="1:11" x14ac:dyDescent="0.2">
      <c r="A16" s="125" t="s">
        <v>50</v>
      </c>
      <c r="B16" s="126"/>
      <c r="C16" s="126"/>
      <c r="D16" s="127">
        <f>SUBTOTAL(109,Tabla_PromotorYADIRA_VEGA[COMISION])</f>
        <v>1449</v>
      </c>
      <c r="E16" s="126"/>
      <c r="F16" s="126"/>
      <c r="G16" s="128"/>
      <c r="H16" s="133"/>
      <c r="I16" s="134"/>
      <c r="J16" s="131"/>
      <c r="K16" s="131"/>
    </row>
    <row r="17" spans="1:11" x14ac:dyDescent="0.2">
      <c r="A17" s="25"/>
      <c r="B17" s="14"/>
      <c r="C17" s="15"/>
      <c r="D17" s="52"/>
      <c r="E17" s="14"/>
      <c r="F17" s="14"/>
      <c r="G17" s="27"/>
      <c r="H17" s="53"/>
      <c r="I17" s="14"/>
      <c r="J17" s="16"/>
      <c r="K17" s="16"/>
    </row>
    <row r="18" spans="1:11" x14ac:dyDescent="0.2">
      <c r="A18" s="25" t="s">
        <v>13</v>
      </c>
      <c r="D18" s="68">
        <f>_xlfn.IFNA(VLOOKUP(Nombre_Promotor,Sueldos_Base[],2,FALSE),0)</f>
        <v>500</v>
      </c>
      <c r="E18" s="16"/>
      <c r="F18" s="15"/>
      <c r="H18" s="15"/>
      <c r="J18" s="24"/>
    </row>
    <row r="19" spans="1:11" ht="17" thickBot="1" x14ac:dyDescent="0.25">
      <c r="A19" s="37" t="s">
        <v>45</v>
      </c>
      <c r="B19" s="38">
        <f>IF(Total_Registros_Promotor &lt; Premios!A5, 0,
   VLOOKUP(Total_Registros_Promotor, Premios_Promotor[], 1, TRUE))</f>
        <v>6</v>
      </c>
      <c r="C19" s="34"/>
      <c r="D19" s="36">
        <f>IF(Premio_Promotor &gt; 0,
   VLOOKUP(Premio_Promotor, Premios_Promotor[],
      VLOOKUP(Total_Registros_Gerente, Tabulador_Premio_Promotor_Total_Gerencia[], 2, TRUE),
   FALSE),
   0)</f>
        <v>800</v>
      </c>
      <c r="E19" s="16"/>
      <c r="F19" s="15"/>
      <c r="H19" s="15"/>
      <c r="J19" s="24"/>
    </row>
    <row r="20" spans="1:11" x14ac:dyDescent="0.2">
      <c r="A20" s="27" t="s">
        <v>46</v>
      </c>
      <c r="B20" s="18"/>
      <c r="D20" s="28">
        <f>Tabla_PromotorYADIRA_VEGA[[#Totals],[COMISION]] + Pago_Sueldo_Base_Promotor + Pago_Premio_Promotor</f>
        <v>2749</v>
      </c>
      <c r="E20" s="16"/>
      <c r="F20" s="15"/>
      <c r="H20" s="15"/>
      <c r="J20" s="24"/>
    </row>
    <row r="21" spans="1:11" x14ac:dyDescent="0.2">
      <c r="A21" s="27" t="s">
        <v>195</v>
      </c>
      <c r="B21" s="18"/>
      <c r="C21" s="29"/>
      <c r="D21" s="39">
        <f>_xlfn.IFNA(SUMIFS(Descuentos[DESCUENTO], Descuentos[COLABORADOR], Nombre_Promotor, Descuentos[PUESTO], Puesto_Promotor), 0)</f>
        <v>0</v>
      </c>
      <c r="E21" s="16" t="s">
        <v>121</v>
      </c>
      <c r="F21" s="15"/>
      <c r="H21" s="15"/>
      <c r="I21" s="18"/>
      <c r="J21" s="22"/>
      <c r="K21" s="22"/>
    </row>
    <row r="22" spans="1:11" ht="17" thickBot="1" x14ac:dyDescent="0.25">
      <c r="A22" s="35"/>
      <c r="C22" s="29"/>
      <c r="D22" s="28"/>
      <c r="E22" s="16"/>
      <c r="F22" s="15"/>
    </row>
    <row r="23" spans="1:11" ht="17" thickBot="1" x14ac:dyDescent="0.25">
      <c r="A23" s="37" t="s">
        <v>49</v>
      </c>
      <c r="B23" s="34"/>
      <c r="C23" s="49"/>
      <c r="D23" s="30">
        <f>Pago_Subtotal_Promotor + Descuento_Promotor</f>
        <v>2749</v>
      </c>
      <c r="E23" s="16"/>
      <c r="F23" s="15"/>
    </row>
    <row r="24" spans="1:11" x14ac:dyDescent="0.2">
      <c r="C24" s="29"/>
      <c r="D24" s="28"/>
      <c r="E24" s="26"/>
      <c r="F24" s="26"/>
    </row>
    <row r="25" spans="1:11" x14ac:dyDescent="0.2">
      <c r="C25" s="29"/>
      <c r="D25" s="28"/>
      <c r="E25" s="26"/>
      <c r="F25" s="26"/>
    </row>
    <row r="26" spans="1:11" ht="17" thickBot="1" x14ac:dyDescent="0.25">
      <c r="C26" s="37" t="s">
        <v>25</v>
      </c>
      <c r="D26" s="121" t="str" cm="1">
        <f t="array" ref="D26">NumeroATexto(Pago_Neto_Promotor)</f>
        <v>DOS MIL SETECIENTOS CUARENTA Y NUEVE PESOS 00/100</v>
      </c>
      <c r="E26" s="121"/>
      <c r="F26" s="121"/>
      <c r="G26" s="121"/>
      <c r="H26" s="121"/>
      <c r="I26" s="121"/>
    </row>
    <row r="27" spans="1:11" x14ac:dyDescent="0.2">
      <c r="C27" s="27"/>
      <c r="D27" s="26"/>
      <c r="E27" s="16"/>
      <c r="F27" s="15"/>
    </row>
    <row r="28" spans="1:11" x14ac:dyDescent="0.2">
      <c r="C28" s="29"/>
      <c r="D28" s="28"/>
    </row>
    <row r="29" spans="1:11" ht="17" thickBot="1" x14ac:dyDescent="0.25">
      <c r="C29" s="33" t="s">
        <v>26</v>
      </c>
      <c r="D29" s="122"/>
      <c r="E29" s="122"/>
      <c r="F29" s="122"/>
      <c r="G29" s="122"/>
      <c r="H29" s="122"/>
      <c r="I29" s="122"/>
    </row>
  </sheetData>
  <mergeCells count="4">
    <mergeCell ref="B1:D1"/>
    <mergeCell ref="B2:D2"/>
    <mergeCell ref="D26:I26"/>
    <mergeCell ref="D29:I29"/>
  </mergeCells>
  <conditionalFormatting sqref="D9:D15">
    <cfRule type="expression" dxfId="29" priority="2">
      <formula>$G9=501</formula>
    </cfRule>
    <cfRule type="cellIs" dxfId="28" priority="5" operator="equal">
      <formula>0</formula>
    </cfRule>
  </conditionalFormatting>
  <conditionalFormatting sqref="G9:G15">
    <cfRule type="cellIs" dxfId="27" priority="3" operator="equal">
      <formula>503</formula>
    </cfRule>
    <cfRule type="cellIs" dxfId="26" priority="4" operator="equal">
      <formula>501</formula>
    </cfRule>
  </conditionalFormatting>
  <conditionalFormatting sqref="H9:H15">
    <cfRule type="cellIs" dxfId="25" priority="1" operator="lessThan">
      <formula>299</formula>
    </cfRule>
  </conditionalFormatting>
  <conditionalFormatting sqref="B9:B15">
    <cfRule type="duplicateValues" dxfId="23" priority="3069"/>
  </conditionalFormatting>
  <dataValidations count="6">
    <dataValidation type="list" allowBlank="1" showInputMessage="1" showErrorMessage="1" sqref="F9:F15" xr:uid="{57DA0878-75D1-A448-93D4-88B49BF6780C}">
      <formula1>Cursos</formula1>
    </dataValidation>
    <dataValidation type="list" allowBlank="1" showInputMessage="1" showErrorMessage="1" sqref="B2:D2" xr:uid="{9A847585-36A5-2943-A08A-9AA67CB49BE4}">
      <formula1>Razones_Sociales</formula1>
    </dataValidation>
    <dataValidation type="date" allowBlank="1" showInputMessage="1" showErrorMessage="1" sqref="I9:I15" xr:uid="{10849C4C-8BD1-3945-BC9B-5A5389E3A012}">
      <formula1>Periodo_De_Pago_Inicial_Gerente</formula1>
      <formula2>Periodo_De_Pago_Final_Gerente</formula2>
    </dataValidation>
    <dataValidation type="custom" allowBlank="1" showInputMessage="1" showErrorMessage="1" sqref="G9:G15" xr:uid="{A4B00C30-4C64-184E-BD57-CFC2C89E3F53}">
      <formula1>G9&lt;&gt;500</formula1>
    </dataValidation>
    <dataValidation type="list" allowBlank="1" showInputMessage="1" showErrorMessage="1" sqref="E9:E15" xr:uid="{0079C052-DCE6-F04A-B525-A702BD18B03B}">
      <formula1>Nombres_Planteles</formula1>
    </dataValidation>
    <dataValidation type="list" allowBlank="1" showInputMessage="1" showErrorMessage="1" sqref="B1" xr:uid="{07F0B141-75E8-C640-980B-02DCB1BE4562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01DC72DC-9525-AD4C-BDA6-C1DE20C019D3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D5F458-FE1F-0D40-A4A5-F82BA84F67AE}">
          <x14:formula1>
            <xm:f>Planteles!$A$4:$A$15</xm:f>
          </x14:formula1>
          <xm:sqref>J9:J15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4C2AC-122C-7C48-89FD-C1D3F783A75B}">
  <sheetPr codeName="Sheet26">
    <tabColor rgb="FF00B050"/>
    <pageSetUpPr fitToPage="1"/>
  </sheetPr>
  <dimension ref="A1:K29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8.33203125" style="13" bestFit="1" customWidth="1"/>
    <col min="6" max="6" width="12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93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COUNTIFS(Tabla_PromotorMINA_APARICIO[GRUPO],"&lt;&gt;",
Tabla_PromotorMINA_APARICIO[GRUPO],"&lt;&gt;503",
Tabla_PromotorMINA_APARICIO[GRUPO],"&lt;&gt;500",
Tabla_PromotorMINA_APARICIO[PAGO],"&gt;=299")</f>
        <v>7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106</v>
      </c>
      <c r="B9" s="126">
        <v>134762</v>
      </c>
      <c r="C9" s="126" t="s">
        <v>278</v>
      </c>
      <c r="D9" s="127">
        <f>IF(
    OR(
        Tabla_PromotorMINA_APARICIO[[#This Row],[GRUPO]] = "",
        Tabla_PromotorMINA_APARICIO[[#This Row],[GRUPO]] = 500,
        COUNTIF(Tabla_PromotorMINA_APARICIO[CREDENCIAL], Tabla_PromotorMINA_APARICIO[[#This Row],[CREDENCIAL]]) &gt; 1,
        COUNTIF(Tabla_Gerente[CREDENCIAL], Tabla_PromotorMINA_APARICIO[[#This Row],[CREDENCIAL]]) &gt; 1,
    ),
    0,
    IF(
        Tabla_PromotorMINA_APARICIO[[#This Row],[GRUPO]] = 503,
        Tabla_PromotorMINA_APARICIO[[#This Row],[PAGO]],
        IF(
            Tabla_PromotorMINA_APARICIO[[#This Row],[PAGO]] &gt;= 299,
            Tabla_PromotorMINA_APARICIO[[#This Row],[PAGO]] - 150,
            0
        )
    )
)</f>
        <v>150</v>
      </c>
      <c r="E9" s="126" t="s">
        <v>39</v>
      </c>
      <c r="F9" s="126" t="s">
        <v>321</v>
      </c>
      <c r="G9" s="128">
        <v>1342</v>
      </c>
      <c r="H9" s="133">
        <f>IFERROR(VLOOKUP(Tabla_PromotorMINA_APARICIO[[#This Row],[CREDENCIAL]], Tabla_Gerente[[CREDENCIAL]:[PAGO]], 7, FALSE), 0)</f>
        <v>300</v>
      </c>
      <c r="I9" s="134">
        <v>45746</v>
      </c>
      <c r="J9" s="131"/>
      <c r="K9" s="131"/>
    </row>
    <row r="10" spans="1:11" x14ac:dyDescent="0.2">
      <c r="A10" s="125" t="s">
        <v>106</v>
      </c>
      <c r="B10" s="126">
        <v>134763</v>
      </c>
      <c r="C10" s="126" t="s">
        <v>279</v>
      </c>
      <c r="D10" s="127">
        <f>IF(
    OR(
        Tabla_PromotorMINA_APARICIO[[#This Row],[GRUPO]] = "",
        Tabla_PromotorMINA_APARICIO[[#This Row],[GRUPO]] = 500,
        COUNTIF(Tabla_PromotorMINA_APARICIO[CREDENCIAL], Tabla_PromotorMINA_APARICIO[[#This Row],[CREDENCIAL]]) &gt; 1,
        COUNTIF(Tabla_Gerente[CREDENCIAL], Tabla_PromotorMINA_APARICIO[[#This Row],[CREDENCIAL]]) &gt; 1,
    ),
    0,
    IF(
        Tabla_PromotorMINA_APARICIO[[#This Row],[GRUPO]] = 503,
        Tabla_PromotorMINA_APARICIO[[#This Row],[PAGO]],
        IF(
            Tabla_PromotorMINA_APARICIO[[#This Row],[PAGO]] &gt;= 299,
            Tabla_PromotorMINA_APARICIO[[#This Row],[PAGO]] - 150,
            0
        )
    )
)</f>
        <v>200</v>
      </c>
      <c r="E10" s="126" t="s">
        <v>39</v>
      </c>
      <c r="F10" s="126" t="s">
        <v>315</v>
      </c>
      <c r="G10" s="128">
        <v>1342</v>
      </c>
      <c r="H10" s="133">
        <f>IFERROR(VLOOKUP(Tabla_PromotorMINA_APARICIO[[#This Row],[CREDENCIAL]], Tabla_Gerente[[CREDENCIAL]:[PAGO]], 7, FALSE), 0)</f>
        <v>350</v>
      </c>
      <c r="I10" s="134">
        <v>45744</v>
      </c>
      <c r="J10" s="131"/>
      <c r="K10" s="131"/>
    </row>
    <row r="11" spans="1:11" x14ac:dyDescent="0.2">
      <c r="A11" s="125" t="s">
        <v>106</v>
      </c>
      <c r="B11" s="126">
        <v>134764</v>
      </c>
      <c r="C11" s="126" t="s">
        <v>280</v>
      </c>
      <c r="D11" s="127">
        <f>IF(
    OR(
        Tabla_PromotorMINA_APARICIO[[#This Row],[GRUPO]] = "",
        Tabla_PromotorMINA_APARICIO[[#This Row],[GRUPO]] = 500,
        COUNTIF(Tabla_PromotorMINA_APARICIO[CREDENCIAL], Tabla_PromotorMINA_APARICIO[[#This Row],[CREDENCIAL]]) &gt; 1,
        COUNTIF(Tabla_Gerente[CREDENCIAL], Tabla_PromotorMINA_APARICIO[[#This Row],[CREDENCIAL]]) &gt; 1,
    ),
    0,
    IF(
        Tabla_PromotorMINA_APARICIO[[#This Row],[GRUPO]] = 503,
        Tabla_PromotorMINA_APARICIO[[#This Row],[PAGO]],
        IF(
            Tabla_PromotorMINA_APARICIO[[#This Row],[PAGO]] &gt;= 299,
            Tabla_PromotorMINA_APARICIO[[#This Row],[PAGO]] - 150,
            0
        )
    )
)</f>
        <v>200</v>
      </c>
      <c r="E11" s="126" t="s">
        <v>39</v>
      </c>
      <c r="F11" s="126" t="s">
        <v>316</v>
      </c>
      <c r="G11" s="128">
        <v>1342</v>
      </c>
      <c r="H11" s="133">
        <f>IFERROR(VLOOKUP(Tabla_PromotorMINA_APARICIO[[#This Row],[CREDENCIAL]], Tabla_Gerente[[CREDENCIAL]:[PAGO]], 7, FALSE), 0)</f>
        <v>350</v>
      </c>
      <c r="I11" s="134">
        <v>45748</v>
      </c>
      <c r="J11" s="131"/>
      <c r="K11" s="131"/>
    </row>
    <row r="12" spans="1:11" x14ac:dyDescent="0.2">
      <c r="A12" s="125" t="s">
        <v>106</v>
      </c>
      <c r="B12" s="126">
        <v>134765</v>
      </c>
      <c r="C12" s="126" t="s">
        <v>281</v>
      </c>
      <c r="D12" s="127">
        <f>IF(
    OR(
        Tabla_PromotorMINA_APARICIO[[#This Row],[GRUPO]] = "",
        Tabla_PromotorMINA_APARICIO[[#This Row],[GRUPO]] = 500,
        COUNTIF(Tabla_PromotorMINA_APARICIO[CREDENCIAL], Tabla_PromotorMINA_APARICIO[[#This Row],[CREDENCIAL]]) &gt; 1,
        COUNTIF(Tabla_Gerente[CREDENCIAL], Tabla_PromotorMINA_APARICIO[[#This Row],[CREDENCIAL]]) &gt; 1,
    ),
    0,
    IF(
        Tabla_PromotorMINA_APARICIO[[#This Row],[GRUPO]] = 503,
        Tabla_PromotorMINA_APARICIO[[#This Row],[PAGO]],
        IF(
            Tabla_PromotorMINA_APARICIO[[#This Row],[PAGO]] &gt;= 299,
            Tabla_PromotorMINA_APARICIO[[#This Row],[PAGO]] - 150,
            0
        )
    )
)</f>
        <v>250</v>
      </c>
      <c r="E12" s="126" t="s">
        <v>38</v>
      </c>
      <c r="F12" s="126" t="s">
        <v>317</v>
      </c>
      <c r="G12" s="128">
        <v>501</v>
      </c>
      <c r="H12" s="133">
        <f>IFERROR(VLOOKUP(Tabla_PromotorMINA_APARICIO[[#This Row],[CREDENCIAL]], Tabla_Gerente[[CREDENCIAL]:[PAGO]], 7, FALSE), 0)</f>
        <v>400</v>
      </c>
      <c r="I12" s="134">
        <v>45744</v>
      </c>
      <c r="J12" s="131"/>
      <c r="K12" s="131"/>
    </row>
    <row r="13" spans="1:11" x14ac:dyDescent="0.2">
      <c r="A13" s="125" t="s">
        <v>106</v>
      </c>
      <c r="B13" s="126">
        <v>134766</v>
      </c>
      <c r="C13" s="126" t="s">
        <v>282</v>
      </c>
      <c r="D13" s="127">
        <f>IF(
    OR(
        Tabla_PromotorMINA_APARICIO[[#This Row],[GRUPO]] = "",
        Tabla_PromotorMINA_APARICIO[[#This Row],[GRUPO]] = 500,
        COUNTIF(Tabla_PromotorMINA_APARICIO[CREDENCIAL], Tabla_PromotorMINA_APARICIO[[#This Row],[CREDENCIAL]]) &gt; 1,
        COUNTIF(Tabla_Gerente[CREDENCIAL], Tabla_PromotorMINA_APARICIO[[#This Row],[CREDENCIAL]]) &gt; 1,
    ),
    0,
    IF(
        Tabla_PromotorMINA_APARICIO[[#This Row],[GRUPO]] = 503,
        Tabla_PromotorMINA_APARICIO[[#This Row],[PAGO]],
        IF(
            Tabla_PromotorMINA_APARICIO[[#This Row],[PAGO]] &gt;= 299,
            Tabla_PromotorMINA_APARICIO[[#This Row],[PAGO]] - 150,
            0
        )
    )
)</f>
        <v>350</v>
      </c>
      <c r="E13" s="126" t="s">
        <v>38</v>
      </c>
      <c r="F13" s="126" t="s">
        <v>318</v>
      </c>
      <c r="G13" s="128">
        <v>1342</v>
      </c>
      <c r="H13" s="133">
        <f>IFERROR(VLOOKUP(Tabla_PromotorMINA_APARICIO[[#This Row],[CREDENCIAL]], Tabla_Gerente[[CREDENCIAL]:[PAGO]], 7, FALSE), 0)</f>
        <v>500</v>
      </c>
      <c r="I13" s="134">
        <v>45746</v>
      </c>
      <c r="J13" s="131"/>
      <c r="K13" s="131"/>
    </row>
    <row r="14" spans="1:11" x14ac:dyDescent="0.2">
      <c r="A14" s="125" t="s">
        <v>106</v>
      </c>
      <c r="B14" s="126">
        <v>134767</v>
      </c>
      <c r="C14" s="126" t="s">
        <v>283</v>
      </c>
      <c r="D14" s="127">
        <f>IF(
    OR(
        Tabla_PromotorMINA_APARICIO[[#This Row],[GRUPO]] = "",
        Tabla_PromotorMINA_APARICIO[[#This Row],[GRUPO]] = 500,
        COUNTIF(Tabla_PromotorMINA_APARICIO[CREDENCIAL], Tabla_PromotorMINA_APARICIO[[#This Row],[CREDENCIAL]]) &gt; 1,
        COUNTIF(Tabla_Gerente[CREDENCIAL], Tabla_PromotorMINA_APARICIO[[#This Row],[CREDENCIAL]]) &gt; 1,
    ),
    0,
    IF(
        Tabla_PromotorMINA_APARICIO[[#This Row],[GRUPO]] = 503,
        Tabla_PromotorMINA_APARICIO[[#This Row],[PAGO]],
        IF(
            Tabla_PromotorMINA_APARICIO[[#This Row],[PAGO]] &gt;= 299,
            Tabla_PromotorMINA_APARICIO[[#This Row],[PAGO]] - 150,
            0
        )
    )
)</f>
        <v>149</v>
      </c>
      <c r="E14" s="126" t="s">
        <v>38</v>
      </c>
      <c r="F14" s="126" t="s">
        <v>319</v>
      </c>
      <c r="G14" s="128">
        <v>1342</v>
      </c>
      <c r="H14" s="133">
        <f>IFERROR(VLOOKUP(Tabla_PromotorMINA_APARICIO[[#This Row],[CREDENCIAL]], Tabla_Gerente[[CREDENCIAL]:[PAGO]], 7, FALSE), 0)</f>
        <v>299</v>
      </c>
      <c r="I14" s="134">
        <v>45748</v>
      </c>
      <c r="J14" s="131"/>
      <c r="K14" s="131"/>
    </row>
    <row r="15" spans="1:11" x14ac:dyDescent="0.2">
      <c r="A15" s="125" t="s">
        <v>106</v>
      </c>
      <c r="B15" s="126">
        <v>134768</v>
      </c>
      <c r="C15" s="126" t="s">
        <v>284</v>
      </c>
      <c r="D15" s="127">
        <f>IF(
    OR(
        Tabla_PromotorMINA_APARICIO[[#This Row],[GRUPO]] = "",
        Tabla_PromotorMINA_APARICIO[[#This Row],[GRUPO]] = 500,
        COUNTIF(Tabla_PromotorMINA_APARICIO[CREDENCIAL], Tabla_PromotorMINA_APARICIO[[#This Row],[CREDENCIAL]]) &gt; 1,
        COUNTIF(Tabla_Gerente[CREDENCIAL], Tabla_PromotorMINA_APARICIO[[#This Row],[CREDENCIAL]]) &gt; 1,
    ),
    0,
    IF(
        Tabla_PromotorMINA_APARICIO[[#This Row],[GRUPO]] = 503,
        Tabla_PromotorMINA_APARICIO[[#This Row],[PAGO]],
        IF(
            Tabla_PromotorMINA_APARICIO[[#This Row],[PAGO]] &gt;= 299,
            Tabla_PromotorMINA_APARICIO[[#This Row],[PAGO]] - 150,
            0
        )
    )
)</f>
        <v>150</v>
      </c>
      <c r="E15" s="126" t="s">
        <v>38</v>
      </c>
      <c r="F15" s="126" t="s">
        <v>318</v>
      </c>
      <c r="G15" s="128">
        <v>1342</v>
      </c>
      <c r="H15" s="133">
        <f>IFERROR(VLOOKUP(Tabla_PromotorMINA_APARICIO[[#This Row],[CREDENCIAL]], Tabla_Gerente[[CREDENCIAL]:[PAGO]], 7, FALSE), 0)</f>
        <v>300</v>
      </c>
      <c r="I15" s="134">
        <v>45749</v>
      </c>
      <c r="J15" s="131"/>
      <c r="K15" s="131"/>
    </row>
    <row r="16" spans="1:11" x14ac:dyDescent="0.2">
      <c r="A16" s="125" t="s">
        <v>50</v>
      </c>
      <c r="B16" s="126"/>
      <c r="C16" s="126"/>
      <c r="D16" s="127">
        <f>SUBTOTAL(109,Tabla_PromotorMINA_APARICIO[COMISION])</f>
        <v>1449</v>
      </c>
      <c r="E16" s="126"/>
      <c r="F16" s="126"/>
      <c r="G16" s="128"/>
      <c r="H16" s="133"/>
      <c r="I16" s="134"/>
      <c r="J16" s="131"/>
      <c r="K16" s="131"/>
    </row>
    <row r="17" spans="1:11" x14ac:dyDescent="0.2">
      <c r="A17" s="25"/>
      <c r="B17" s="14"/>
      <c r="C17" s="15"/>
      <c r="D17" s="52"/>
      <c r="E17" s="14"/>
      <c r="F17" s="14"/>
      <c r="G17" s="27"/>
      <c r="H17" s="53"/>
      <c r="I17" s="14"/>
      <c r="J17" s="16"/>
      <c r="K17" s="16"/>
    </row>
    <row r="18" spans="1:11" x14ac:dyDescent="0.2">
      <c r="A18" s="25" t="s">
        <v>13</v>
      </c>
      <c r="D18" s="68">
        <f>_xlfn.IFNA(VLOOKUP(Nombre_Promotor,Sueldos_Base[],2,FALSE),0)</f>
        <v>1000</v>
      </c>
      <c r="E18" s="16"/>
      <c r="F18" s="15"/>
      <c r="H18" s="15"/>
      <c r="J18" s="24"/>
    </row>
    <row r="19" spans="1:11" ht="17" thickBot="1" x14ac:dyDescent="0.25">
      <c r="A19" s="37" t="s">
        <v>45</v>
      </c>
      <c r="B19" s="38">
        <f>IF(Total_Registros_Promotor &lt; Premios!A5, 0,
   VLOOKUP(Total_Registros_Promotor, Premios_Promotor[], 1, TRUE))</f>
        <v>6</v>
      </c>
      <c r="C19" s="34"/>
      <c r="D19" s="36">
        <f>IF(Premio_Promotor &gt; 0,
   VLOOKUP(Premio_Promotor, Premios_Promotor[],
      VLOOKUP(Total_Registros_Gerente, Tabulador_Premio_Promotor_Total_Gerencia[], 2, TRUE),
   FALSE),
   0)</f>
        <v>800</v>
      </c>
      <c r="E19" s="16"/>
      <c r="F19" s="15"/>
      <c r="H19" s="15"/>
      <c r="J19" s="24"/>
    </row>
    <row r="20" spans="1:11" x14ac:dyDescent="0.2">
      <c r="A20" s="27" t="s">
        <v>46</v>
      </c>
      <c r="B20" s="18"/>
      <c r="D20" s="28">
        <f>Tabla_PromotorMINA_APARICIO[[#Totals],[COMISION]] + Pago_Sueldo_Base_Promotor + Pago_Premio_Promotor</f>
        <v>3249</v>
      </c>
      <c r="E20" s="16"/>
      <c r="F20" s="15"/>
      <c r="H20" s="15"/>
      <c r="J20" s="24"/>
    </row>
    <row r="21" spans="1:11" x14ac:dyDescent="0.2">
      <c r="A21" s="27" t="s">
        <v>195</v>
      </c>
      <c r="B21" s="18"/>
      <c r="C21" s="29"/>
      <c r="D21" s="39">
        <f>_xlfn.IFNA(SUMIFS(Descuentos[DESCUENTO], Descuentos[COLABORADOR], Nombre_Promotor, Descuentos[PUESTO], Puesto_Promotor), 0)</f>
        <v>0</v>
      </c>
      <c r="E21" s="16" t="s">
        <v>121</v>
      </c>
      <c r="F21" s="15"/>
      <c r="H21" s="15"/>
      <c r="I21" s="18"/>
      <c r="J21" s="22"/>
      <c r="K21" s="22"/>
    </row>
    <row r="22" spans="1:11" ht="17" thickBot="1" x14ac:dyDescent="0.25">
      <c r="A22" s="35"/>
      <c r="C22" s="29"/>
      <c r="D22" s="28"/>
      <c r="E22" s="16"/>
      <c r="F22" s="15"/>
    </row>
    <row r="23" spans="1:11" ht="17" thickBot="1" x14ac:dyDescent="0.25">
      <c r="A23" s="37" t="s">
        <v>49</v>
      </c>
      <c r="B23" s="34"/>
      <c r="C23" s="49"/>
      <c r="D23" s="30">
        <f>Pago_Subtotal_Promotor + Descuento_Promotor</f>
        <v>3249</v>
      </c>
      <c r="E23" s="16"/>
      <c r="F23" s="15"/>
    </row>
    <row r="24" spans="1:11" x14ac:dyDescent="0.2">
      <c r="C24" s="29"/>
      <c r="D24" s="28"/>
      <c r="E24" s="26"/>
      <c r="F24" s="26"/>
    </row>
    <row r="25" spans="1:11" x14ac:dyDescent="0.2">
      <c r="C25" s="29"/>
      <c r="D25" s="28"/>
      <c r="E25" s="26"/>
      <c r="F25" s="26"/>
    </row>
    <row r="26" spans="1:11" ht="17" thickBot="1" x14ac:dyDescent="0.25">
      <c r="C26" s="37" t="s">
        <v>25</v>
      </c>
      <c r="D26" s="121" t="str" cm="1">
        <f t="array" ref="D26">NumeroATexto(Pago_Neto_Promotor)</f>
        <v>TRES MIL DOSCIENTOS CUARENTA Y NUEVE PESOS 00/100</v>
      </c>
      <c r="E26" s="121"/>
      <c r="F26" s="121"/>
      <c r="G26" s="121"/>
      <c r="H26" s="121"/>
      <c r="I26" s="121"/>
    </row>
    <row r="27" spans="1:11" x14ac:dyDescent="0.2">
      <c r="C27" s="27"/>
      <c r="D27" s="26"/>
      <c r="E27" s="16"/>
      <c r="F27" s="15"/>
    </row>
    <row r="28" spans="1:11" x14ac:dyDescent="0.2">
      <c r="C28" s="29"/>
      <c r="D28" s="28"/>
    </row>
    <row r="29" spans="1:11" ht="17" thickBot="1" x14ac:dyDescent="0.25">
      <c r="C29" s="33" t="s">
        <v>26</v>
      </c>
      <c r="D29" s="122"/>
      <c r="E29" s="122"/>
      <c r="F29" s="122"/>
      <c r="G29" s="122"/>
      <c r="H29" s="122"/>
      <c r="I29" s="122"/>
    </row>
  </sheetData>
  <mergeCells count="4">
    <mergeCell ref="B1:D1"/>
    <mergeCell ref="B2:D2"/>
    <mergeCell ref="D26:I26"/>
    <mergeCell ref="D29:I29"/>
  </mergeCells>
  <conditionalFormatting sqref="D9:D15">
    <cfRule type="expression" dxfId="22" priority="2">
      <formula>$G9=501</formula>
    </cfRule>
    <cfRule type="cellIs" dxfId="21" priority="5" operator="equal">
      <formula>0</formula>
    </cfRule>
  </conditionalFormatting>
  <conditionalFormatting sqref="G9:G15">
    <cfRule type="cellIs" dxfId="20" priority="3" operator="equal">
      <formula>503</formula>
    </cfRule>
    <cfRule type="cellIs" dxfId="19" priority="4" operator="equal">
      <formula>501</formula>
    </cfRule>
  </conditionalFormatting>
  <conditionalFormatting sqref="H9:H15">
    <cfRule type="cellIs" dxfId="18" priority="1" operator="lessThan">
      <formula>299</formula>
    </cfRule>
  </conditionalFormatting>
  <conditionalFormatting sqref="B9:B15">
    <cfRule type="duplicateValues" dxfId="16" priority="3066"/>
  </conditionalFormatting>
  <dataValidations count="6">
    <dataValidation type="list" allowBlank="1" showInputMessage="1" showErrorMessage="1" sqref="F9:F15" xr:uid="{E044B74D-1B03-DE43-A3EE-63E2917A4413}">
      <formula1>Cursos</formula1>
    </dataValidation>
    <dataValidation type="list" allowBlank="1" showInputMessage="1" showErrorMessage="1" sqref="B2:D2" xr:uid="{19569300-5157-C64B-A9FB-C44527751ADC}">
      <formula1>Razones_Sociales</formula1>
    </dataValidation>
    <dataValidation type="date" allowBlank="1" showInputMessage="1" showErrorMessage="1" sqref="I9:I15" xr:uid="{6A18634E-4247-1949-9273-91BDD7B2FD98}">
      <formula1>Periodo_De_Pago_Inicial_Gerente</formula1>
      <formula2>Periodo_De_Pago_Final_Gerente</formula2>
    </dataValidation>
    <dataValidation type="custom" allowBlank="1" showInputMessage="1" showErrorMessage="1" sqref="G9:G15" xr:uid="{F6476264-299B-5147-AFBF-A35D2F7DAB37}">
      <formula1>G9&lt;&gt;500</formula1>
    </dataValidation>
    <dataValidation type="list" allowBlank="1" showInputMessage="1" showErrorMessage="1" sqref="E9:E15" xr:uid="{A882CB61-DCF1-B745-86B5-54869588386E}">
      <formula1>Nombres_Planteles</formula1>
    </dataValidation>
    <dataValidation type="list" allowBlank="1" showInputMessage="1" showErrorMessage="1" sqref="B1" xr:uid="{E599CF69-204F-574E-B8B8-562D92565A55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3C679566-7C90-6F44-8F11-166BE4CFB46F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D8AD24-C8B5-094E-8174-A78906B8533B}">
          <x14:formula1>
            <xm:f>Planteles!$A$4:$A$15</xm:f>
          </x14:formula1>
          <xm:sqref>J9:J15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8D52-A3E7-C949-8C5F-C8A2BFD9B918}">
  <sheetPr codeName="Sheet15">
    <tabColor rgb="FF0070C0"/>
  </sheetPr>
  <dimension ref="A1:N35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5.83203125" style="13" bestFit="1" customWidth="1"/>
    <col min="4" max="4" width="19.5" style="13" bestFit="1" customWidth="1"/>
    <col min="5" max="5" width="18.33203125" style="13" bestFit="1" customWidth="1"/>
    <col min="6" max="6" width="17.33203125" style="13" bestFit="1" customWidth="1"/>
    <col min="7" max="7" width="13.83203125" style="13" bestFit="1" customWidth="1"/>
    <col min="8" max="8" width="11.6640625" style="13" bestFit="1" customWidth="1"/>
    <col min="9" max="9" width="26" style="19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14" width="12.5" style="13" customWidth="1"/>
    <col min="15" max="15" width="3.33203125" style="13" bestFit="1" customWidth="1"/>
    <col min="16" max="22" width="10.6640625" style="13" customWidth="1"/>
    <col min="23" max="16384" width="14.5" style="13"/>
  </cols>
  <sheetData>
    <row r="1" spans="1:14" ht="17" thickBot="1" x14ac:dyDescent="0.25">
      <c r="A1" s="32" t="s">
        <v>28</v>
      </c>
      <c r="B1" s="119" t="s">
        <v>82</v>
      </c>
      <c r="C1" s="119"/>
      <c r="D1" s="119"/>
      <c r="F1" s="43" t="s">
        <v>116</v>
      </c>
      <c r="G1" s="45" t="s">
        <v>6</v>
      </c>
      <c r="I1" s="31" t="s">
        <v>58</v>
      </c>
      <c r="J1" s="34">
        <f>Total_Registros_Gerente</f>
        <v>88</v>
      </c>
      <c r="M1" s="96"/>
      <c r="N1" s="96"/>
    </row>
    <row r="2" spans="1:14" ht="17" thickBot="1" x14ac:dyDescent="0.25">
      <c r="A2" s="43" t="s">
        <v>31</v>
      </c>
      <c r="B2" s="120" t="s">
        <v>303</v>
      </c>
      <c r="C2" s="120"/>
      <c r="D2" s="120"/>
      <c r="M2" s="96"/>
      <c r="N2" s="96"/>
    </row>
    <row r="3" spans="1:14" ht="17" thickBot="1" x14ac:dyDescent="0.25">
      <c r="A3" s="43" t="s">
        <v>29</v>
      </c>
      <c r="B3" s="101">
        <v>45743</v>
      </c>
      <c r="C3" s="44" t="s">
        <v>30</v>
      </c>
      <c r="D3" s="102">
        <v>45750</v>
      </c>
      <c r="F3" s="20"/>
      <c r="G3" s="21"/>
      <c r="I3" s="16"/>
      <c r="M3" s="96"/>
      <c r="N3" s="96"/>
    </row>
    <row r="4" spans="1:14" ht="17" thickBot="1" x14ac:dyDescent="0.25">
      <c r="A4" s="43" t="s">
        <v>17</v>
      </c>
      <c r="B4" s="86" cm="1">
        <f t="array" ref="B4">IF(COUNTA(Tabla_Coordinador_YANELY_HERNADEZ[GRUPO]) = 0, 0,
   COUNTIFS(Tabla_Coordinador_YANELY_HERNADEZ[GRUPO], "&lt;&gt;",
            Tabla_Coordinador_YANELY_HERNADEZ[GRUPO], "&lt;&gt;503",
            Tabla_Coordinador_YANELY_HERNADEZ[GRUPO], "&lt;&gt;500",
            Tabla_Coordinador_YANELY_HERNADEZ[PAGO], "&gt;=299")
   - SUMPRODUCT(COUNTIF(Tabla_Gerente[CREDENCIAL], Tabla_Coordinador_YANELY_HERNADEZ[CREDENCIAL]) - 1))</f>
        <v>6</v>
      </c>
      <c r="C4" s="17"/>
      <c r="F4" s="18"/>
      <c r="G4" s="18"/>
      <c r="H4" s="17"/>
      <c r="I4" s="31" t="s">
        <v>48</v>
      </c>
      <c r="J4" s="72">
        <v>0</v>
      </c>
      <c r="K4" s="19"/>
      <c r="M4" s="96"/>
      <c r="N4" s="96"/>
    </row>
    <row r="5" spans="1:14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J5" s="23"/>
      <c r="K5" s="23"/>
    </row>
    <row r="6" spans="1:14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4" x14ac:dyDescent="0.2">
      <c r="A8" s="112" t="s">
        <v>7</v>
      </c>
      <c r="B8" s="112" t="s">
        <v>18</v>
      </c>
      <c r="C8" s="112" t="s">
        <v>110</v>
      </c>
      <c r="D8" s="113" t="s">
        <v>34</v>
      </c>
      <c r="E8" s="112" t="s">
        <v>33</v>
      </c>
      <c r="F8" s="112" t="s">
        <v>64</v>
      </c>
      <c r="G8" s="112" t="s">
        <v>20</v>
      </c>
      <c r="H8" s="113" t="s">
        <v>1</v>
      </c>
      <c r="I8" s="112" t="s">
        <v>65</v>
      </c>
      <c r="J8" s="112" t="s">
        <v>21</v>
      </c>
      <c r="K8" s="112" t="s">
        <v>22</v>
      </c>
    </row>
    <row r="9" spans="1:14" x14ac:dyDescent="0.2">
      <c r="A9" s="125" t="s">
        <v>103</v>
      </c>
      <c r="B9" s="126">
        <v>134776</v>
      </c>
      <c r="C9" s="126" t="s">
        <v>292</v>
      </c>
      <c r="D9" s="127">
        <f>IF(
    OR(
        Tabla_Coordinador_YANELY_HERNADEZ[[#This Row],[GRUPO]] = 501,
        Tabla_Coordinador_YANELY_HERNADEZ[[#This Row],[GRUPO]] = 505,
        Tabla_Coordinador_YANELY_HERNADEZ[[#This Row],[GRUPO]] = 503,
        Tabla_Coordinador_YANELY_HERNADEZ[[#This Row],[GRUPO]] = "",
        Tabla_Coordinador_YANELY_HERNADEZ[[#This Row],[GRUPO]] = 500,
        Tabla_Coordinador_YANELY_HERNADEZ[[#This Row],[PAGO]] &lt; 299,
        COUNTIF(Tabla_Coordinador_YANELY_HERNADEZ[CREDENCIAL], Tabla_Coordinador_YANELY_HERNADEZ[[#This Row],[CREDENCIAL]]) &gt; 1,
        COUNTIF(Tabla_Gerente[CREDENCIAL], Tabla_Coordinador_YANELY_HERNADEZ[[#This Row],[CREDENCIAL]]) &gt; 1
    ),
    0,
    VLOOKUP(
        Total_Registros_Coordinador,
        Tabulador_Coordinador[],
        3,
        TRUE
    )
)</f>
        <v>70</v>
      </c>
      <c r="E9" s="126" t="s">
        <v>40</v>
      </c>
      <c r="F9" s="126" t="s">
        <v>317</v>
      </c>
      <c r="G9" s="128">
        <v>1342</v>
      </c>
      <c r="H9" s="129">
        <f>IFERROR(VLOOKUP(Tabla_Coordinador_YANELY_HERNADEZ[[#This Row],[CREDENCIAL]], Tabla_Gerente[[CREDENCIAL]:[PAGO]], 7, FALSE), 0)</f>
        <v>350</v>
      </c>
      <c r="I9" s="130">
        <v>45743</v>
      </c>
      <c r="J9" s="131"/>
      <c r="K9" s="131"/>
    </row>
    <row r="10" spans="1:14" x14ac:dyDescent="0.2">
      <c r="A10" s="125" t="s">
        <v>103</v>
      </c>
      <c r="B10" s="126">
        <v>134777</v>
      </c>
      <c r="C10" s="126" t="s">
        <v>293</v>
      </c>
      <c r="D10" s="127">
        <f>IF(
    OR(
        Tabla_Coordinador_YANELY_HERNADEZ[[#This Row],[GRUPO]] = 501,
        Tabla_Coordinador_YANELY_HERNADEZ[[#This Row],[GRUPO]] = 505,
        Tabla_Coordinador_YANELY_HERNADEZ[[#This Row],[GRUPO]] = 503,
        Tabla_Coordinador_YANELY_HERNADEZ[[#This Row],[GRUPO]] = "",
        Tabla_Coordinador_YANELY_HERNADEZ[[#This Row],[GRUPO]] = 500,
        Tabla_Coordinador_YANELY_HERNADEZ[[#This Row],[PAGO]] &lt; 299,
        COUNTIF(Tabla_Coordinador_YANELY_HERNADEZ[CREDENCIAL], Tabla_Coordinador_YANELY_HERNADEZ[[#This Row],[CREDENCIAL]]) &gt; 1,
        COUNTIF(Tabla_Gerente[CREDENCIAL], Tabla_Coordinador_YANELY_HERNADEZ[[#This Row],[CREDENCIAL]]) &gt; 1
    ),
    0,
    VLOOKUP(
        Total_Registros_Coordinador,
        Tabulador_Coordinador[],
        3,
        TRUE
    )
)</f>
        <v>70</v>
      </c>
      <c r="E10" s="126" t="s">
        <v>44</v>
      </c>
      <c r="F10" s="126" t="s">
        <v>318</v>
      </c>
      <c r="G10" s="128">
        <v>1342</v>
      </c>
      <c r="H10" s="129">
        <f>IFERROR(VLOOKUP(Tabla_Coordinador_YANELY_HERNADEZ[[#This Row],[CREDENCIAL]], Tabla_Gerente[[CREDENCIAL]:[PAGO]], 7, FALSE), 0)</f>
        <v>350</v>
      </c>
      <c r="I10" s="130">
        <v>45746</v>
      </c>
      <c r="J10" s="131"/>
      <c r="K10" s="131"/>
    </row>
    <row r="11" spans="1:14" x14ac:dyDescent="0.2">
      <c r="A11" s="125" t="s">
        <v>103</v>
      </c>
      <c r="B11" s="126">
        <v>134778</v>
      </c>
      <c r="C11" s="126" t="s">
        <v>294</v>
      </c>
      <c r="D11" s="127">
        <f>IF(
    OR(
        Tabla_Coordinador_YANELY_HERNADEZ[[#This Row],[GRUPO]] = 501,
        Tabla_Coordinador_YANELY_HERNADEZ[[#This Row],[GRUPO]] = 505,
        Tabla_Coordinador_YANELY_HERNADEZ[[#This Row],[GRUPO]] = 503,
        Tabla_Coordinador_YANELY_HERNADEZ[[#This Row],[GRUPO]] = "",
        Tabla_Coordinador_YANELY_HERNADEZ[[#This Row],[GRUPO]] = 500,
        Tabla_Coordinador_YANELY_HERNADEZ[[#This Row],[PAGO]] &lt; 299,
        COUNTIF(Tabla_Coordinador_YANELY_HERNADEZ[CREDENCIAL], Tabla_Coordinador_YANELY_HERNADEZ[[#This Row],[CREDENCIAL]]) &gt; 1,
        COUNTIF(Tabla_Gerente[CREDENCIAL], Tabla_Coordinador_YANELY_HERNADEZ[[#This Row],[CREDENCIAL]]) &gt; 1
    ),
    0,
    VLOOKUP(
        Total_Registros_Coordinador,
        Tabulador_Coordinador[],
        3,
        TRUE
    )
)</f>
        <v>70</v>
      </c>
      <c r="E11" s="126" t="s">
        <v>41</v>
      </c>
      <c r="F11" s="126" t="s">
        <v>319</v>
      </c>
      <c r="G11" s="128">
        <v>1342</v>
      </c>
      <c r="H11" s="129">
        <f>IFERROR(VLOOKUP(Tabla_Coordinador_YANELY_HERNADEZ[[#This Row],[CREDENCIAL]], Tabla_Gerente[[CREDENCIAL]:[PAGO]], 7, FALSE), 0)</f>
        <v>400</v>
      </c>
      <c r="I11" s="130">
        <v>45744</v>
      </c>
      <c r="J11" s="131"/>
      <c r="K11" s="131"/>
    </row>
    <row r="12" spans="1:14" x14ac:dyDescent="0.2">
      <c r="A12" s="125" t="s">
        <v>103</v>
      </c>
      <c r="B12" s="126">
        <v>134779</v>
      </c>
      <c r="C12" s="126" t="s">
        <v>295</v>
      </c>
      <c r="D12" s="127">
        <f>IF(
    OR(
        Tabla_Coordinador_YANELY_HERNADEZ[[#This Row],[GRUPO]] = 501,
        Tabla_Coordinador_YANELY_HERNADEZ[[#This Row],[GRUPO]] = 505,
        Tabla_Coordinador_YANELY_HERNADEZ[[#This Row],[GRUPO]] = 503,
        Tabla_Coordinador_YANELY_HERNADEZ[[#This Row],[GRUPO]] = "",
        Tabla_Coordinador_YANELY_HERNADEZ[[#This Row],[GRUPO]] = 500,
        Tabla_Coordinador_YANELY_HERNADEZ[[#This Row],[PAGO]] &lt; 299,
        COUNTIF(Tabla_Coordinador_YANELY_HERNADEZ[CREDENCIAL], Tabla_Coordinador_YANELY_HERNADEZ[[#This Row],[CREDENCIAL]]) &gt; 1,
        COUNTIF(Tabla_Gerente[CREDENCIAL], Tabla_Coordinador_YANELY_HERNADEZ[[#This Row],[CREDENCIAL]]) &gt; 1
    ),
    0,
    VLOOKUP(
        Total_Registros_Coordinador,
        Tabulador_Coordinador[],
        3,
        TRUE
    )
)</f>
        <v>0</v>
      </c>
      <c r="E12" s="126" t="s">
        <v>40</v>
      </c>
      <c r="F12" s="126" t="s">
        <v>318</v>
      </c>
      <c r="G12" s="128">
        <v>503</v>
      </c>
      <c r="H12" s="129">
        <f>IFERROR(VLOOKUP(Tabla_Coordinador_YANELY_HERNADEZ[[#This Row],[CREDENCIAL]], Tabla_Gerente[[CREDENCIAL]:[PAGO]], 7, FALSE), 0)</f>
        <v>500</v>
      </c>
      <c r="I12" s="130">
        <v>45746</v>
      </c>
      <c r="J12" s="131"/>
      <c r="K12" s="131"/>
    </row>
    <row r="13" spans="1:14" x14ac:dyDescent="0.2">
      <c r="A13" s="125" t="s">
        <v>103</v>
      </c>
      <c r="B13" s="126">
        <v>134780</v>
      </c>
      <c r="C13" s="126" t="s">
        <v>296</v>
      </c>
      <c r="D13" s="127">
        <f>IF(
    OR(
        Tabla_Coordinador_YANELY_HERNADEZ[[#This Row],[GRUPO]] = 501,
        Tabla_Coordinador_YANELY_HERNADEZ[[#This Row],[GRUPO]] = 505,
        Tabla_Coordinador_YANELY_HERNADEZ[[#This Row],[GRUPO]] = 503,
        Tabla_Coordinador_YANELY_HERNADEZ[[#This Row],[GRUPO]] = "",
        Tabla_Coordinador_YANELY_HERNADEZ[[#This Row],[GRUPO]] = 500,
        Tabla_Coordinador_YANELY_HERNADEZ[[#This Row],[PAGO]] &lt; 299,
        COUNTIF(Tabla_Coordinador_YANELY_HERNADEZ[CREDENCIAL], Tabla_Coordinador_YANELY_HERNADEZ[[#This Row],[CREDENCIAL]]) &gt; 1,
        COUNTIF(Tabla_Gerente[CREDENCIAL], Tabla_Coordinador_YANELY_HERNADEZ[[#This Row],[CREDENCIAL]]) &gt; 1
    ),
    0,
    VLOOKUP(
        Total_Registros_Coordinador,
        Tabulador_Coordinador[],
        3,
        TRUE
    )
)</f>
        <v>0</v>
      </c>
      <c r="E13" s="126" t="s">
        <v>39</v>
      </c>
      <c r="F13" s="126" t="s">
        <v>320</v>
      </c>
      <c r="G13" s="128">
        <v>505</v>
      </c>
      <c r="H13" s="129">
        <f>IFERROR(VLOOKUP(Tabla_Coordinador_YANELY_HERNADEZ[[#This Row],[CREDENCIAL]], Tabla_Gerente[[CREDENCIAL]:[PAGO]], 7, FALSE), 0)</f>
        <v>299</v>
      </c>
      <c r="I13" s="130">
        <v>45745</v>
      </c>
      <c r="J13" s="131"/>
      <c r="K13" s="131"/>
    </row>
    <row r="14" spans="1:14" x14ac:dyDescent="0.2">
      <c r="A14" s="125" t="s">
        <v>103</v>
      </c>
      <c r="B14" s="126">
        <v>134781</v>
      </c>
      <c r="C14" s="126" t="s">
        <v>297</v>
      </c>
      <c r="D14" s="127">
        <f>IF(
    OR(
        Tabla_Coordinador_YANELY_HERNADEZ[[#This Row],[GRUPO]] = 501,
        Tabla_Coordinador_YANELY_HERNADEZ[[#This Row],[GRUPO]] = 505,
        Tabla_Coordinador_YANELY_HERNADEZ[[#This Row],[GRUPO]] = 503,
        Tabla_Coordinador_YANELY_HERNADEZ[[#This Row],[GRUPO]] = "",
        Tabla_Coordinador_YANELY_HERNADEZ[[#This Row],[GRUPO]] = 500,
        Tabla_Coordinador_YANELY_HERNADEZ[[#This Row],[PAGO]] &lt; 299,
        COUNTIF(Tabla_Coordinador_YANELY_HERNADEZ[CREDENCIAL], Tabla_Coordinador_YANELY_HERNADEZ[[#This Row],[CREDENCIAL]]) &gt; 1,
        COUNTIF(Tabla_Gerente[CREDENCIAL], Tabla_Coordinador_YANELY_HERNADEZ[[#This Row],[CREDENCIAL]]) &gt; 1
    ),
    0,
    VLOOKUP(
        Total_Registros_Coordinador,
        Tabulador_Coordinador[],
        3,
        TRUE
    )
)</f>
        <v>70</v>
      </c>
      <c r="E14" s="126" t="s">
        <v>44</v>
      </c>
      <c r="F14" s="126" t="s">
        <v>321</v>
      </c>
      <c r="G14" s="128">
        <v>1342</v>
      </c>
      <c r="H14" s="129">
        <f>IFERROR(VLOOKUP(Tabla_Coordinador_YANELY_HERNADEZ[[#This Row],[CREDENCIAL]], Tabla_Gerente[[CREDENCIAL]:[PAGO]], 7, FALSE), 0)</f>
        <v>300</v>
      </c>
      <c r="I14" s="130">
        <v>45748</v>
      </c>
      <c r="J14" s="131"/>
      <c r="K14" s="131"/>
    </row>
    <row r="15" spans="1:14" x14ac:dyDescent="0.2">
      <c r="A15" s="125" t="s">
        <v>103</v>
      </c>
      <c r="B15" s="126">
        <v>134782</v>
      </c>
      <c r="C15" s="126" t="s">
        <v>298</v>
      </c>
      <c r="D15" s="127">
        <f>IF(
    OR(
        Tabla_Coordinador_YANELY_HERNADEZ[[#This Row],[GRUPO]] = 501,
        Tabla_Coordinador_YANELY_HERNADEZ[[#This Row],[GRUPO]] = 505,
        Tabla_Coordinador_YANELY_HERNADEZ[[#This Row],[GRUPO]] = 503,
        Tabla_Coordinador_YANELY_HERNADEZ[[#This Row],[GRUPO]] = "",
        Tabla_Coordinador_YANELY_HERNADEZ[[#This Row],[GRUPO]] = 500,
        Tabla_Coordinador_YANELY_HERNADEZ[[#This Row],[PAGO]] &lt; 299,
        COUNTIF(Tabla_Coordinador_YANELY_HERNADEZ[CREDENCIAL], Tabla_Coordinador_YANELY_HERNADEZ[[#This Row],[CREDENCIAL]]) &gt; 1,
        COUNTIF(Tabla_Gerente[CREDENCIAL], Tabla_Coordinador_YANELY_HERNADEZ[[#This Row],[CREDENCIAL]]) &gt; 1
    ),
    0,
    VLOOKUP(
        Total_Registros_Coordinador,
        Tabulador_Coordinador[],
        3,
        TRUE
    )
)</f>
        <v>70</v>
      </c>
      <c r="E15" s="126" t="s">
        <v>35</v>
      </c>
      <c r="F15" s="126" t="s">
        <v>322</v>
      </c>
      <c r="G15" s="128">
        <v>1342</v>
      </c>
      <c r="H15" s="129">
        <f>IFERROR(VLOOKUP(Tabla_Coordinador_YANELY_HERNADEZ[[#This Row],[CREDENCIAL]], Tabla_Gerente[[CREDENCIAL]:[PAGO]], 7, FALSE), 0)</f>
        <v>350</v>
      </c>
      <c r="I15" s="130">
        <v>45744</v>
      </c>
      <c r="J15" s="131"/>
      <c r="K15" s="131"/>
    </row>
    <row r="16" spans="1:14" x14ac:dyDescent="0.2">
      <c r="A16" s="125" t="s">
        <v>50</v>
      </c>
      <c r="B16" s="126"/>
      <c r="C16" s="126"/>
      <c r="D16" s="127">
        <f>SUBTOTAL(109,Tabla_Coordinador_YANELY_HERNADEZ[COMISION])</f>
        <v>350</v>
      </c>
      <c r="E16" s="126"/>
      <c r="F16" s="126"/>
      <c r="G16" s="128"/>
      <c r="H16" s="132"/>
      <c r="I16" s="130"/>
      <c r="J16" s="131"/>
      <c r="K16" s="131"/>
    </row>
    <row r="17" spans="1:11" x14ac:dyDescent="0.2">
      <c r="A17" s="27"/>
      <c r="B17" s="14"/>
      <c r="C17" s="15"/>
      <c r="D17" s="52"/>
      <c r="E17" s="14"/>
      <c r="F17" s="14"/>
      <c r="G17" s="14"/>
      <c r="H17" s="53"/>
      <c r="I17" s="16"/>
      <c r="J17" s="16"/>
      <c r="K17" s="16"/>
    </row>
    <row r="18" spans="1:11" x14ac:dyDescent="0.2">
      <c r="A18" s="27" t="s">
        <v>13</v>
      </c>
      <c r="D18" s="26">
        <f>Sueldo_Base_Coordinador</f>
        <v>500</v>
      </c>
      <c r="E18" s="16"/>
      <c r="F18" s="15"/>
      <c r="H18" s="15"/>
      <c r="J18" s="24"/>
    </row>
    <row r="19" spans="1:11" ht="17" thickBot="1" x14ac:dyDescent="0.25">
      <c r="A19" s="37" t="s">
        <v>45</v>
      </c>
      <c r="B19" s="38">
        <f>IF(Total_Registros_Coordinador &gt;= Premios!H5,
    VLOOKUP(Total_Registros_Coordinador, Premios_Coordinador[], 1, TRUE),
    0
)</f>
        <v>0</v>
      </c>
      <c r="C19" s="34"/>
      <c r="D19" s="36">
        <f>IF(Premio_Coordinador &gt; 0, VLOOKUP(Premio_Coordinador, Premios_Coordinador[], 2, FALSE), 0)</f>
        <v>0</v>
      </c>
      <c r="E19" s="16"/>
      <c r="F19" s="15"/>
      <c r="H19" s="15"/>
      <c r="J19" s="24"/>
    </row>
    <row r="20" spans="1:11" x14ac:dyDescent="0.2">
      <c r="A20" s="27" t="s">
        <v>46</v>
      </c>
      <c r="B20" s="18"/>
      <c r="D20" s="28">
        <f>Tabla_Coordinador_YANELY_HERNADEZ[[#Totals],[COMISION]] + Pago_Sueldo_Base_Coordinador + Pago_Premio_Coordinador</f>
        <v>850</v>
      </c>
      <c r="E20" s="16"/>
      <c r="F20" s="15"/>
      <c r="H20" s="15"/>
      <c r="J20" s="24"/>
    </row>
    <row r="21" spans="1:11" x14ac:dyDescent="0.2">
      <c r="A21" s="27" t="s">
        <v>195</v>
      </c>
      <c r="B21" s="18"/>
      <c r="C21" s="29"/>
      <c r="D21" s="40">
        <f>_xlfn.IFNA(SUMIFS(Descuentos[DESCUENTO], Descuentos[COLABORADOR], Nombre_Coordinador, Descuentos[PUESTO], Puesto_Coordinador), 0)</f>
        <v>0</v>
      </c>
      <c r="E21" s="16"/>
      <c r="F21" s="15"/>
      <c r="H21" s="15"/>
      <c r="J21" s="22"/>
      <c r="K21" s="22"/>
    </row>
    <row r="22" spans="1:11" ht="17" thickBot="1" x14ac:dyDescent="0.25">
      <c r="A22" s="37" t="s">
        <v>24</v>
      </c>
      <c r="B22" s="34"/>
      <c r="C22" s="34"/>
      <c r="D22" s="48">
        <f>(Pago_Subtotal_Coordinador * 0.05) * -1</f>
        <v>-42.5</v>
      </c>
      <c r="E22" s="16"/>
      <c r="F22" s="15"/>
      <c r="H22" s="15"/>
    </row>
    <row r="23" spans="1:11" ht="17" thickBot="1" x14ac:dyDescent="0.25">
      <c r="A23" s="42"/>
      <c r="C23" s="29"/>
      <c r="D23" s="28"/>
      <c r="E23" s="16"/>
      <c r="F23" s="15"/>
    </row>
    <row r="24" spans="1:11" ht="17" thickBot="1" x14ac:dyDescent="0.25">
      <c r="A24" s="37" t="s">
        <v>49</v>
      </c>
      <c r="B24" s="34"/>
      <c r="C24" s="49"/>
      <c r="D24" s="30">
        <f>Pago_Subtotal_Coordinador + Descuento_Coordinador + Deduccion_Coordinador</f>
        <v>807.5</v>
      </c>
      <c r="E24" s="16"/>
      <c r="F24" s="15"/>
    </row>
    <row r="25" spans="1:11" x14ac:dyDescent="0.2">
      <c r="C25" s="29"/>
      <c r="D25" s="28"/>
      <c r="E25" s="26"/>
      <c r="F25" s="26"/>
    </row>
    <row r="26" spans="1:11" x14ac:dyDescent="0.2">
      <c r="C26" s="29"/>
      <c r="D26" s="28"/>
      <c r="E26" s="26"/>
      <c r="F26" s="26"/>
      <c r="I26" s="13"/>
    </row>
    <row r="27" spans="1:11" ht="17" thickBot="1" x14ac:dyDescent="0.25">
      <c r="C27" s="37" t="s">
        <v>25</v>
      </c>
      <c r="D27" s="121" t="str" cm="1">
        <f t="array" ref="D27">NumeroATexto(Pago_Neto_Coordinador)</f>
        <v>OCHOCIENTOS SIETE PESOS 50/100</v>
      </c>
      <c r="E27" s="121"/>
      <c r="F27" s="121"/>
      <c r="G27" s="121"/>
      <c r="H27" s="121"/>
      <c r="I27" s="121"/>
    </row>
    <row r="28" spans="1:11" x14ac:dyDescent="0.2">
      <c r="C28" s="27"/>
      <c r="D28" s="26"/>
      <c r="E28" s="16"/>
      <c r="F28" s="15"/>
      <c r="I28" s="13"/>
    </row>
    <row r="29" spans="1:11" x14ac:dyDescent="0.2">
      <c r="C29" s="29"/>
      <c r="D29" s="28"/>
      <c r="I29" s="13"/>
    </row>
    <row r="30" spans="1:11" ht="17" thickBot="1" x14ac:dyDescent="0.25">
      <c r="C30" s="33" t="s">
        <v>26</v>
      </c>
      <c r="D30" s="122"/>
      <c r="E30" s="122"/>
      <c r="F30" s="122"/>
      <c r="G30" s="122"/>
      <c r="H30" s="122"/>
      <c r="I30" s="122"/>
    </row>
    <row r="31" spans="1:11" x14ac:dyDescent="0.2">
      <c r="I31" s="13"/>
    </row>
    <row r="32" spans="1:11" x14ac:dyDescent="0.2">
      <c r="I32" s="13"/>
    </row>
    <row r="33" spans="9:9" x14ac:dyDescent="0.2">
      <c r="I33" s="13"/>
    </row>
    <row r="34" spans="9:9" x14ac:dyDescent="0.2">
      <c r="I34" s="13"/>
    </row>
    <row r="35" spans="9:9" x14ac:dyDescent="0.2">
      <c r="I35" s="13"/>
    </row>
  </sheetData>
  <mergeCells count="4">
    <mergeCell ref="B1:D1"/>
    <mergeCell ref="B2:D2"/>
    <mergeCell ref="D27:I27"/>
    <mergeCell ref="D30:I30"/>
  </mergeCells>
  <conditionalFormatting sqref="D9:D15">
    <cfRule type="cellIs" dxfId="15" priority="5" operator="equal">
      <formula>0</formula>
    </cfRule>
    <cfRule type="cellIs" dxfId="14" priority="7" operator="equal">
      <formula>$G9=501</formula>
    </cfRule>
  </conditionalFormatting>
  <conditionalFormatting sqref="G9:G15">
    <cfRule type="cellIs" dxfId="13" priority="2" operator="equal">
      <formula>505</formula>
    </cfRule>
    <cfRule type="cellIs" dxfId="12" priority="4" operator="equal">
      <formula>501</formula>
    </cfRule>
    <cfRule type="containsBlanks" dxfId="11" priority="6">
      <formula>LEN(TRIM(G9))=0</formula>
    </cfRule>
  </conditionalFormatting>
  <conditionalFormatting sqref="A9:K15">
    <cfRule type="expression" dxfId="10" priority="3">
      <formula>$G9 = 503</formula>
    </cfRule>
  </conditionalFormatting>
  <conditionalFormatting sqref="H9:H15">
    <cfRule type="cellIs" dxfId="9" priority="1" stopIfTrue="1" operator="lessThan">
      <formula>299</formula>
    </cfRule>
  </conditionalFormatting>
  <conditionalFormatting sqref="B9:B15">
    <cfRule type="duplicateValues" dxfId="7" priority="3033"/>
  </conditionalFormatting>
  <dataValidations count="7">
    <dataValidation type="list" allowBlank="1" showInputMessage="1" showErrorMessage="1" sqref="F9:F15" xr:uid="{218D75A6-9169-134F-ABB1-02502766231F}">
      <formula1>Cursos</formula1>
    </dataValidation>
    <dataValidation type="list" allowBlank="1" showInputMessage="1" showErrorMessage="1" sqref="B2:D2" xr:uid="{0D16F6F9-E574-DE46-8F65-FE3F328684FE}">
      <formula1>Razones_Sociales</formula1>
    </dataValidation>
    <dataValidation showInputMessage="1" showErrorMessage="1" sqref="A9:A15" xr:uid="{2AD3A4EC-299B-5B4F-94F8-30C1571B870A}"/>
    <dataValidation type="date" allowBlank="1" showInputMessage="1" showErrorMessage="1" sqref="I9:I15" xr:uid="{69280A3A-16C3-3A4F-98C5-2055AA8287B9}">
      <formula1>Periodo_De_Pago_Inicial_Gerente</formula1>
      <formula2>Periodo_De_Pago_Final_Gerente</formula2>
    </dataValidation>
    <dataValidation type="custom" allowBlank="1" showInputMessage="1" showErrorMessage="1" sqref="G9:G15" xr:uid="{711CF85D-7DD7-EF4E-9484-14233138F3C3}">
      <formula1>G9&lt;&gt;500</formula1>
    </dataValidation>
    <dataValidation type="list" allowBlank="1" showInputMessage="1" showErrorMessage="1" sqref="E9:E15" xr:uid="{F6E7E5BC-E4E4-C946-A3E8-AA1521E7297C}">
      <formula1>Nombres_Planteles</formula1>
    </dataValidation>
    <dataValidation type="list" allowBlank="1" showInputMessage="1" showErrorMessage="1" sqref="B1" xr:uid="{0D42813D-719E-6046-8808-1C51A4308355}">
      <formula1>Nombres_Coordinadores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SumPagoNetoCoordinacion">
                <anchor moveWithCells="1">
                  <from>
                    <xdr:col>12</xdr:col>
                    <xdr:colOff>152400</xdr:colOff>
                    <xdr:row>0</xdr:row>
                    <xdr:rowOff>63500</xdr:rowOff>
                  </from>
                  <to>
                    <xdr:col>13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19F33CCD-682A-E249-B140-0931405368BA}">
            <xm:f>COUNTIF('FERNANDO VILLALVAZO'!#REF!,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ABA938-10F5-BF4D-9189-D8242F99E8FD}">
          <x14:formula1>
            <xm:f>Planteles!$A$4:$A$15</xm:f>
          </x14:formula1>
          <xm:sqref>J9:J15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4E099-61FC-7847-914B-A83E591B7B4B}">
  <sheetPr codeName="Sheet30">
    <tabColor rgb="FF00B050"/>
    <pageSetUpPr fitToPage="1"/>
  </sheetPr>
  <dimension ref="A1:K29"/>
  <sheetViews>
    <sheetView workbookViewId="0">
      <selection activeCell="F9" sqref="F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19.5" style="13" bestFit="1" customWidth="1"/>
    <col min="5" max="5" width="18.33203125" style="13" bestFit="1" customWidth="1"/>
    <col min="6" max="6" width="17.332031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28</v>
      </c>
      <c r="B1" s="119" t="s">
        <v>89</v>
      </c>
      <c r="C1" s="119"/>
      <c r="D1" s="119"/>
      <c r="F1" s="43" t="s">
        <v>116</v>
      </c>
      <c r="G1" s="45" t="s">
        <v>7</v>
      </c>
      <c r="I1" s="31" t="s">
        <v>58</v>
      </c>
      <c r="J1" s="34">
        <f>Total_Registros_Gerente</f>
        <v>88</v>
      </c>
    </row>
    <row r="2" spans="1:11" ht="17" thickBot="1" x14ac:dyDescent="0.25">
      <c r="A2" s="43" t="s">
        <v>31</v>
      </c>
      <c r="B2" s="120" t="s">
        <v>303</v>
      </c>
      <c r="C2" s="120"/>
      <c r="D2" s="120"/>
    </row>
    <row r="3" spans="1:11" ht="17" thickBot="1" x14ac:dyDescent="0.25">
      <c r="A3" s="43" t="s">
        <v>29</v>
      </c>
      <c r="B3" s="105">
        <v>45743</v>
      </c>
      <c r="C3" s="44" t="s">
        <v>30</v>
      </c>
      <c r="D3" s="103">
        <v>45750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COUNTIFS(Tabla_PromotorJOSE_FERNÁNDEZ[GRUPO],"&lt;&gt;",
Tabla_PromotorJOSE_FERNÁNDEZ[GRUPO],"&lt;&gt;503",
Tabla_PromotorJOSE_FERNÁNDEZ[GRUPO],"&lt;&gt;500",
Tabla_PromotorJOSE_FERNÁNDEZ[PAGO],"&gt;=299")</f>
        <v>6</v>
      </c>
      <c r="C4" s="17"/>
      <c r="F4" s="18"/>
      <c r="G4" s="18"/>
      <c r="H4" s="17"/>
      <c r="K4" s="19"/>
    </row>
    <row r="5" spans="1:11" ht="17" thickBot="1" x14ac:dyDescent="0.25">
      <c r="A5" s="43" t="s">
        <v>32</v>
      </c>
      <c r="B5" s="46">
        <f>WEEKNUM(B3)</f>
        <v>13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27</v>
      </c>
      <c r="B6" s="103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4" t="s">
        <v>34</v>
      </c>
      <c r="E8" s="64" t="s">
        <v>33</v>
      </c>
      <c r="F8" s="64" t="s">
        <v>64</v>
      </c>
      <c r="G8" s="64" t="s">
        <v>20</v>
      </c>
      <c r="H8" s="114" t="s">
        <v>1</v>
      </c>
      <c r="I8" s="64" t="s">
        <v>65</v>
      </c>
      <c r="J8" s="64" t="s">
        <v>21</v>
      </c>
      <c r="K8" s="64" t="s">
        <v>22</v>
      </c>
    </row>
    <row r="9" spans="1:11" x14ac:dyDescent="0.2">
      <c r="A9" s="125" t="s">
        <v>103</v>
      </c>
      <c r="B9" s="126">
        <v>134776</v>
      </c>
      <c r="C9" s="126" t="s">
        <v>292</v>
      </c>
      <c r="D9" s="127">
        <f>IF(
    OR(
        Tabla_PromotorJOSE_FERNÁNDEZ[[#This Row],[GRUPO]] = "",
        Tabla_PromotorJOSE_FERNÁNDEZ[[#This Row],[GRUPO]] = 500,
        COUNTIF(Tabla_PromotorJOSE_FERNÁNDEZ[CREDENCIAL], Tabla_PromotorJOSE_FERNÁNDEZ[[#This Row],[CREDENCIAL]]) &gt; 1,
        COUNTIF(Tabla_Gerente[CREDENCIAL], Tabla_PromotorJOSE_FERNÁNDEZ[[#This Row],[CREDENCIAL]]) &gt; 1,
    ),
    0,
    IF(
        Tabla_PromotorJOSE_FERNÁNDEZ[[#This Row],[GRUPO]] = 503,
        Tabla_PromotorJOSE_FERNÁNDEZ[[#This Row],[PAGO]],
        IF(
            Tabla_PromotorJOSE_FERNÁNDEZ[[#This Row],[PAGO]] &gt;= 299,
            Tabla_PromotorJOSE_FERNÁNDEZ[[#This Row],[PAGO]] - 150,
            0
        )
    )
)</f>
        <v>200</v>
      </c>
      <c r="E9" s="126" t="s">
        <v>40</v>
      </c>
      <c r="F9" s="126" t="s">
        <v>317</v>
      </c>
      <c r="G9" s="128">
        <v>1342</v>
      </c>
      <c r="H9" s="133">
        <f>IFERROR(VLOOKUP(Tabla_PromotorJOSE_FERNÁNDEZ[[#This Row],[CREDENCIAL]], Tabla_Gerente[[CREDENCIAL]:[PAGO]], 7, FALSE), 0)</f>
        <v>350</v>
      </c>
      <c r="I9" s="134">
        <v>45743</v>
      </c>
      <c r="J9" s="131"/>
      <c r="K9" s="131"/>
    </row>
    <row r="10" spans="1:11" x14ac:dyDescent="0.2">
      <c r="A10" s="125" t="s">
        <v>103</v>
      </c>
      <c r="B10" s="126">
        <v>134777</v>
      </c>
      <c r="C10" s="126" t="s">
        <v>293</v>
      </c>
      <c r="D10" s="127">
        <f>IF(
    OR(
        Tabla_PromotorJOSE_FERNÁNDEZ[[#This Row],[GRUPO]] = "",
        Tabla_PromotorJOSE_FERNÁNDEZ[[#This Row],[GRUPO]] = 500,
        COUNTIF(Tabla_PromotorJOSE_FERNÁNDEZ[CREDENCIAL], Tabla_PromotorJOSE_FERNÁNDEZ[[#This Row],[CREDENCIAL]]) &gt; 1,
        COUNTIF(Tabla_Gerente[CREDENCIAL], Tabla_PromotorJOSE_FERNÁNDEZ[[#This Row],[CREDENCIAL]]) &gt; 1,
    ),
    0,
    IF(
        Tabla_PromotorJOSE_FERNÁNDEZ[[#This Row],[GRUPO]] = 503,
        Tabla_PromotorJOSE_FERNÁNDEZ[[#This Row],[PAGO]],
        IF(
            Tabla_PromotorJOSE_FERNÁNDEZ[[#This Row],[PAGO]] &gt;= 299,
            Tabla_PromotorJOSE_FERNÁNDEZ[[#This Row],[PAGO]] - 150,
            0
        )
    )
)</f>
        <v>200</v>
      </c>
      <c r="E10" s="126" t="s">
        <v>44</v>
      </c>
      <c r="F10" s="126" t="s">
        <v>318</v>
      </c>
      <c r="G10" s="128">
        <v>1342</v>
      </c>
      <c r="H10" s="133">
        <f>IFERROR(VLOOKUP(Tabla_PromotorJOSE_FERNÁNDEZ[[#This Row],[CREDENCIAL]], Tabla_Gerente[[CREDENCIAL]:[PAGO]], 7, FALSE), 0)</f>
        <v>350</v>
      </c>
      <c r="I10" s="134">
        <v>45746</v>
      </c>
      <c r="J10" s="131"/>
      <c r="K10" s="131"/>
    </row>
    <row r="11" spans="1:11" x14ac:dyDescent="0.2">
      <c r="A11" s="125" t="s">
        <v>103</v>
      </c>
      <c r="B11" s="126">
        <v>134778</v>
      </c>
      <c r="C11" s="126" t="s">
        <v>294</v>
      </c>
      <c r="D11" s="127">
        <f>IF(
    OR(
        Tabla_PromotorJOSE_FERNÁNDEZ[[#This Row],[GRUPO]] = "",
        Tabla_PromotorJOSE_FERNÁNDEZ[[#This Row],[GRUPO]] = 500,
        COUNTIF(Tabla_PromotorJOSE_FERNÁNDEZ[CREDENCIAL], Tabla_PromotorJOSE_FERNÁNDEZ[[#This Row],[CREDENCIAL]]) &gt; 1,
        COUNTIF(Tabla_Gerente[CREDENCIAL], Tabla_PromotorJOSE_FERNÁNDEZ[[#This Row],[CREDENCIAL]]) &gt; 1,
    ),
    0,
    IF(
        Tabla_PromotorJOSE_FERNÁNDEZ[[#This Row],[GRUPO]] = 503,
        Tabla_PromotorJOSE_FERNÁNDEZ[[#This Row],[PAGO]],
        IF(
            Tabla_PromotorJOSE_FERNÁNDEZ[[#This Row],[PAGO]] &gt;= 299,
            Tabla_PromotorJOSE_FERNÁNDEZ[[#This Row],[PAGO]] - 150,
            0
        )
    )
)</f>
        <v>250</v>
      </c>
      <c r="E11" s="126" t="s">
        <v>41</v>
      </c>
      <c r="F11" s="126" t="s">
        <v>319</v>
      </c>
      <c r="G11" s="128">
        <v>1342</v>
      </c>
      <c r="H11" s="133">
        <f>IFERROR(VLOOKUP(Tabla_PromotorJOSE_FERNÁNDEZ[[#This Row],[CREDENCIAL]], Tabla_Gerente[[CREDENCIAL]:[PAGO]], 7, FALSE), 0)</f>
        <v>400</v>
      </c>
      <c r="I11" s="134">
        <v>45744</v>
      </c>
      <c r="J11" s="131"/>
      <c r="K11" s="131"/>
    </row>
    <row r="12" spans="1:11" x14ac:dyDescent="0.2">
      <c r="A12" s="125" t="s">
        <v>103</v>
      </c>
      <c r="B12" s="126">
        <v>134779</v>
      </c>
      <c r="C12" s="126" t="s">
        <v>295</v>
      </c>
      <c r="D12" s="127">
        <f>IF(
    OR(
        Tabla_PromotorJOSE_FERNÁNDEZ[[#This Row],[GRUPO]] = "",
        Tabla_PromotorJOSE_FERNÁNDEZ[[#This Row],[GRUPO]] = 500,
        COUNTIF(Tabla_PromotorJOSE_FERNÁNDEZ[CREDENCIAL], Tabla_PromotorJOSE_FERNÁNDEZ[[#This Row],[CREDENCIAL]]) &gt; 1,
        COUNTIF(Tabla_Gerente[CREDENCIAL], Tabla_PromotorJOSE_FERNÁNDEZ[[#This Row],[CREDENCIAL]]) &gt; 1,
    ),
    0,
    IF(
        Tabla_PromotorJOSE_FERNÁNDEZ[[#This Row],[GRUPO]] = 503,
        Tabla_PromotorJOSE_FERNÁNDEZ[[#This Row],[PAGO]],
        IF(
            Tabla_PromotorJOSE_FERNÁNDEZ[[#This Row],[PAGO]] &gt;= 299,
            Tabla_PromotorJOSE_FERNÁNDEZ[[#This Row],[PAGO]] - 150,
            0
        )
    )
)</f>
        <v>500</v>
      </c>
      <c r="E12" s="126" t="s">
        <v>40</v>
      </c>
      <c r="F12" s="126" t="s">
        <v>318</v>
      </c>
      <c r="G12" s="128">
        <v>503</v>
      </c>
      <c r="H12" s="133">
        <f>IFERROR(VLOOKUP(Tabla_PromotorJOSE_FERNÁNDEZ[[#This Row],[CREDENCIAL]], Tabla_Gerente[[CREDENCIAL]:[PAGO]], 7, FALSE), 0)</f>
        <v>500</v>
      </c>
      <c r="I12" s="134">
        <v>45746</v>
      </c>
      <c r="J12" s="131"/>
      <c r="K12" s="131"/>
    </row>
    <row r="13" spans="1:11" x14ac:dyDescent="0.2">
      <c r="A13" s="125" t="s">
        <v>103</v>
      </c>
      <c r="B13" s="126">
        <v>134780</v>
      </c>
      <c r="C13" s="126" t="s">
        <v>296</v>
      </c>
      <c r="D13" s="127">
        <f>IF(
    OR(
        Tabla_PromotorJOSE_FERNÁNDEZ[[#This Row],[GRUPO]] = "",
        Tabla_PromotorJOSE_FERNÁNDEZ[[#This Row],[GRUPO]] = 500,
        COUNTIF(Tabla_PromotorJOSE_FERNÁNDEZ[CREDENCIAL], Tabla_PromotorJOSE_FERNÁNDEZ[[#This Row],[CREDENCIAL]]) &gt; 1,
        COUNTIF(Tabla_Gerente[CREDENCIAL], Tabla_PromotorJOSE_FERNÁNDEZ[[#This Row],[CREDENCIAL]]) &gt; 1,
    ),
    0,
    IF(
        Tabla_PromotorJOSE_FERNÁNDEZ[[#This Row],[GRUPO]] = 503,
        Tabla_PromotorJOSE_FERNÁNDEZ[[#This Row],[PAGO]],
        IF(
            Tabla_PromotorJOSE_FERNÁNDEZ[[#This Row],[PAGO]] &gt;= 299,
            Tabla_PromotorJOSE_FERNÁNDEZ[[#This Row],[PAGO]] - 150,
            0
        )
    )
)</f>
        <v>149</v>
      </c>
      <c r="E13" s="126" t="s">
        <v>39</v>
      </c>
      <c r="F13" s="126" t="s">
        <v>320</v>
      </c>
      <c r="G13" s="128">
        <v>505</v>
      </c>
      <c r="H13" s="133">
        <f>IFERROR(VLOOKUP(Tabla_PromotorJOSE_FERNÁNDEZ[[#This Row],[CREDENCIAL]], Tabla_Gerente[[CREDENCIAL]:[PAGO]], 7, FALSE), 0)</f>
        <v>299</v>
      </c>
      <c r="I13" s="134">
        <v>45745</v>
      </c>
      <c r="J13" s="131"/>
      <c r="K13" s="131"/>
    </row>
    <row r="14" spans="1:11" x14ac:dyDescent="0.2">
      <c r="A14" s="125" t="s">
        <v>103</v>
      </c>
      <c r="B14" s="126">
        <v>134781</v>
      </c>
      <c r="C14" s="126" t="s">
        <v>297</v>
      </c>
      <c r="D14" s="127">
        <f>IF(
    OR(
        Tabla_PromotorJOSE_FERNÁNDEZ[[#This Row],[GRUPO]] = "",
        Tabla_PromotorJOSE_FERNÁNDEZ[[#This Row],[GRUPO]] = 500,
        COUNTIF(Tabla_PromotorJOSE_FERNÁNDEZ[CREDENCIAL], Tabla_PromotorJOSE_FERNÁNDEZ[[#This Row],[CREDENCIAL]]) &gt; 1,
        COUNTIF(Tabla_Gerente[CREDENCIAL], Tabla_PromotorJOSE_FERNÁNDEZ[[#This Row],[CREDENCIAL]]) &gt; 1,
    ),
    0,
    IF(
        Tabla_PromotorJOSE_FERNÁNDEZ[[#This Row],[GRUPO]] = 503,
        Tabla_PromotorJOSE_FERNÁNDEZ[[#This Row],[PAGO]],
        IF(
            Tabla_PromotorJOSE_FERNÁNDEZ[[#This Row],[PAGO]] &gt;= 299,
            Tabla_PromotorJOSE_FERNÁNDEZ[[#This Row],[PAGO]] - 150,
            0
        )
    )
)</f>
        <v>150</v>
      </c>
      <c r="E14" s="126" t="s">
        <v>44</v>
      </c>
      <c r="F14" s="126" t="s">
        <v>321</v>
      </c>
      <c r="G14" s="128">
        <v>1342</v>
      </c>
      <c r="H14" s="133">
        <f>IFERROR(VLOOKUP(Tabla_PromotorJOSE_FERNÁNDEZ[[#This Row],[CREDENCIAL]], Tabla_Gerente[[CREDENCIAL]:[PAGO]], 7, FALSE), 0)</f>
        <v>300</v>
      </c>
      <c r="I14" s="134">
        <v>45748</v>
      </c>
      <c r="J14" s="131"/>
      <c r="K14" s="131"/>
    </row>
    <row r="15" spans="1:11" x14ac:dyDescent="0.2">
      <c r="A15" s="125" t="s">
        <v>103</v>
      </c>
      <c r="B15" s="126">
        <v>134782</v>
      </c>
      <c r="C15" s="126" t="s">
        <v>298</v>
      </c>
      <c r="D15" s="127">
        <f>IF(
    OR(
        Tabla_PromotorJOSE_FERNÁNDEZ[[#This Row],[GRUPO]] = "",
        Tabla_PromotorJOSE_FERNÁNDEZ[[#This Row],[GRUPO]] = 500,
        COUNTIF(Tabla_PromotorJOSE_FERNÁNDEZ[CREDENCIAL], Tabla_PromotorJOSE_FERNÁNDEZ[[#This Row],[CREDENCIAL]]) &gt; 1,
        COUNTIF(Tabla_Gerente[CREDENCIAL], Tabla_PromotorJOSE_FERNÁNDEZ[[#This Row],[CREDENCIAL]]) &gt; 1,
    ),
    0,
    IF(
        Tabla_PromotorJOSE_FERNÁNDEZ[[#This Row],[GRUPO]] = 503,
        Tabla_PromotorJOSE_FERNÁNDEZ[[#This Row],[PAGO]],
        IF(
            Tabla_PromotorJOSE_FERNÁNDEZ[[#This Row],[PAGO]] &gt;= 299,
            Tabla_PromotorJOSE_FERNÁNDEZ[[#This Row],[PAGO]] - 150,
            0
        )
    )
)</f>
        <v>200</v>
      </c>
      <c r="E15" s="126" t="s">
        <v>35</v>
      </c>
      <c r="F15" s="126" t="s">
        <v>322</v>
      </c>
      <c r="G15" s="128">
        <v>1342</v>
      </c>
      <c r="H15" s="133">
        <f>IFERROR(VLOOKUP(Tabla_PromotorJOSE_FERNÁNDEZ[[#This Row],[CREDENCIAL]], Tabla_Gerente[[CREDENCIAL]:[PAGO]], 7, FALSE), 0)</f>
        <v>350</v>
      </c>
      <c r="I15" s="134">
        <v>45744</v>
      </c>
      <c r="J15" s="131"/>
      <c r="K15" s="131"/>
    </row>
    <row r="16" spans="1:11" x14ac:dyDescent="0.2">
      <c r="A16" s="125" t="s">
        <v>50</v>
      </c>
      <c r="B16" s="126"/>
      <c r="C16" s="126"/>
      <c r="D16" s="127">
        <f>SUBTOTAL(109,Tabla_PromotorJOSE_FERNÁNDEZ[COMISION])</f>
        <v>1649</v>
      </c>
      <c r="E16" s="126"/>
      <c r="F16" s="126"/>
      <c r="G16" s="128"/>
      <c r="H16" s="133"/>
      <c r="I16" s="134"/>
      <c r="J16" s="131"/>
      <c r="K16" s="131"/>
    </row>
    <row r="17" spans="1:11" x14ac:dyDescent="0.2">
      <c r="A17" s="25"/>
      <c r="B17" s="14"/>
      <c r="C17" s="15"/>
      <c r="D17" s="52"/>
      <c r="E17" s="14"/>
      <c r="F17" s="14"/>
      <c r="G17" s="27"/>
      <c r="H17" s="53"/>
      <c r="I17" s="14"/>
      <c r="J17" s="16"/>
      <c r="K17" s="16"/>
    </row>
    <row r="18" spans="1:11" x14ac:dyDescent="0.2">
      <c r="A18" s="25" t="s">
        <v>13</v>
      </c>
      <c r="D18" s="68">
        <f>_xlfn.IFNA(VLOOKUP(Nombre_Promotor,Sueldos_Base[],2,FALSE),0)</f>
        <v>0</v>
      </c>
      <c r="E18" s="16"/>
      <c r="F18" s="15"/>
      <c r="H18" s="15"/>
      <c r="J18" s="24"/>
    </row>
    <row r="19" spans="1:11" ht="17" thickBot="1" x14ac:dyDescent="0.25">
      <c r="A19" s="37" t="s">
        <v>45</v>
      </c>
      <c r="B19" s="38">
        <f>IF(Total_Registros_Promotor &lt; Premios!A5, 0,
   VLOOKUP(Total_Registros_Promotor, Premios_Promotor[], 1, TRUE))</f>
        <v>6</v>
      </c>
      <c r="C19" s="34"/>
      <c r="D19" s="36">
        <f>IF(Premio_Promotor &gt; 0,
   VLOOKUP(Premio_Promotor, Premios_Promotor[],
      VLOOKUP(Total_Registros_Gerente, Tabulador_Premio_Promotor_Total_Gerencia[], 2, TRUE),
   FALSE),
   0)</f>
        <v>800</v>
      </c>
      <c r="E19" s="16"/>
      <c r="F19" s="15"/>
      <c r="H19" s="15"/>
      <c r="J19" s="24"/>
    </row>
    <row r="20" spans="1:11" x14ac:dyDescent="0.2">
      <c r="A20" s="27" t="s">
        <v>46</v>
      </c>
      <c r="B20" s="18"/>
      <c r="D20" s="28">
        <f>Tabla_PromotorJOSE_FERNÁNDEZ[[#Totals],[COMISION]] + Pago_Sueldo_Base_Promotor + Pago_Premio_Promotor</f>
        <v>2449</v>
      </c>
      <c r="E20" s="16"/>
      <c r="F20" s="15"/>
      <c r="H20" s="15"/>
      <c r="J20" s="24"/>
    </row>
    <row r="21" spans="1:11" x14ac:dyDescent="0.2">
      <c r="A21" s="27" t="s">
        <v>195</v>
      </c>
      <c r="B21" s="18"/>
      <c r="C21" s="29"/>
      <c r="D21" s="39">
        <f>_xlfn.IFNA(SUMIFS(Descuentos[DESCUENTO], Descuentos[COLABORADOR], Nombre_Promotor, Descuentos[PUESTO], Puesto_Promotor), 0)</f>
        <v>0</v>
      </c>
      <c r="E21" s="16" t="s">
        <v>121</v>
      </c>
      <c r="F21" s="15"/>
      <c r="H21" s="15"/>
      <c r="I21" s="18"/>
      <c r="J21" s="22"/>
      <c r="K21" s="22"/>
    </row>
    <row r="22" spans="1:11" ht="17" thickBot="1" x14ac:dyDescent="0.25">
      <c r="A22" s="35"/>
      <c r="C22" s="29"/>
      <c r="D22" s="28"/>
      <c r="E22" s="16"/>
      <c r="F22" s="15"/>
    </row>
    <row r="23" spans="1:11" ht="17" thickBot="1" x14ac:dyDescent="0.25">
      <c r="A23" s="37" t="s">
        <v>49</v>
      </c>
      <c r="B23" s="34"/>
      <c r="C23" s="49"/>
      <c r="D23" s="30">
        <f>Pago_Subtotal_Promotor + Descuento_Promotor</f>
        <v>2449</v>
      </c>
      <c r="E23" s="16"/>
      <c r="F23" s="15"/>
    </row>
    <row r="24" spans="1:11" x14ac:dyDescent="0.2">
      <c r="C24" s="29"/>
      <c r="D24" s="28"/>
      <c r="E24" s="26"/>
      <c r="F24" s="26"/>
    </row>
    <row r="25" spans="1:11" x14ac:dyDescent="0.2">
      <c r="C25" s="29"/>
      <c r="D25" s="28"/>
      <c r="E25" s="26"/>
      <c r="F25" s="26"/>
    </row>
    <row r="26" spans="1:11" ht="17" thickBot="1" x14ac:dyDescent="0.25">
      <c r="C26" s="37" t="s">
        <v>25</v>
      </c>
      <c r="D26" s="121" t="str" cm="1">
        <f t="array" ref="D26">NumeroATexto(Pago_Neto_Promotor)</f>
        <v>DOS MIL CUATROCIENTOS CUARENTA Y NUEVE PESOS 00/100</v>
      </c>
      <c r="E26" s="121"/>
      <c r="F26" s="121"/>
      <c r="G26" s="121"/>
      <c r="H26" s="121"/>
      <c r="I26" s="121"/>
    </row>
    <row r="27" spans="1:11" x14ac:dyDescent="0.2">
      <c r="C27" s="27"/>
      <c r="D27" s="26"/>
      <c r="E27" s="16"/>
      <c r="F27" s="15"/>
    </row>
    <row r="28" spans="1:11" x14ac:dyDescent="0.2">
      <c r="C28" s="29"/>
      <c r="D28" s="28"/>
    </row>
    <row r="29" spans="1:11" ht="17" thickBot="1" x14ac:dyDescent="0.25">
      <c r="C29" s="33" t="s">
        <v>26</v>
      </c>
      <c r="D29" s="122"/>
      <c r="E29" s="122"/>
      <c r="F29" s="122"/>
      <c r="G29" s="122"/>
      <c r="H29" s="122"/>
      <c r="I29" s="122"/>
    </row>
  </sheetData>
  <mergeCells count="4">
    <mergeCell ref="B1:D1"/>
    <mergeCell ref="B2:D2"/>
    <mergeCell ref="D26:I26"/>
    <mergeCell ref="D29:I29"/>
  </mergeCells>
  <conditionalFormatting sqref="D9:D15">
    <cfRule type="expression" dxfId="6" priority="2">
      <formula>$G9=501</formula>
    </cfRule>
    <cfRule type="cellIs" dxfId="5" priority="5" operator="equal">
      <formula>0</formula>
    </cfRule>
  </conditionalFormatting>
  <conditionalFormatting sqref="G9:G15">
    <cfRule type="cellIs" dxfId="4" priority="3" operator="equal">
      <formula>503</formula>
    </cfRule>
    <cfRule type="cellIs" dxfId="3" priority="4" operator="equal">
      <formula>501</formula>
    </cfRule>
  </conditionalFormatting>
  <conditionalFormatting sqref="H9:H15">
    <cfRule type="cellIs" dxfId="2" priority="1" operator="lessThan">
      <formula>299</formula>
    </cfRule>
  </conditionalFormatting>
  <conditionalFormatting sqref="B9:B15">
    <cfRule type="duplicateValues" dxfId="0" priority="3078"/>
  </conditionalFormatting>
  <dataValidations count="6">
    <dataValidation type="list" allowBlank="1" showInputMessage="1" showErrorMessage="1" sqref="F9:F15" xr:uid="{D8D359E7-68D8-9E4F-B5F8-2811E17BE2A2}">
      <formula1>Cursos</formula1>
    </dataValidation>
    <dataValidation type="list" allowBlank="1" showInputMessage="1" showErrorMessage="1" sqref="B2:D2" xr:uid="{DF90EB2B-3F77-214D-8731-A5A19A477947}">
      <formula1>Razones_Sociales</formula1>
    </dataValidation>
    <dataValidation type="date" allowBlank="1" showInputMessage="1" showErrorMessage="1" sqref="I9:I15" xr:uid="{63015ED5-0ADA-CC4C-A3D6-0EA15134E66A}">
      <formula1>Periodo_De_Pago_Inicial_Gerente</formula1>
      <formula2>Periodo_De_Pago_Final_Gerente</formula2>
    </dataValidation>
    <dataValidation type="custom" allowBlank="1" showInputMessage="1" showErrorMessage="1" sqref="G9:G15" xr:uid="{DB000AD4-5745-CB49-8096-4A2933B04685}">
      <formula1>G9&lt;&gt;500</formula1>
    </dataValidation>
    <dataValidation type="list" allowBlank="1" showInputMessage="1" showErrorMessage="1" sqref="E9:E15" xr:uid="{53F3592E-7BBC-4E4C-82B5-61F0335029A0}">
      <formula1>Nombres_Planteles</formula1>
    </dataValidation>
    <dataValidation type="list" allowBlank="1" showInputMessage="1" showErrorMessage="1" sqref="B1" xr:uid="{119633B8-F28D-604F-A81D-5DABED777EA2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E705C398-374B-254A-B77D-228014DBFD7F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66F5A5-B281-6541-9C9E-D0918E775E5E}">
          <x14:formula1>
            <xm:f>Planteles!$A$4:$A$15</xm:f>
          </x14:formula1>
          <xm:sqref>J9:J15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496</vt:i4>
      </vt:variant>
    </vt:vector>
  </HeadingPairs>
  <TitlesOfParts>
    <vt:vector size="525" baseType="lpstr">
      <vt:lpstr>Planteles</vt:lpstr>
      <vt:lpstr>Premios</vt:lpstr>
      <vt:lpstr>Cursos</vt:lpstr>
      <vt:lpstr>Tabuladores</vt:lpstr>
      <vt:lpstr>Colaboradores</vt:lpstr>
      <vt:lpstr>Resultados</vt:lpstr>
      <vt:lpstr>Dashboard</vt:lpstr>
      <vt:lpstr>Ejemplo Coordinacion</vt:lpstr>
      <vt:lpstr>Ejemplo Promotor</vt:lpstr>
      <vt:lpstr>FERNANDO VILLALVAZO</vt:lpstr>
      <vt:lpstr>ISAAC GARCIA</vt:lpstr>
      <vt:lpstr>JORGE RODRIGUEZ</vt:lpstr>
      <vt:lpstr>MIRIAM TADEO</vt:lpstr>
      <vt:lpstr>DAVID HERNANDEZ</vt:lpstr>
      <vt:lpstr>MARIANA SANCHEZ</vt:lpstr>
      <vt:lpstr>JOSUE SIERRA</vt:lpstr>
      <vt:lpstr>BRYAN CAMPOS</vt:lpstr>
      <vt:lpstr>JOSUE ALVAREZ</vt:lpstr>
      <vt:lpstr>JONATHAN MARTINEZ</vt:lpstr>
      <vt:lpstr>FERNANDA ORNELAS</vt:lpstr>
      <vt:lpstr>DANIELA LOZANO</vt:lpstr>
      <vt:lpstr>BETZANIA MUÑOZ</vt:lpstr>
      <vt:lpstr>MICHELLE APARICIO</vt:lpstr>
      <vt:lpstr>FRIDA RIVERA</vt:lpstr>
      <vt:lpstr>EVELYN VELAZQUEZ</vt:lpstr>
      <vt:lpstr>YADIRA VEGA</vt:lpstr>
      <vt:lpstr>MINA APARICIO</vt:lpstr>
      <vt:lpstr>YANELY HERNADEZ</vt:lpstr>
      <vt:lpstr>JOSE FERNÁNDEZ</vt:lpstr>
      <vt:lpstr>'BETZANIA MUÑOZ'!Alias_Coordinadores</vt:lpstr>
      <vt:lpstr>'BRYAN CAMPOS'!Alias_Coordinadores</vt:lpstr>
      <vt:lpstr>'DANIELA LOZANO'!Alias_Coordinadores</vt:lpstr>
      <vt:lpstr>'DAVID HERNANDEZ'!Alias_Coordinadores</vt:lpstr>
      <vt:lpstr>'EVELYN VELAZQUEZ'!Alias_Coordinadores</vt:lpstr>
      <vt:lpstr>'FERNANDA ORNELAS'!Alias_Coordinadores</vt:lpstr>
      <vt:lpstr>'FRIDA RIVERA'!Alias_Coordinadores</vt:lpstr>
      <vt:lpstr>'ISAAC GARCIA'!Alias_Coordinadores</vt:lpstr>
      <vt:lpstr>'JONATHAN MARTINEZ'!Alias_Coordinadores</vt:lpstr>
      <vt:lpstr>'JORGE RODRIGUEZ'!Alias_Coordinadores</vt:lpstr>
      <vt:lpstr>'JOSE FERNÁNDEZ'!Alias_Coordinadores</vt:lpstr>
      <vt:lpstr>'JOSUE ALVAREZ'!Alias_Coordinadores</vt:lpstr>
      <vt:lpstr>'JOSUE SIERRA'!Alias_Coordinadores</vt:lpstr>
      <vt:lpstr>'MARIANA SANCHEZ'!Alias_Coordinadores</vt:lpstr>
      <vt:lpstr>'MICHELLE APARICIO'!Alias_Coordinadores</vt:lpstr>
      <vt:lpstr>'MINA APARICIO'!Alias_Coordinadores</vt:lpstr>
      <vt:lpstr>'MIRIAM TADEO'!Alias_Coordinadores</vt:lpstr>
      <vt:lpstr>'YADIRA VEGA'!Alias_Coordinadores</vt:lpstr>
      <vt:lpstr>'YANELY HERNADEZ'!Alias_Coordinadores</vt:lpstr>
      <vt:lpstr>Alias_Coordinadores</vt:lpstr>
      <vt:lpstr>'BETZANIA MUÑOZ'!Alias_Gerentes</vt:lpstr>
      <vt:lpstr>'BRYAN CAMPOS'!Alias_Gerentes</vt:lpstr>
      <vt:lpstr>'DANIELA LOZANO'!Alias_Gerentes</vt:lpstr>
      <vt:lpstr>'DAVID HERNANDEZ'!Alias_Gerentes</vt:lpstr>
      <vt:lpstr>'EVELYN VELAZQUEZ'!Alias_Gerentes</vt:lpstr>
      <vt:lpstr>'FERNANDA ORNELAS'!Alias_Gerentes</vt:lpstr>
      <vt:lpstr>'FRIDA RIVERA'!Alias_Gerentes</vt:lpstr>
      <vt:lpstr>'ISAAC GARCIA'!Alias_Gerentes</vt:lpstr>
      <vt:lpstr>'JONATHAN MARTINEZ'!Alias_Gerentes</vt:lpstr>
      <vt:lpstr>'JORGE RODRIGUEZ'!Alias_Gerentes</vt:lpstr>
      <vt:lpstr>'JOSE FERNÁNDEZ'!Alias_Gerentes</vt:lpstr>
      <vt:lpstr>'JOSUE ALVAREZ'!Alias_Gerentes</vt:lpstr>
      <vt:lpstr>'JOSUE SIERRA'!Alias_Gerentes</vt:lpstr>
      <vt:lpstr>'MARIANA SANCHEZ'!Alias_Gerentes</vt:lpstr>
      <vt:lpstr>'MICHELLE APARICIO'!Alias_Gerentes</vt:lpstr>
      <vt:lpstr>'MINA APARICIO'!Alias_Gerentes</vt:lpstr>
      <vt:lpstr>'MIRIAM TADEO'!Alias_Gerentes</vt:lpstr>
      <vt:lpstr>'YADIRA VEGA'!Alias_Gerentes</vt:lpstr>
      <vt:lpstr>'YANELY HERNADEZ'!Alias_Gerentes</vt:lpstr>
      <vt:lpstr>Alias_Gerentes</vt:lpstr>
      <vt:lpstr>'BETZANIA MUÑOZ'!Alias_Lookup</vt:lpstr>
      <vt:lpstr>'BRYAN CAMPOS'!Alias_Lookup</vt:lpstr>
      <vt:lpstr>'DANIELA LOZANO'!Alias_Lookup</vt:lpstr>
      <vt:lpstr>'DAVID HERNANDEZ'!Alias_Lookup</vt:lpstr>
      <vt:lpstr>'EVELYN VELAZQUEZ'!Alias_Lookup</vt:lpstr>
      <vt:lpstr>'FERNANDA ORNELAS'!Alias_Lookup</vt:lpstr>
      <vt:lpstr>'FRIDA RIVERA'!Alias_Lookup</vt:lpstr>
      <vt:lpstr>'ISAAC GARCIA'!Alias_Lookup</vt:lpstr>
      <vt:lpstr>'JONATHAN MARTINEZ'!Alias_Lookup</vt:lpstr>
      <vt:lpstr>'JORGE RODRIGUEZ'!Alias_Lookup</vt:lpstr>
      <vt:lpstr>'JOSE FERNÁNDEZ'!Alias_Lookup</vt:lpstr>
      <vt:lpstr>'JOSUE ALVAREZ'!Alias_Lookup</vt:lpstr>
      <vt:lpstr>'JOSUE SIERRA'!Alias_Lookup</vt:lpstr>
      <vt:lpstr>'MARIANA SANCHEZ'!Alias_Lookup</vt:lpstr>
      <vt:lpstr>'MICHELLE APARICIO'!Alias_Lookup</vt:lpstr>
      <vt:lpstr>'MINA APARICIO'!Alias_Lookup</vt:lpstr>
      <vt:lpstr>'MIRIAM TADEO'!Alias_Lookup</vt:lpstr>
      <vt:lpstr>'YADIRA VEGA'!Alias_Lookup</vt:lpstr>
      <vt:lpstr>'YANELY HERNADEZ'!Alias_Lookup</vt:lpstr>
      <vt:lpstr>Alias_Lookup</vt:lpstr>
      <vt:lpstr>'BETZANIA MUÑOZ'!Alias_Promotores</vt:lpstr>
      <vt:lpstr>'BRYAN CAMPOS'!Alias_Promotores</vt:lpstr>
      <vt:lpstr>'DANIELA LOZANO'!Alias_Promotores</vt:lpstr>
      <vt:lpstr>'DAVID HERNANDEZ'!Alias_Promotores</vt:lpstr>
      <vt:lpstr>'EVELYN VELAZQUEZ'!Alias_Promotores</vt:lpstr>
      <vt:lpstr>'FERNANDA ORNELAS'!Alias_Promotores</vt:lpstr>
      <vt:lpstr>'FRIDA RIVERA'!Alias_Promotores</vt:lpstr>
      <vt:lpstr>'ISAAC GARCIA'!Alias_Promotores</vt:lpstr>
      <vt:lpstr>'JONATHAN MARTINEZ'!Alias_Promotores</vt:lpstr>
      <vt:lpstr>'JORGE RODRIGUEZ'!Alias_Promotores</vt:lpstr>
      <vt:lpstr>'JOSE FERNÁNDEZ'!Alias_Promotores</vt:lpstr>
      <vt:lpstr>'JOSUE ALVAREZ'!Alias_Promotores</vt:lpstr>
      <vt:lpstr>'JOSUE SIERRA'!Alias_Promotores</vt:lpstr>
      <vt:lpstr>'MARIANA SANCHEZ'!Alias_Promotores</vt:lpstr>
      <vt:lpstr>'MICHELLE APARICIO'!Alias_Promotores</vt:lpstr>
      <vt:lpstr>'MINA APARICIO'!Alias_Promotores</vt:lpstr>
      <vt:lpstr>'MIRIAM TADEO'!Alias_Promotores</vt:lpstr>
      <vt:lpstr>'YADIRA VEGA'!Alias_Promotores</vt:lpstr>
      <vt:lpstr>'YANELY HERNADEZ'!Alias_Promotores</vt:lpstr>
      <vt:lpstr>Alias_Promotores</vt:lpstr>
      <vt:lpstr>'ISAAC GARCIA'!Cantidad_Con_Letra_Coordinador</vt:lpstr>
      <vt:lpstr>'JOSUE ALVAREZ'!Cantidad_Con_Letra_Coordinador</vt:lpstr>
      <vt:lpstr>'MICHELLE APARICIO'!Cantidad_Con_Letra_Coordinador</vt:lpstr>
      <vt:lpstr>'YANELY HERNADEZ'!Cantidad_Con_Letra_Coordinador</vt:lpstr>
      <vt:lpstr>Cantidad_Con_Letra_Coordinador</vt:lpstr>
      <vt:lpstr>Cantidad_Con_Letra_Gerente</vt:lpstr>
      <vt:lpstr>'BETZANIA MUÑOZ'!Cantidad_Con_Letra_Promotor</vt:lpstr>
      <vt:lpstr>'BRYAN CAMPOS'!Cantidad_Con_Letra_Promotor</vt:lpstr>
      <vt:lpstr>'DANIELA LOZANO'!Cantidad_Con_Letra_Promotor</vt:lpstr>
      <vt:lpstr>'DAVID HERNANDEZ'!Cantidad_Con_Letra_Promotor</vt:lpstr>
      <vt:lpstr>'EVELYN VELAZQUEZ'!Cantidad_Con_Letra_Promotor</vt:lpstr>
      <vt:lpstr>'FERNANDA ORNELAS'!Cantidad_Con_Letra_Promotor</vt:lpstr>
      <vt:lpstr>'FRIDA RIVERA'!Cantidad_Con_Letra_Promotor</vt:lpstr>
      <vt:lpstr>'JONATHAN MARTINEZ'!Cantidad_Con_Letra_Promotor</vt:lpstr>
      <vt:lpstr>'JORGE RODRIGUEZ'!Cantidad_Con_Letra_Promotor</vt:lpstr>
      <vt:lpstr>'JOSE FERNÁNDEZ'!Cantidad_Con_Letra_Promotor</vt:lpstr>
      <vt:lpstr>'JOSUE SIERRA'!Cantidad_Con_Letra_Promotor</vt:lpstr>
      <vt:lpstr>'MARIANA SANCHEZ'!Cantidad_Con_Letra_Promotor</vt:lpstr>
      <vt:lpstr>'MINA APARICIO'!Cantidad_Con_Letra_Promotor</vt:lpstr>
      <vt:lpstr>'MIRIAM TADEO'!Cantidad_Con_Letra_Promotor</vt:lpstr>
      <vt:lpstr>'YADIRA VEGA'!Cantidad_Con_Letra_Promotor</vt:lpstr>
      <vt:lpstr>Cantidad_Con_Letra_Promotor</vt:lpstr>
      <vt:lpstr>'BETZANIA MUÑOZ'!Coordinadores_Activos</vt:lpstr>
      <vt:lpstr>'BRYAN CAMPOS'!Coordinadores_Activos</vt:lpstr>
      <vt:lpstr>'DANIELA LOZANO'!Coordinadores_Activos</vt:lpstr>
      <vt:lpstr>'DAVID HERNANDEZ'!Coordinadores_Activos</vt:lpstr>
      <vt:lpstr>'EVELYN VELAZQUEZ'!Coordinadores_Activos</vt:lpstr>
      <vt:lpstr>'FERNANDA ORNELAS'!Coordinadores_Activos</vt:lpstr>
      <vt:lpstr>'FRIDA RIVERA'!Coordinadores_Activos</vt:lpstr>
      <vt:lpstr>'ISAAC GARCIA'!Coordinadores_Activos</vt:lpstr>
      <vt:lpstr>'JONATHAN MARTINEZ'!Coordinadores_Activos</vt:lpstr>
      <vt:lpstr>'JORGE RODRIGUEZ'!Coordinadores_Activos</vt:lpstr>
      <vt:lpstr>'JOSE FERNÁNDEZ'!Coordinadores_Activos</vt:lpstr>
      <vt:lpstr>'JOSUE ALVAREZ'!Coordinadores_Activos</vt:lpstr>
      <vt:lpstr>'JOSUE SIERRA'!Coordinadores_Activos</vt:lpstr>
      <vt:lpstr>'MARIANA SANCHEZ'!Coordinadores_Activos</vt:lpstr>
      <vt:lpstr>'MICHELLE APARICIO'!Coordinadores_Activos</vt:lpstr>
      <vt:lpstr>'MINA APARICIO'!Coordinadores_Activos</vt:lpstr>
      <vt:lpstr>'MIRIAM TADEO'!Coordinadores_Activos</vt:lpstr>
      <vt:lpstr>'YADIRA VEGA'!Coordinadores_Activos</vt:lpstr>
      <vt:lpstr>'YANELY HERNADEZ'!Coordinadores_Activos</vt:lpstr>
      <vt:lpstr>Coordinadores_Activos</vt:lpstr>
      <vt:lpstr>'BETZANIA MUÑOZ'!Cursos</vt:lpstr>
      <vt:lpstr>'BRYAN CAMPOS'!Cursos</vt:lpstr>
      <vt:lpstr>'DANIELA LOZANO'!Cursos</vt:lpstr>
      <vt:lpstr>'DAVID HERNANDEZ'!Cursos</vt:lpstr>
      <vt:lpstr>'EVELYN VELAZQUEZ'!Cursos</vt:lpstr>
      <vt:lpstr>'FERNANDA ORNELAS'!Cursos</vt:lpstr>
      <vt:lpstr>'FRIDA RIVERA'!Cursos</vt:lpstr>
      <vt:lpstr>'ISAAC GARCIA'!Cursos</vt:lpstr>
      <vt:lpstr>'JONATHAN MARTINEZ'!Cursos</vt:lpstr>
      <vt:lpstr>'JORGE RODRIGUEZ'!Cursos</vt:lpstr>
      <vt:lpstr>'JOSE FERNÁNDEZ'!Cursos</vt:lpstr>
      <vt:lpstr>'JOSUE ALVAREZ'!Cursos</vt:lpstr>
      <vt:lpstr>'JOSUE SIERRA'!Cursos</vt:lpstr>
      <vt:lpstr>'MARIANA SANCHEZ'!Cursos</vt:lpstr>
      <vt:lpstr>'MICHELLE APARICIO'!Cursos</vt:lpstr>
      <vt:lpstr>'MINA APARICIO'!Cursos</vt:lpstr>
      <vt:lpstr>'MIRIAM TADEO'!Cursos</vt:lpstr>
      <vt:lpstr>'YADIRA VEGA'!Cursos</vt:lpstr>
      <vt:lpstr>'YANELY HERNADEZ'!Cursos</vt:lpstr>
      <vt:lpstr>Cursos</vt:lpstr>
      <vt:lpstr>'ISAAC GARCIA'!Deduccion_Coordinador</vt:lpstr>
      <vt:lpstr>'JOSUE ALVAREZ'!Deduccion_Coordinador</vt:lpstr>
      <vt:lpstr>'MICHELLE APARICIO'!Deduccion_Coordinador</vt:lpstr>
      <vt:lpstr>'YANELY HERNADEZ'!Deduccion_Coordinador</vt:lpstr>
      <vt:lpstr>Deduccion_Coordinador</vt:lpstr>
      <vt:lpstr>Deduccion_Gerente</vt:lpstr>
      <vt:lpstr>'ISAAC GARCIA'!Descuento_Coordinador</vt:lpstr>
      <vt:lpstr>'JOSUE ALVAREZ'!Descuento_Coordinador</vt:lpstr>
      <vt:lpstr>'MICHELLE APARICIO'!Descuento_Coordinador</vt:lpstr>
      <vt:lpstr>'YANELY HERNADEZ'!Descuento_Coordinador</vt:lpstr>
      <vt:lpstr>Descuento_Coordinador</vt:lpstr>
      <vt:lpstr>Descuento_Gerente</vt:lpstr>
      <vt:lpstr>'BETZANIA MUÑOZ'!Descuento_Promotor</vt:lpstr>
      <vt:lpstr>'BRYAN CAMPOS'!Descuento_Promotor</vt:lpstr>
      <vt:lpstr>'DANIELA LOZANO'!Descuento_Promotor</vt:lpstr>
      <vt:lpstr>'DAVID HERNANDEZ'!Descuento_Promotor</vt:lpstr>
      <vt:lpstr>'EVELYN VELAZQUEZ'!Descuento_Promotor</vt:lpstr>
      <vt:lpstr>'FERNANDA ORNELAS'!Descuento_Promotor</vt:lpstr>
      <vt:lpstr>'FRIDA RIVERA'!Descuento_Promotor</vt:lpstr>
      <vt:lpstr>'JONATHAN MARTINEZ'!Descuento_Promotor</vt:lpstr>
      <vt:lpstr>'JORGE RODRIGUEZ'!Descuento_Promotor</vt:lpstr>
      <vt:lpstr>'JOSE FERNÁNDEZ'!Descuento_Promotor</vt:lpstr>
      <vt:lpstr>'JOSUE SIERRA'!Descuento_Promotor</vt:lpstr>
      <vt:lpstr>'MARIANA SANCHEZ'!Descuento_Promotor</vt:lpstr>
      <vt:lpstr>'MINA APARICIO'!Descuento_Promotor</vt:lpstr>
      <vt:lpstr>'MIRIAM TADEO'!Descuento_Promotor</vt:lpstr>
      <vt:lpstr>'YADIRA VEGA'!Descuento_Promotor</vt:lpstr>
      <vt:lpstr>Descuento_Promotor</vt:lpstr>
      <vt:lpstr>Fecha_de_expedicion</vt:lpstr>
      <vt:lpstr>'BETZANIA MUÑOZ'!Gerencia_de_Coordinadores</vt:lpstr>
      <vt:lpstr>'BRYAN CAMPOS'!Gerencia_de_Coordinadores</vt:lpstr>
      <vt:lpstr>'DANIELA LOZANO'!Gerencia_de_Coordinadores</vt:lpstr>
      <vt:lpstr>'DAVID HERNANDEZ'!Gerencia_de_Coordinadores</vt:lpstr>
      <vt:lpstr>'EVELYN VELAZQUEZ'!Gerencia_de_Coordinadores</vt:lpstr>
      <vt:lpstr>'FERNANDA ORNELAS'!Gerencia_de_Coordinadores</vt:lpstr>
      <vt:lpstr>'FRIDA RIVERA'!Gerencia_de_Coordinadores</vt:lpstr>
      <vt:lpstr>'ISAAC GARCIA'!Gerencia_de_Coordinadores</vt:lpstr>
      <vt:lpstr>'JONATHAN MARTINEZ'!Gerencia_de_Coordinadores</vt:lpstr>
      <vt:lpstr>'JORGE RODRIGUEZ'!Gerencia_de_Coordinadores</vt:lpstr>
      <vt:lpstr>'JOSE FERNÁNDEZ'!Gerencia_de_Coordinadores</vt:lpstr>
      <vt:lpstr>'JOSUE ALVAREZ'!Gerencia_de_Coordinadores</vt:lpstr>
      <vt:lpstr>'JOSUE SIERRA'!Gerencia_de_Coordinadores</vt:lpstr>
      <vt:lpstr>'MARIANA SANCHEZ'!Gerencia_de_Coordinadores</vt:lpstr>
      <vt:lpstr>'MICHELLE APARICIO'!Gerencia_de_Coordinadores</vt:lpstr>
      <vt:lpstr>'MINA APARICIO'!Gerencia_de_Coordinadores</vt:lpstr>
      <vt:lpstr>'MIRIAM TADEO'!Gerencia_de_Coordinadores</vt:lpstr>
      <vt:lpstr>'YADIRA VEGA'!Gerencia_de_Coordinadores</vt:lpstr>
      <vt:lpstr>'YANELY HERNADEZ'!Gerencia_de_Coordinadores</vt:lpstr>
      <vt:lpstr>Gerencia_de_Coordinadores</vt:lpstr>
      <vt:lpstr>'ISAAC GARCIA'!Nombre_Coordinador</vt:lpstr>
      <vt:lpstr>'JOSUE ALVAREZ'!Nombre_Coordinador</vt:lpstr>
      <vt:lpstr>'MICHELLE APARICIO'!Nombre_Coordinador</vt:lpstr>
      <vt:lpstr>'YANELY HERNADEZ'!Nombre_Coordinador</vt:lpstr>
      <vt:lpstr>Nombre_Coordinador</vt:lpstr>
      <vt:lpstr>Nombre_Gerente</vt:lpstr>
      <vt:lpstr>'BETZANIA MUÑOZ'!Nombre_Promotor</vt:lpstr>
      <vt:lpstr>'BRYAN CAMPOS'!Nombre_Promotor</vt:lpstr>
      <vt:lpstr>'DANIELA LOZANO'!Nombre_Promotor</vt:lpstr>
      <vt:lpstr>'DAVID HERNANDEZ'!Nombre_Promotor</vt:lpstr>
      <vt:lpstr>'EVELYN VELAZQUEZ'!Nombre_Promotor</vt:lpstr>
      <vt:lpstr>'FERNANDA ORNELAS'!Nombre_Promotor</vt:lpstr>
      <vt:lpstr>'FRIDA RIVERA'!Nombre_Promotor</vt:lpstr>
      <vt:lpstr>'JONATHAN MARTINEZ'!Nombre_Promotor</vt:lpstr>
      <vt:lpstr>'JORGE RODRIGUEZ'!Nombre_Promotor</vt:lpstr>
      <vt:lpstr>'JOSE FERNÁNDEZ'!Nombre_Promotor</vt:lpstr>
      <vt:lpstr>'JOSUE SIERRA'!Nombre_Promotor</vt:lpstr>
      <vt:lpstr>'MARIANA SANCHEZ'!Nombre_Promotor</vt:lpstr>
      <vt:lpstr>'MINA APARICIO'!Nombre_Promotor</vt:lpstr>
      <vt:lpstr>'MIRIAM TADEO'!Nombre_Promotor</vt:lpstr>
      <vt:lpstr>'YADIRA VEGA'!Nombre_Promotor</vt:lpstr>
      <vt:lpstr>Nombre_Promotor</vt:lpstr>
      <vt:lpstr>'BETZANIA MUÑOZ'!Nombres_Coordinadores</vt:lpstr>
      <vt:lpstr>'BRYAN CAMPOS'!Nombres_Coordinadores</vt:lpstr>
      <vt:lpstr>'DANIELA LOZANO'!Nombres_Coordinadores</vt:lpstr>
      <vt:lpstr>'DAVID HERNANDEZ'!Nombres_Coordinadores</vt:lpstr>
      <vt:lpstr>'EVELYN VELAZQUEZ'!Nombres_Coordinadores</vt:lpstr>
      <vt:lpstr>'FERNANDA ORNELAS'!Nombres_Coordinadores</vt:lpstr>
      <vt:lpstr>'FRIDA RIVERA'!Nombres_Coordinadores</vt:lpstr>
      <vt:lpstr>'ISAAC GARCIA'!Nombres_Coordinadores</vt:lpstr>
      <vt:lpstr>'JONATHAN MARTINEZ'!Nombres_Coordinadores</vt:lpstr>
      <vt:lpstr>'JORGE RODRIGUEZ'!Nombres_Coordinadores</vt:lpstr>
      <vt:lpstr>'JOSE FERNÁNDEZ'!Nombres_Coordinadores</vt:lpstr>
      <vt:lpstr>'JOSUE ALVAREZ'!Nombres_Coordinadores</vt:lpstr>
      <vt:lpstr>'JOSUE SIERRA'!Nombres_Coordinadores</vt:lpstr>
      <vt:lpstr>'MARIANA SANCHEZ'!Nombres_Coordinadores</vt:lpstr>
      <vt:lpstr>'MICHELLE APARICIO'!Nombres_Coordinadores</vt:lpstr>
      <vt:lpstr>'MINA APARICIO'!Nombres_Coordinadores</vt:lpstr>
      <vt:lpstr>'MIRIAM TADEO'!Nombres_Coordinadores</vt:lpstr>
      <vt:lpstr>'YADIRA VEGA'!Nombres_Coordinadores</vt:lpstr>
      <vt:lpstr>'YANELY HERNADEZ'!Nombres_Coordinadores</vt:lpstr>
      <vt:lpstr>Nombres_Coordinadores</vt:lpstr>
      <vt:lpstr>'BETZANIA MUÑOZ'!Nombres_Gerentes</vt:lpstr>
      <vt:lpstr>'BRYAN CAMPOS'!Nombres_Gerentes</vt:lpstr>
      <vt:lpstr>'DANIELA LOZANO'!Nombres_Gerentes</vt:lpstr>
      <vt:lpstr>'DAVID HERNANDEZ'!Nombres_Gerentes</vt:lpstr>
      <vt:lpstr>'EVELYN VELAZQUEZ'!Nombres_Gerentes</vt:lpstr>
      <vt:lpstr>'FERNANDA ORNELAS'!Nombres_Gerentes</vt:lpstr>
      <vt:lpstr>'FRIDA RIVERA'!Nombres_Gerentes</vt:lpstr>
      <vt:lpstr>'ISAAC GARCIA'!Nombres_Gerentes</vt:lpstr>
      <vt:lpstr>'JONATHAN MARTINEZ'!Nombres_Gerentes</vt:lpstr>
      <vt:lpstr>'JORGE RODRIGUEZ'!Nombres_Gerentes</vt:lpstr>
      <vt:lpstr>'JOSE FERNÁNDEZ'!Nombres_Gerentes</vt:lpstr>
      <vt:lpstr>'JOSUE ALVAREZ'!Nombres_Gerentes</vt:lpstr>
      <vt:lpstr>'JOSUE SIERRA'!Nombres_Gerentes</vt:lpstr>
      <vt:lpstr>'MARIANA SANCHEZ'!Nombres_Gerentes</vt:lpstr>
      <vt:lpstr>'MICHELLE APARICIO'!Nombres_Gerentes</vt:lpstr>
      <vt:lpstr>'MINA APARICIO'!Nombres_Gerentes</vt:lpstr>
      <vt:lpstr>'MIRIAM TADEO'!Nombres_Gerentes</vt:lpstr>
      <vt:lpstr>'YADIRA VEGA'!Nombres_Gerentes</vt:lpstr>
      <vt:lpstr>'YANELY HERNADEZ'!Nombres_Gerentes</vt:lpstr>
      <vt:lpstr>Nombres_Gerentes</vt:lpstr>
      <vt:lpstr>'BETZANIA MUÑOZ'!Nombres_Planteles</vt:lpstr>
      <vt:lpstr>'BRYAN CAMPOS'!Nombres_Planteles</vt:lpstr>
      <vt:lpstr>'DANIELA LOZANO'!Nombres_Planteles</vt:lpstr>
      <vt:lpstr>'DAVID HERNANDEZ'!Nombres_Planteles</vt:lpstr>
      <vt:lpstr>'EVELYN VELAZQUEZ'!Nombres_Planteles</vt:lpstr>
      <vt:lpstr>'FERNANDA ORNELAS'!Nombres_Planteles</vt:lpstr>
      <vt:lpstr>'FRIDA RIVERA'!Nombres_Planteles</vt:lpstr>
      <vt:lpstr>'ISAAC GARCIA'!Nombres_Planteles</vt:lpstr>
      <vt:lpstr>'JONATHAN MARTINEZ'!Nombres_Planteles</vt:lpstr>
      <vt:lpstr>'JORGE RODRIGUEZ'!Nombres_Planteles</vt:lpstr>
      <vt:lpstr>'JOSE FERNÁNDEZ'!Nombres_Planteles</vt:lpstr>
      <vt:lpstr>'JOSUE ALVAREZ'!Nombres_Planteles</vt:lpstr>
      <vt:lpstr>'JOSUE SIERRA'!Nombres_Planteles</vt:lpstr>
      <vt:lpstr>'MARIANA SANCHEZ'!Nombres_Planteles</vt:lpstr>
      <vt:lpstr>'MICHELLE APARICIO'!Nombres_Planteles</vt:lpstr>
      <vt:lpstr>'MINA APARICIO'!Nombres_Planteles</vt:lpstr>
      <vt:lpstr>'MIRIAM TADEO'!Nombres_Planteles</vt:lpstr>
      <vt:lpstr>'YADIRA VEGA'!Nombres_Planteles</vt:lpstr>
      <vt:lpstr>'YANELY HERNADEZ'!Nombres_Planteles</vt:lpstr>
      <vt:lpstr>Nombres_Planteles</vt:lpstr>
      <vt:lpstr>'BETZANIA MUÑOZ'!Nombres_Promotores</vt:lpstr>
      <vt:lpstr>'BRYAN CAMPOS'!Nombres_Promotores</vt:lpstr>
      <vt:lpstr>'DANIELA LOZANO'!Nombres_Promotores</vt:lpstr>
      <vt:lpstr>'DAVID HERNANDEZ'!Nombres_Promotores</vt:lpstr>
      <vt:lpstr>'EVELYN VELAZQUEZ'!Nombres_Promotores</vt:lpstr>
      <vt:lpstr>'FERNANDA ORNELAS'!Nombres_Promotores</vt:lpstr>
      <vt:lpstr>'FRIDA RIVERA'!Nombres_Promotores</vt:lpstr>
      <vt:lpstr>'ISAAC GARCIA'!Nombres_Promotores</vt:lpstr>
      <vt:lpstr>'JONATHAN MARTINEZ'!Nombres_Promotores</vt:lpstr>
      <vt:lpstr>'JORGE RODRIGUEZ'!Nombres_Promotores</vt:lpstr>
      <vt:lpstr>'JOSE FERNÁNDEZ'!Nombres_Promotores</vt:lpstr>
      <vt:lpstr>'JOSUE ALVAREZ'!Nombres_Promotores</vt:lpstr>
      <vt:lpstr>'JOSUE SIERRA'!Nombres_Promotores</vt:lpstr>
      <vt:lpstr>'MARIANA SANCHEZ'!Nombres_Promotores</vt:lpstr>
      <vt:lpstr>'MICHELLE APARICIO'!Nombres_Promotores</vt:lpstr>
      <vt:lpstr>'MINA APARICIO'!Nombres_Promotores</vt:lpstr>
      <vt:lpstr>'MIRIAM TADEO'!Nombres_Promotores</vt:lpstr>
      <vt:lpstr>'YADIRA VEGA'!Nombres_Promotores</vt:lpstr>
      <vt:lpstr>'YANELY HERNADEZ'!Nombres_Promotores</vt:lpstr>
      <vt:lpstr>Nombres_Promotores</vt:lpstr>
      <vt:lpstr>Numero_de_semana</vt:lpstr>
      <vt:lpstr>'ISAAC GARCIA'!Pago_Neto_Coordinador</vt:lpstr>
      <vt:lpstr>'JOSUE ALVAREZ'!Pago_Neto_Coordinador</vt:lpstr>
      <vt:lpstr>'MICHELLE APARICIO'!Pago_Neto_Coordinador</vt:lpstr>
      <vt:lpstr>'YANELY HERNADEZ'!Pago_Neto_Coordinador</vt:lpstr>
      <vt:lpstr>Pago_Neto_Coordinador</vt:lpstr>
      <vt:lpstr>Pago_Neto_Gerente</vt:lpstr>
      <vt:lpstr>'BETZANIA MUÑOZ'!Pago_Neto_Promotor</vt:lpstr>
      <vt:lpstr>'BRYAN CAMPOS'!Pago_Neto_Promotor</vt:lpstr>
      <vt:lpstr>'DANIELA LOZANO'!Pago_Neto_Promotor</vt:lpstr>
      <vt:lpstr>'DAVID HERNANDEZ'!Pago_Neto_Promotor</vt:lpstr>
      <vt:lpstr>'EVELYN VELAZQUEZ'!Pago_Neto_Promotor</vt:lpstr>
      <vt:lpstr>'FERNANDA ORNELAS'!Pago_Neto_Promotor</vt:lpstr>
      <vt:lpstr>'FRIDA RIVERA'!Pago_Neto_Promotor</vt:lpstr>
      <vt:lpstr>'JONATHAN MARTINEZ'!Pago_Neto_Promotor</vt:lpstr>
      <vt:lpstr>'JORGE RODRIGUEZ'!Pago_Neto_Promotor</vt:lpstr>
      <vt:lpstr>'JOSE FERNÁNDEZ'!Pago_Neto_Promotor</vt:lpstr>
      <vt:lpstr>'JOSUE SIERRA'!Pago_Neto_Promotor</vt:lpstr>
      <vt:lpstr>'MARIANA SANCHEZ'!Pago_Neto_Promotor</vt:lpstr>
      <vt:lpstr>'MINA APARICIO'!Pago_Neto_Promotor</vt:lpstr>
      <vt:lpstr>'MIRIAM TADEO'!Pago_Neto_Promotor</vt:lpstr>
      <vt:lpstr>'YADIRA VEGA'!Pago_Neto_Promotor</vt:lpstr>
      <vt:lpstr>Pago_Neto_Promotor</vt:lpstr>
      <vt:lpstr>'ISAAC GARCIA'!Pago_Premio_Coordinador</vt:lpstr>
      <vt:lpstr>'JOSUE ALVAREZ'!Pago_Premio_Coordinador</vt:lpstr>
      <vt:lpstr>'MICHELLE APARICIO'!Pago_Premio_Coordinador</vt:lpstr>
      <vt:lpstr>'YANELY HERNADEZ'!Pago_Premio_Coordinador</vt:lpstr>
      <vt:lpstr>Pago_Premio_Coordinador</vt:lpstr>
      <vt:lpstr>Pago_Premio_Gerente</vt:lpstr>
      <vt:lpstr>'BETZANIA MUÑOZ'!Pago_Premio_Promotor</vt:lpstr>
      <vt:lpstr>'BRYAN CAMPOS'!Pago_Premio_Promotor</vt:lpstr>
      <vt:lpstr>'DANIELA LOZANO'!Pago_Premio_Promotor</vt:lpstr>
      <vt:lpstr>'DAVID HERNANDEZ'!Pago_Premio_Promotor</vt:lpstr>
      <vt:lpstr>'EVELYN VELAZQUEZ'!Pago_Premio_Promotor</vt:lpstr>
      <vt:lpstr>'FERNANDA ORNELAS'!Pago_Premio_Promotor</vt:lpstr>
      <vt:lpstr>'FRIDA RIVERA'!Pago_Premio_Promotor</vt:lpstr>
      <vt:lpstr>'JONATHAN MARTINEZ'!Pago_Premio_Promotor</vt:lpstr>
      <vt:lpstr>'JORGE RODRIGUEZ'!Pago_Premio_Promotor</vt:lpstr>
      <vt:lpstr>'JOSE FERNÁNDEZ'!Pago_Premio_Promotor</vt:lpstr>
      <vt:lpstr>'JOSUE SIERRA'!Pago_Premio_Promotor</vt:lpstr>
      <vt:lpstr>'MARIANA SANCHEZ'!Pago_Premio_Promotor</vt:lpstr>
      <vt:lpstr>'MINA APARICIO'!Pago_Premio_Promotor</vt:lpstr>
      <vt:lpstr>'MIRIAM TADEO'!Pago_Premio_Promotor</vt:lpstr>
      <vt:lpstr>'YADIRA VEGA'!Pago_Premio_Promotor</vt:lpstr>
      <vt:lpstr>Pago_Premio_Promotor</vt:lpstr>
      <vt:lpstr>'ISAAC GARCIA'!Pago_Subtotal_Coordinador</vt:lpstr>
      <vt:lpstr>'JOSUE ALVAREZ'!Pago_Subtotal_Coordinador</vt:lpstr>
      <vt:lpstr>'MICHELLE APARICIO'!Pago_Subtotal_Coordinador</vt:lpstr>
      <vt:lpstr>'YANELY HERNADEZ'!Pago_Subtotal_Coordinador</vt:lpstr>
      <vt:lpstr>Pago_Subtotal_Coordinador</vt:lpstr>
      <vt:lpstr>Pago_Subtotal_Gerente</vt:lpstr>
      <vt:lpstr>'BETZANIA MUÑOZ'!Pago_Subtotal_Promotor</vt:lpstr>
      <vt:lpstr>'BRYAN CAMPOS'!Pago_Subtotal_Promotor</vt:lpstr>
      <vt:lpstr>'DANIELA LOZANO'!Pago_Subtotal_Promotor</vt:lpstr>
      <vt:lpstr>'DAVID HERNANDEZ'!Pago_Subtotal_Promotor</vt:lpstr>
      <vt:lpstr>'EVELYN VELAZQUEZ'!Pago_Subtotal_Promotor</vt:lpstr>
      <vt:lpstr>'FERNANDA ORNELAS'!Pago_Subtotal_Promotor</vt:lpstr>
      <vt:lpstr>'FRIDA RIVERA'!Pago_Subtotal_Promotor</vt:lpstr>
      <vt:lpstr>'JONATHAN MARTINEZ'!Pago_Subtotal_Promotor</vt:lpstr>
      <vt:lpstr>'JORGE RODRIGUEZ'!Pago_Subtotal_Promotor</vt:lpstr>
      <vt:lpstr>'JOSE FERNÁNDEZ'!Pago_Subtotal_Promotor</vt:lpstr>
      <vt:lpstr>'JOSUE SIERRA'!Pago_Subtotal_Promotor</vt:lpstr>
      <vt:lpstr>'MARIANA SANCHEZ'!Pago_Subtotal_Promotor</vt:lpstr>
      <vt:lpstr>'MINA APARICIO'!Pago_Subtotal_Promotor</vt:lpstr>
      <vt:lpstr>'MIRIAM TADEO'!Pago_Subtotal_Promotor</vt:lpstr>
      <vt:lpstr>'YADIRA VEGA'!Pago_Subtotal_Promotor</vt:lpstr>
      <vt:lpstr>Pago_Subtotal_Promotor</vt:lpstr>
      <vt:lpstr>'ISAAC GARCIA'!Pago_Sueldo_Base_Coordinador</vt:lpstr>
      <vt:lpstr>'JOSUE ALVAREZ'!Pago_Sueldo_Base_Coordinador</vt:lpstr>
      <vt:lpstr>'MICHELLE APARICIO'!Pago_Sueldo_Base_Coordinador</vt:lpstr>
      <vt:lpstr>'YANELY HERNADEZ'!Pago_Sueldo_Base_Coordinador</vt:lpstr>
      <vt:lpstr>Pago_Sueldo_Base_Coordinador</vt:lpstr>
      <vt:lpstr>Pago_Sueldo_Base_Gerente</vt:lpstr>
      <vt:lpstr>'BETZANIA MUÑOZ'!Pago_Sueldo_Base_Promotor</vt:lpstr>
      <vt:lpstr>'BRYAN CAMPOS'!Pago_Sueldo_Base_Promotor</vt:lpstr>
      <vt:lpstr>'DANIELA LOZANO'!Pago_Sueldo_Base_Promotor</vt:lpstr>
      <vt:lpstr>'DAVID HERNANDEZ'!Pago_Sueldo_Base_Promotor</vt:lpstr>
      <vt:lpstr>'EVELYN VELAZQUEZ'!Pago_Sueldo_Base_Promotor</vt:lpstr>
      <vt:lpstr>'FERNANDA ORNELAS'!Pago_Sueldo_Base_Promotor</vt:lpstr>
      <vt:lpstr>'FRIDA RIVERA'!Pago_Sueldo_Base_Promotor</vt:lpstr>
      <vt:lpstr>'JONATHAN MARTINEZ'!Pago_Sueldo_Base_Promotor</vt:lpstr>
      <vt:lpstr>'JORGE RODRIGUEZ'!Pago_Sueldo_Base_Promotor</vt:lpstr>
      <vt:lpstr>'JOSE FERNÁNDEZ'!Pago_Sueldo_Base_Promotor</vt:lpstr>
      <vt:lpstr>'JOSUE SIERRA'!Pago_Sueldo_Base_Promotor</vt:lpstr>
      <vt:lpstr>'MARIANA SANCHEZ'!Pago_Sueldo_Base_Promotor</vt:lpstr>
      <vt:lpstr>'MINA APARICIO'!Pago_Sueldo_Base_Promotor</vt:lpstr>
      <vt:lpstr>'MIRIAM TADEO'!Pago_Sueldo_Base_Promotor</vt:lpstr>
      <vt:lpstr>'YADIRA VEGA'!Pago_Sueldo_Base_Promotor</vt:lpstr>
      <vt:lpstr>Pago_Sueldo_Base_Promotor</vt:lpstr>
      <vt:lpstr>Periodo_de_pago_final</vt:lpstr>
      <vt:lpstr>Periodo_De_Pago_Final_Gerente</vt:lpstr>
      <vt:lpstr>Periodo_de_pago_inicial</vt:lpstr>
      <vt:lpstr>Periodo_De_Pago_Inicial_Gerente</vt:lpstr>
      <vt:lpstr>'ISAAC GARCIA'!Premio_Coordinador</vt:lpstr>
      <vt:lpstr>'JOSUE ALVAREZ'!Premio_Coordinador</vt:lpstr>
      <vt:lpstr>'MICHELLE APARICIO'!Premio_Coordinador</vt:lpstr>
      <vt:lpstr>'YANELY HERNADEZ'!Premio_Coordinador</vt:lpstr>
      <vt:lpstr>Premio_Coordinador</vt:lpstr>
      <vt:lpstr>Premio_Gerente</vt:lpstr>
      <vt:lpstr>'BETZANIA MUÑOZ'!Premio_Promotor</vt:lpstr>
      <vt:lpstr>'BRYAN CAMPOS'!Premio_Promotor</vt:lpstr>
      <vt:lpstr>'DANIELA LOZANO'!Premio_Promotor</vt:lpstr>
      <vt:lpstr>'DAVID HERNANDEZ'!Premio_Promotor</vt:lpstr>
      <vt:lpstr>'EVELYN VELAZQUEZ'!Premio_Promotor</vt:lpstr>
      <vt:lpstr>'FERNANDA ORNELAS'!Premio_Promotor</vt:lpstr>
      <vt:lpstr>'FRIDA RIVERA'!Premio_Promotor</vt:lpstr>
      <vt:lpstr>'JONATHAN MARTINEZ'!Premio_Promotor</vt:lpstr>
      <vt:lpstr>'JORGE RODRIGUEZ'!Premio_Promotor</vt:lpstr>
      <vt:lpstr>'JOSE FERNÁNDEZ'!Premio_Promotor</vt:lpstr>
      <vt:lpstr>'JOSUE SIERRA'!Premio_Promotor</vt:lpstr>
      <vt:lpstr>'MARIANA SANCHEZ'!Premio_Promotor</vt:lpstr>
      <vt:lpstr>'MINA APARICIO'!Premio_Promotor</vt:lpstr>
      <vt:lpstr>'MIRIAM TADEO'!Premio_Promotor</vt:lpstr>
      <vt:lpstr>'YADIRA VEGA'!Premio_Promotor</vt:lpstr>
      <vt:lpstr>Premio_Promotor</vt:lpstr>
      <vt:lpstr>'ISAAC GARCIA'!Puesto_Coordinador</vt:lpstr>
      <vt:lpstr>'JOSUE ALVAREZ'!Puesto_Coordinador</vt:lpstr>
      <vt:lpstr>'MICHELLE APARICIO'!Puesto_Coordinador</vt:lpstr>
      <vt:lpstr>'YANELY HERNADEZ'!Puesto_Coordinador</vt:lpstr>
      <vt:lpstr>Puesto_Coordinador</vt:lpstr>
      <vt:lpstr>Puesto_Gerente</vt:lpstr>
      <vt:lpstr>'BETZANIA MUÑOZ'!Puesto_Promotor</vt:lpstr>
      <vt:lpstr>'BRYAN CAMPOS'!Puesto_Promotor</vt:lpstr>
      <vt:lpstr>'DANIELA LOZANO'!Puesto_Promotor</vt:lpstr>
      <vt:lpstr>'DAVID HERNANDEZ'!Puesto_Promotor</vt:lpstr>
      <vt:lpstr>'EVELYN VELAZQUEZ'!Puesto_Promotor</vt:lpstr>
      <vt:lpstr>'FERNANDA ORNELAS'!Puesto_Promotor</vt:lpstr>
      <vt:lpstr>'FRIDA RIVERA'!Puesto_Promotor</vt:lpstr>
      <vt:lpstr>'JONATHAN MARTINEZ'!Puesto_Promotor</vt:lpstr>
      <vt:lpstr>'JORGE RODRIGUEZ'!Puesto_Promotor</vt:lpstr>
      <vt:lpstr>'JOSE FERNÁNDEZ'!Puesto_Promotor</vt:lpstr>
      <vt:lpstr>'JOSUE SIERRA'!Puesto_Promotor</vt:lpstr>
      <vt:lpstr>'MARIANA SANCHEZ'!Puesto_Promotor</vt:lpstr>
      <vt:lpstr>'MINA APARICIO'!Puesto_Promotor</vt:lpstr>
      <vt:lpstr>'MIRIAM TADEO'!Puesto_Promotor</vt:lpstr>
      <vt:lpstr>'YADIRA VEGA'!Puesto_Promotor</vt:lpstr>
      <vt:lpstr>Puesto_Promotor</vt:lpstr>
      <vt:lpstr>'BETZANIA MUÑOZ'!Puestos</vt:lpstr>
      <vt:lpstr>'BRYAN CAMPOS'!Puestos</vt:lpstr>
      <vt:lpstr>'DANIELA LOZANO'!Puestos</vt:lpstr>
      <vt:lpstr>'DAVID HERNANDEZ'!Puestos</vt:lpstr>
      <vt:lpstr>'EVELYN VELAZQUEZ'!Puestos</vt:lpstr>
      <vt:lpstr>'FERNANDA ORNELAS'!Puestos</vt:lpstr>
      <vt:lpstr>'FRIDA RIVERA'!Puestos</vt:lpstr>
      <vt:lpstr>'ISAAC GARCIA'!Puestos</vt:lpstr>
      <vt:lpstr>'JONATHAN MARTINEZ'!Puestos</vt:lpstr>
      <vt:lpstr>'JORGE RODRIGUEZ'!Puestos</vt:lpstr>
      <vt:lpstr>'JOSE FERNÁNDEZ'!Puestos</vt:lpstr>
      <vt:lpstr>'JOSUE ALVAREZ'!Puestos</vt:lpstr>
      <vt:lpstr>'JOSUE SIERRA'!Puestos</vt:lpstr>
      <vt:lpstr>'MARIANA SANCHEZ'!Puestos</vt:lpstr>
      <vt:lpstr>'MICHELLE APARICIO'!Puestos</vt:lpstr>
      <vt:lpstr>'MINA APARICIO'!Puestos</vt:lpstr>
      <vt:lpstr>'MIRIAM TADEO'!Puestos</vt:lpstr>
      <vt:lpstr>'YADIRA VEGA'!Puestos</vt:lpstr>
      <vt:lpstr>'YANELY HERNADEZ'!Puestos</vt:lpstr>
      <vt:lpstr>Puestos</vt:lpstr>
      <vt:lpstr>Razon_Social</vt:lpstr>
      <vt:lpstr>'BETZANIA MUÑOZ'!Razones_Sociales</vt:lpstr>
      <vt:lpstr>'BRYAN CAMPOS'!Razones_Sociales</vt:lpstr>
      <vt:lpstr>'DANIELA LOZANO'!Razones_Sociales</vt:lpstr>
      <vt:lpstr>'DAVID HERNANDEZ'!Razones_Sociales</vt:lpstr>
      <vt:lpstr>'EVELYN VELAZQUEZ'!Razones_Sociales</vt:lpstr>
      <vt:lpstr>'FERNANDA ORNELAS'!Razones_Sociales</vt:lpstr>
      <vt:lpstr>'FRIDA RIVERA'!Razones_Sociales</vt:lpstr>
      <vt:lpstr>'ISAAC GARCIA'!Razones_Sociales</vt:lpstr>
      <vt:lpstr>'JONATHAN MARTINEZ'!Razones_Sociales</vt:lpstr>
      <vt:lpstr>'JORGE RODRIGUEZ'!Razones_Sociales</vt:lpstr>
      <vt:lpstr>'JOSE FERNÁNDEZ'!Razones_Sociales</vt:lpstr>
      <vt:lpstr>'JOSUE ALVAREZ'!Razones_Sociales</vt:lpstr>
      <vt:lpstr>'JOSUE SIERRA'!Razones_Sociales</vt:lpstr>
      <vt:lpstr>'MARIANA SANCHEZ'!Razones_Sociales</vt:lpstr>
      <vt:lpstr>'MICHELLE APARICIO'!Razones_Sociales</vt:lpstr>
      <vt:lpstr>'MINA APARICIO'!Razones_Sociales</vt:lpstr>
      <vt:lpstr>'MIRIAM TADEO'!Razones_Sociales</vt:lpstr>
      <vt:lpstr>'YADIRA VEGA'!Razones_Sociales</vt:lpstr>
      <vt:lpstr>'YANELY HERNADEZ'!Razones_Sociales</vt:lpstr>
      <vt:lpstr>Razones_Sociales</vt:lpstr>
      <vt:lpstr>Sueldo_Base_Coordinador</vt:lpstr>
      <vt:lpstr>Sueldo_Base_Gerente</vt:lpstr>
      <vt:lpstr>Total_De_La_Gerencia</vt:lpstr>
      <vt:lpstr>'ISAAC GARCIA'!Total_Registros_Coordinador</vt:lpstr>
      <vt:lpstr>'JOSUE ALVAREZ'!Total_Registros_Coordinador</vt:lpstr>
      <vt:lpstr>'MICHELLE APARICIO'!Total_Registros_Coordinador</vt:lpstr>
      <vt:lpstr>'YANELY HERNADEZ'!Total_Registros_Coordinador</vt:lpstr>
      <vt:lpstr>Total_Registros_Coordinador</vt:lpstr>
      <vt:lpstr>Total_Registros_Gerente</vt:lpstr>
      <vt:lpstr>'BETZANIA MUÑOZ'!Total_Registros_Promotor</vt:lpstr>
      <vt:lpstr>'BRYAN CAMPOS'!Total_Registros_Promotor</vt:lpstr>
      <vt:lpstr>'DANIELA LOZANO'!Total_Registros_Promotor</vt:lpstr>
      <vt:lpstr>'DAVID HERNANDEZ'!Total_Registros_Promotor</vt:lpstr>
      <vt:lpstr>'EVELYN VELAZQUEZ'!Total_Registros_Promotor</vt:lpstr>
      <vt:lpstr>'FERNANDA ORNELAS'!Total_Registros_Promotor</vt:lpstr>
      <vt:lpstr>'FRIDA RIVERA'!Total_Registros_Promotor</vt:lpstr>
      <vt:lpstr>'JONATHAN MARTINEZ'!Total_Registros_Promotor</vt:lpstr>
      <vt:lpstr>'JORGE RODRIGUEZ'!Total_Registros_Promotor</vt:lpstr>
      <vt:lpstr>'JOSE FERNÁNDEZ'!Total_Registros_Promotor</vt:lpstr>
      <vt:lpstr>'JOSUE SIERRA'!Total_Registros_Promotor</vt:lpstr>
      <vt:lpstr>'MARIANA SANCHEZ'!Total_Registros_Promotor</vt:lpstr>
      <vt:lpstr>'MINA APARICIO'!Total_Registros_Promotor</vt:lpstr>
      <vt:lpstr>'MIRIAM TADEO'!Total_Registros_Promotor</vt:lpstr>
      <vt:lpstr>'YADIRA VEGA'!Total_Registros_Promotor</vt:lpstr>
      <vt:lpstr>Total_Registros_Promotor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RH-1</dc:creator>
  <cp:lastModifiedBy>Juan Garcia</cp:lastModifiedBy>
  <cp:lastPrinted>2025-03-29T16:25:03Z</cp:lastPrinted>
  <dcterms:created xsi:type="dcterms:W3CDTF">2020-02-08T17:47:59Z</dcterms:created>
  <dcterms:modified xsi:type="dcterms:W3CDTF">2025-04-16T03:52:15Z</dcterms:modified>
</cp:coreProperties>
</file>