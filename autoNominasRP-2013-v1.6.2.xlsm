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Excel CorpW\Test\"/>
    </mc:Choice>
  </mc:AlternateContent>
  <xr:revisionPtr revIDLastSave="0" documentId="13_ncr:1_{522B84F7-A20E-4A90-8136-53A77FAE367F}" xr6:coauthVersionLast="47" xr6:coauthVersionMax="47" xr10:uidLastSave="{00000000-0000-0000-0000-000000000000}"/>
  <bookViews>
    <workbookView xWindow="33300" yWindow="5325" windowWidth="34500" windowHeight="21000" firstSheet="9" activeTab="12" xr2:uid="{00000000-000D-0000-FFFF-FFFF00000000}"/>
  </bookViews>
  <sheets>
    <sheet name="Premios" sheetId="3" state="hidden" r:id="rId1"/>
    <sheet name="Planteles" sheetId="6" state="hidden" r:id="rId2"/>
    <sheet name="Tabuladores" sheetId="1" state="hidden" r:id="rId3"/>
    <sheet name="Colaboradores" sheetId="11" state="hidden" r:id="rId4"/>
    <sheet name="Ejemplo Coordinacion" sheetId="7" state="hidden" r:id="rId5"/>
    <sheet name="Ejemplo Promotor" sheetId="8" state="hidden" r:id="rId6"/>
    <sheet name="PEDRO MORA" sheetId="5" r:id="rId7"/>
    <sheet name="MARIANA PACHECO" sheetId="21" r:id="rId8"/>
    <sheet name="FATIMA HERNANDEZ" sheetId="26" r:id="rId9"/>
    <sheet name="PEDRO MORA (P)" sheetId="25" r:id="rId10"/>
    <sheet name="LIZBETH RAMOS" sheetId="24" r:id="rId11"/>
    <sheet name="EUNICE RAMOS" sheetId="23" r:id="rId12"/>
    <sheet name="OLIVIA PACHECO" sheetId="22" r:id="rId13"/>
    <sheet name="EFRAIN CORTES" sheetId="30" r:id="rId14"/>
    <sheet name="DAMIAN BRAVO" sheetId="29" r:id="rId15"/>
    <sheet name="HUGO PACHECO" sheetId="28" r:id="rId16"/>
    <sheet name="ENRIQUE OJEDA" sheetId="27" r:id="rId17"/>
  </sheets>
  <functionGroups builtInGroupCount="19"/>
  <externalReferences>
    <externalReference r:id="rId18"/>
  </externalReferences>
  <definedNames>
    <definedName name="_xlnm._FilterDatabase" localSheetId="6" hidden="1">'PEDRO MORA'!$A$7:$L$7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 localSheetId="14">Coordinadores[ALIAS]</definedName>
    <definedName name="Alias_Coordinadores" localSheetId="13">Coordinadores[ALIAS]</definedName>
    <definedName name="Alias_Coordinadores" localSheetId="16">Coordinadores[ALIAS]</definedName>
    <definedName name="Alias_Coordinadores" localSheetId="11">Coordinadores[ALIAS]</definedName>
    <definedName name="Alias_Coordinadores" localSheetId="8">Coordinadores[ALIAS]</definedName>
    <definedName name="Alias_Coordinadores" localSheetId="15">Coordinadores[ALIAS]</definedName>
    <definedName name="Alias_Coordinadores" localSheetId="10">Coordinadores[ALIAS]</definedName>
    <definedName name="Alias_Coordinadores" localSheetId="7">Coordinadores[ALIAS]</definedName>
    <definedName name="Alias_Coordinadores" localSheetId="12">Coordinadores[ALIAS]</definedName>
    <definedName name="Alias_Coordinadores" localSheetId="9">Coordinadores[ALIAS]</definedName>
    <definedName name="Alias_Coordinadores">Coordinadores[ALIAS]</definedName>
    <definedName name="Alias_Gerentes" localSheetId="14">Gerentes[ALIAS]</definedName>
    <definedName name="Alias_Gerentes" localSheetId="13">Gerentes[ALIAS]</definedName>
    <definedName name="Alias_Gerentes" localSheetId="16">Gerentes[ALIAS]</definedName>
    <definedName name="Alias_Gerentes" localSheetId="11">Gerentes[ALIAS]</definedName>
    <definedName name="Alias_Gerentes" localSheetId="8">Gerentes[ALIAS]</definedName>
    <definedName name="Alias_Gerentes" localSheetId="15">Gerentes[ALIAS]</definedName>
    <definedName name="Alias_Gerentes" localSheetId="10">Gerentes[ALIAS]</definedName>
    <definedName name="Alias_Gerentes" localSheetId="7">Gerentes[ALIAS]</definedName>
    <definedName name="Alias_Gerentes" localSheetId="12">Gerentes[ALIAS]</definedName>
    <definedName name="Alias_Gerentes" localSheetId="9">Gerentes[ALIAS]</definedName>
    <definedName name="Alias_Gerentes">Gerentes[ALIAS]</definedName>
    <definedName name="Alias_Lookup" localSheetId="14">Promotores[[ALIAS]:[COORDINACION]]</definedName>
    <definedName name="Alias_Lookup" localSheetId="13">Promotores[[ALIAS]:[COORDINACION]]</definedName>
    <definedName name="Alias_Lookup" localSheetId="16">Promotores[[ALIAS]:[COORDINACION]]</definedName>
    <definedName name="Alias_Lookup" localSheetId="11">Promotores[[ALIAS]:[COORDINACION]]</definedName>
    <definedName name="Alias_Lookup" localSheetId="8">Promotores[[ALIAS]:[COORDINACION]]</definedName>
    <definedName name="Alias_Lookup" localSheetId="15">Promotores[[ALIAS]:[COORDINACION]]</definedName>
    <definedName name="Alias_Lookup" localSheetId="10">Promotores[[ALIAS]:[COORDINACION]]</definedName>
    <definedName name="Alias_Lookup" localSheetId="7">Promotores[[ALIAS]:[COORDINACION]]</definedName>
    <definedName name="Alias_Lookup" localSheetId="12">Promotores[[ALIAS]:[COORDINACION]]</definedName>
    <definedName name="Alias_Lookup" localSheetId="9">Promotores[[ALIAS]:[COORDINACION]]</definedName>
    <definedName name="Alias_Lookup">Promotores[[ALIAS]:[COORDINACION]]</definedName>
    <definedName name="Alias_Promotores" localSheetId="14">Promotores[ALIAS]</definedName>
    <definedName name="Alias_Promotores" localSheetId="13">Promotores[ALIAS]</definedName>
    <definedName name="Alias_Promotores" localSheetId="16">Promotores[ALIAS]</definedName>
    <definedName name="Alias_Promotores" localSheetId="11">Promotores[ALIAS]</definedName>
    <definedName name="Alias_Promotores" localSheetId="8">Promotores[ALIAS]</definedName>
    <definedName name="Alias_Promotores" localSheetId="15">Promotores[ALIAS]</definedName>
    <definedName name="Alias_Promotores" localSheetId="10">Promotores[ALIAS]</definedName>
    <definedName name="Alias_Promotores" localSheetId="7">Promotores[ALIAS]</definedName>
    <definedName name="Alias_Promotores" localSheetId="12">Promotores[ALIAS]</definedName>
    <definedName name="Alias_Promotores" localSheetId="9">Promotores[ALIAS]</definedName>
    <definedName name="Alias_Promotores">Promotores[ALIAS]</definedName>
    <definedName name="Cantidad_Con_Letra_Coordinador" localSheetId="7">'MARIANA PACHECO'!$D$50</definedName>
    <definedName name="Cantidad_Con_Letra_Coordinador" localSheetId="12">'OLIVIA PACHECO'!$D$49</definedName>
    <definedName name="Cantidad_Con_Letra_Coordinador">'Ejemplo Coordinacion'!$D$20</definedName>
    <definedName name="Cantidad_Con_Letra_Gerente">'PEDRO MORA'!$D$80</definedName>
    <definedName name="Cantidad_Con_Letra_Promotor" localSheetId="14">'DAMIAN BRAVO'!$D$24</definedName>
    <definedName name="Cantidad_Con_Letra_Promotor" localSheetId="13">'EFRAIN CORTES'!$D$28</definedName>
    <definedName name="Cantidad_Con_Letra_Promotor" localSheetId="16">'ENRIQUE OJEDA'!$D$27</definedName>
    <definedName name="Cantidad_Con_Letra_Promotor" localSheetId="11">'EUNICE RAMOS'!$D$34</definedName>
    <definedName name="Cantidad_Con_Letra_Promotor" localSheetId="8">'FATIMA HERNANDEZ'!$D$25</definedName>
    <definedName name="Cantidad_Con_Letra_Promotor" localSheetId="15">'HUGO PACHECO'!$D$23</definedName>
    <definedName name="Cantidad_Con_Letra_Promotor" localSheetId="10">'LIZBETH RAMOS'!$D$22</definedName>
    <definedName name="Cantidad_Con_Letra_Promotor" localSheetId="9">'PEDRO MORA (P)'!$D$22</definedName>
    <definedName name="Cantidad_Con_Letra_Promotor">'Ejemplo Promotor'!$D$19</definedName>
    <definedName name="Coordinadores_Activos">'PEDRO MORA'!$Q$2:$Q$21</definedName>
    <definedName name="Deduccion_Coordinador" localSheetId="7">'MARIANA PACHECO'!$D$46</definedName>
    <definedName name="Deduccion_Coordinador" localSheetId="12">'OLIVIA PACHECO'!$D$45</definedName>
    <definedName name="Deduccion_Coordinador">'Ejemplo Coordinacion'!$D$16</definedName>
    <definedName name="Deduccion_Gerente">'PEDRO MORA'!$D$75</definedName>
    <definedName name="Descuento_Coordinador" localSheetId="7">'MARIANA PACHECO'!$D$45</definedName>
    <definedName name="Descuento_Coordinador" localSheetId="12">'OLIVIA PACHECO'!$D$44</definedName>
    <definedName name="Descuento_Coordinador">'Ejemplo Coordinacion'!$D$15</definedName>
    <definedName name="Descuento_Gerente">'PEDRO MORA'!$D$74</definedName>
    <definedName name="Descuento_Promotor" localSheetId="14">'DAMIAN BRAVO'!$D$20</definedName>
    <definedName name="Descuento_Promotor" localSheetId="13">'EFRAIN CORTES'!$D$24</definedName>
    <definedName name="Descuento_Promotor" localSheetId="16">'ENRIQUE OJEDA'!$D$23</definedName>
    <definedName name="Descuento_Promotor" localSheetId="11">'EUNICE RAMOS'!$D$30</definedName>
    <definedName name="Descuento_Promotor" localSheetId="8">'FATIMA HERNANDEZ'!$D$21</definedName>
    <definedName name="Descuento_Promotor" localSheetId="15">'HUGO PACHECO'!$D$19</definedName>
    <definedName name="Descuento_Promotor" localSheetId="10">'LIZBETH RAMOS'!$D$18</definedName>
    <definedName name="Descuento_Promotor" localSheetId="9">'PEDRO MORA (P)'!$D$18</definedName>
    <definedName name="Descuento_Promotor">'Ejemplo Promotor'!$D$15</definedName>
    <definedName name="Fecha_de_expedicion">'PEDRO MORA'!$B$6</definedName>
    <definedName name="FilteredPromotores">OFFSET([1]Sheet1!$Z$9, 0, 0, COUNTA([1]Sheet1!$Z:$Z), 1)</definedName>
    <definedName name="Gerencia_de_Coordinadores" localSheetId="14">Coordinadores[GERENCIA]</definedName>
    <definedName name="Gerencia_de_Coordinadores" localSheetId="13">Coordinadores[GERENCIA]</definedName>
    <definedName name="Gerencia_de_Coordinadores" localSheetId="16">Coordinadores[GERENCIA]</definedName>
    <definedName name="Gerencia_de_Coordinadores" localSheetId="11">Coordinadores[GERENCIA]</definedName>
    <definedName name="Gerencia_de_Coordinadores" localSheetId="8">Coordinadores[GERENCIA]</definedName>
    <definedName name="Gerencia_de_Coordinadores" localSheetId="15">Coordinadores[GERENCIA]</definedName>
    <definedName name="Gerencia_de_Coordinadores" localSheetId="10">Coordinadores[GERENCIA]</definedName>
    <definedName name="Gerencia_de_Coordinadores" localSheetId="7">Coordinadores[GERENCIA]</definedName>
    <definedName name="Gerencia_de_Coordinadores" localSheetId="12">Coordinadores[GERENCIA]</definedName>
    <definedName name="Gerencia_de_Coordinadores" localSheetId="9">Coordinadores[GERENCIA]</definedName>
    <definedName name="Gerencia_de_Coordinadores">Coordinadores[GERENCIA]</definedName>
    <definedName name="Nombre_Coordinador" localSheetId="7">'MARIANA PACHECO'!$B$1</definedName>
    <definedName name="Nombre_Coordinador" localSheetId="12">'OLIVIA PACHECO'!$B$1</definedName>
    <definedName name="Nombre_Coordinador">'Ejemplo Coordinacion'!$B$1</definedName>
    <definedName name="Nombre_Gerente">'PEDRO MORA'!$B$1</definedName>
    <definedName name="Nombre_Promotor" localSheetId="14">'DAMIAN BRAVO'!$B$1</definedName>
    <definedName name="Nombre_Promotor" localSheetId="13">'EFRAIN CORTES'!$B$1</definedName>
    <definedName name="Nombre_Promotor" localSheetId="16">'ENRIQUE OJEDA'!$B$1</definedName>
    <definedName name="Nombre_Promotor" localSheetId="11">'EUNICE RAMOS'!$B$1</definedName>
    <definedName name="Nombre_Promotor" localSheetId="8">'FATIMA HERNANDEZ'!$B$1</definedName>
    <definedName name="Nombre_Promotor" localSheetId="15">'HUGO PACHECO'!$B$1</definedName>
    <definedName name="Nombre_Promotor" localSheetId="10">'LIZBETH RAMOS'!$B$1</definedName>
    <definedName name="Nombre_Promotor" localSheetId="9">'PEDRO MORA (P)'!$B$1</definedName>
    <definedName name="Nombre_Promotor">'Ejemplo Promotor'!$B$1</definedName>
    <definedName name="Nombres_Coordinadores" localSheetId="14">Coordinadores[NOMBRE]</definedName>
    <definedName name="Nombres_Coordinadores" localSheetId="13">Coordinadores[NOMBRE]</definedName>
    <definedName name="Nombres_Coordinadores" localSheetId="16">Coordinadores[NOMBRE]</definedName>
    <definedName name="Nombres_Coordinadores" localSheetId="11">Coordinadores[NOMBRE]</definedName>
    <definedName name="Nombres_Coordinadores" localSheetId="8">Coordinadores[NOMBRE]</definedName>
    <definedName name="Nombres_Coordinadores" localSheetId="15">Coordinadores[NOMBRE]</definedName>
    <definedName name="Nombres_Coordinadores" localSheetId="10">Coordinadores[NOMBRE]</definedName>
    <definedName name="Nombres_Coordinadores" localSheetId="7">Coordinadores[NOMBRE]</definedName>
    <definedName name="Nombres_Coordinadores" localSheetId="12">Coordinadores[NOMBRE]</definedName>
    <definedName name="Nombres_Coordinadores" localSheetId="9">Coordinadores[NOMBRE]</definedName>
    <definedName name="Nombres_Coordinadores">Coordinadores[NOMBRE]</definedName>
    <definedName name="Nombres_Gerentes" localSheetId="14">Gerentes[NOMBRE]</definedName>
    <definedName name="Nombres_Gerentes" localSheetId="13">Gerentes[NOMBRE]</definedName>
    <definedName name="Nombres_Gerentes" localSheetId="16">Gerentes[NOMBRE]</definedName>
    <definedName name="Nombres_Gerentes" localSheetId="11">Gerentes[NOMBRE]</definedName>
    <definedName name="Nombres_Gerentes" localSheetId="8">Gerentes[NOMBRE]</definedName>
    <definedName name="Nombres_Gerentes" localSheetId="15">Gerentes[NOMBRE]</definedName>
    <definedName name="Nombres_Gerentes" localSheetId="10">Gerentes[NOMBRE]</definedName>
    <definedName name="Nombres_Gerentes" localSheetId="7">Gerentes[NOMBRE]</definedName>
    <definedName name="Nombres_Gerentes" localSheetId="12">Gerentes[NOMBRE]</definedName>
    <definedName name="Nombres_Gerentes" localSheetId="9">Gerentes[NOMBRE]</definedName>
    <definedName name="Nombres_Gerentes">Gerentes[NOMBRE]</definedName>
    <definedName name="Nombres_Planteles" localSheetId="14">Planteles[Nombre]</definedName>
    <definedName name="Nombres_Planteles" localSheetId="13">Planteles[Nombre]</definedName>
    <definedName name="Nombres_Planteles" localSheetId="16">Planteles[Nombre]</definedName>
    <definedName name="Nombres_Planteles" localSheetId="11">Planteles[Nombre]</definedName>
    <definedName name="Nombres_Planteles" localSheetId="8">Planteles[Nombre]</definedName>
    <definedName name="Nombres_Planteles" localSheetId="15">Planteles[Nombre]</definedName>
    <definedName name="Nombres_Planteles" localSheetId="10">Planteles[Nombre]</definedName>
    <definedName name="Nombres_Planteles" localSheetId="7">Planteles[Nombre]</definedName>
    <definedName name="Nombres_Planteles" localSheetId="12">Planteles[Nombre]</definedName>
    <definedName name="Nombres_Planteles" localSheetId="9">Planteles[Nombre]</definedName>
    <definedName name="Nombres_Planteles">Planteles[Nombre]</definedName>
    <definedName name="Nombres_Promotores" localSheetId="14">Promotores[NOMBRE]</definedName>
    <definedName name="Nombres_Promotores" localSheetId="13">Promotores[NOMBRE]</definedName>
    <definedName name="Nombres_Promotores" localSheetId="16">Promotores[NOMBRE]</definedName>
    <definedName name="Nombres_Promotores" localSheetId="11">Promotores[NOMBRE]</definedName>
    <definedName name="Nombres_Promotores" localSheetId="8">Promotores[NOMBRE]</definedName>
    <definedName name="Nombres_Promotores" localSheetId="15">Promotores[NOMBRE]</definedName>
    <definedName name="Nombres_Promotores" localSheetId="10">Promotores[NOMBRE]</definedName>
    <definedName name="Nombres_Promotores" localSheetId="7">Promotores[NOMBRE]</definedName>
    <definedName name="Nombres_Promotores" localSheetId="12">Promotores[NOMBRE]</definedName>
    <definedName name="Nombres_Promotores" localSheetId="9">Promotores[NOMBRE]</definedName>
    <definedName name="Nombres_Promotores">Promotores[NOMBRE]</definedName>
    <definedName name="Numero_de_semana">'PEDRO MORA'!$B$5</definedName>
    <definedName name="Pago_Neto_Coordinador" localSheetId="7">'MARIANA PACHECO'!$D$48</definedName>
    <definedName name="Pago_Neto_Coordinador" localSheetId="12">'OLIVIA PACHECO'!$D$47</definedName>
    <definedName name="Pago_Neto_Coordinador">'Ejemplo Coordinacion'!$D$18</definedName>
    <definedName name="Pago_Neto_Gerente">'PEDRO MORA'!$D$77</definedName>
    <definedName name="Pago_Neto_Promotor" localSheetId="14">'DAMIAN BRAVO'!$D$22</definedName>
    <definedName name="Pago_Neto_Promotor" localSheetId="13">'EFRAIN CORTES'!$D$26</definedName>
    <definedName name="Pago_Neto_Promotor" localSheetId="16">'ENRIQUE OJEDA'!$D$25</definedName>
    <definedName name="Pago_Neto_Promotor" localSheetId="11">'EUNICE RAMOS'!$D$32</definedName>
    <definedName name="Pago_Neto_Promotor" localSheetId="8">'FATIMA HERNANDEZ'!$D$23</definedName>
    <definedName name="Pago_Neto_Promotor" localSheetId="15">'HUGO PACHECO'!$D$21</definedName>
    <definedName name="Pago_Neto_Promotor" localSheetId="10">'LIZBETH RAMOS'!$D$20</definedName>
    <definedName name="Pago_Neto_Promotor" localSheetId="9">'PEDRO MORA (P)'!$D$20</definedName>
    <definedName name="Pago_Neto_Promotor">'Ejemplo Promotor'!$D$17</definedName>
    <definedName name="Pago_Premio_Coordinador" localSheetId="7">'MARIANA PACHECO'!$D$43</definedName>
    <definedName name="Pago_Premio_Coordinador" localSheetId="12">'OLIVIA PACHECO'!$D$42</definedName>
    <definedName name="Pago_Premio_Coordinador">'Ejemplo Coordinacion'!$D$13</definedName>
    <definedName name="Pago_Premio_Gerente">'PEDRO MORA'!$D$72</definedName>
    <definedName name="Pago_Premio_Promotor" localSheetId="14">'DAMIAN BRAVO'!$D$18</definedName>
    <definedName name="Pago_Premio_Promotor" localSheetId="13">'EFRAIN CORTES'!$D$22</definedName>
    <definedName name="Pago_Premio_Promotor" localSheetId="16">'ENRIQUE OJEDA'!$D$21</definedName>
    <definedName name="Pago_Premio_Promotor" localSheetId="11">'EUNICE RAMOS'!$D$28</definedName>
    <definedName name="Pago_Premio_Promotor" localSheetId="8">'FATIMA HERNANDEZ'!$D$19</definedName>
    <definedName name="Pago_Premio_Promotor" localSheetId="15">'HUGO PACHECO'!$D$17</definedName>
    <definedName name="Pago_Premio_Promotor" localSheetId="10">'LIZBETH RAMOS'!$D$16</definedName>
    <definedName name="Pago_Premio_Promotor" localSheetId="9">'PEDRO MORA (P)'!$D$16</definedName>
    <definedName name="Pago_Premio_Promotor">'Ejemplo Promotor'!$D$13</definedName>
    <definedName name="Pago_Subtotal_Coordinador" localSheetId="7">'MARIANA PACHECO'!$D$44</definedName>
    <definedName name="Pago_Subtotal_Coordinador" localSheetId="12">'OLIVIA PACHECO'!$D$43</definedName>
    <definedName name="Pago_Subtotal_Coordinador">'Ejemplo Coordinacion'!$D$14</definedName>
    <definedName name="Pago_Subtotal_Gerente">'PEDRO MORA'!$D$73</definedName>
    <definedName name="Pago_Subtotal_Promotor" localSheetId="14">'DAMIAN BRAVO'!$D$19</definedName>
    <definedName name="Pago_Subtotal_Promotor" localSheetId="13">'EFRAIN CORTES'!$D$23</definedName>
    <definedName name="Pago_Subtotal_Promotor" localSheetId="16">'ENRIQUE OJEDA'!$D$22</definedName>
    <definedName name="Pago_Subtotal_Promotor" localSheetId="11">'EUNICE RAMOS'!$D$29</definedName>
    <definedName name="Pago_Subtotal_Promotor" localSheetId="8">'FATIMA HERNANDEZ'!$D$20</definedName>
    <definedName name="Pago_Subtotal_Promotor" localSheetId="15">'HUGO PACHECO'!$D$18</definedName>
    <definedName name="Pago_Subtotal_Promotor" localSheetId="10">'LIZBETH RAMOS'!$D$17</definedName>
    <definedName name="Pago_Subtotal_Promotor" localSheetId="9">'PEDRO MORA (P)'!$D$17</definedName>
    <definedName name="Pago_Subtotal_Promotor">'Ejemplo Promotor'!$D$14</definedName>
    <definedName name="Pago_Sueldo_Base_Coordinador" localSheetId="7">'MARIANA PACHECO'!$D$42</definedName>
    <definedName name="Pago_Sueldo_Base_Coordinador" localSheetId="12">'OLIVIA PACHECO'!$D$41</definedName>
    <definedName name="Pago_Sueldo_Base_Coordinador">'Ejemplo Coordinacion'!$D$12</definedName>
    <definedName name="Pago_Sueldo_Base_Gerente">'PEDRO MORA'!$D$71</definedName>
    <definedName name="Pago_Sueldo_Base_Promotor" localSheetId="14">'DAMIAN BRAVO'!$D$17</definedName>
    <definedName name="Pago_Sueldo_Base_Promotor" localSheetId="13">'EFRAIN CORTES'!$D$21</definedName>
    <definedName name="Pago_Sueldo_Base_Promotor" localSheetId="16">'ENRIQUE OJEDA'!$D$20</definedName>
    <definedName name="Pago_Sueldo_Base_Promotor" localSheetId="11">'EUNICE RAMOS'!$D$27</definedName>
    <definedName name="Pago_Sueldo_Base_Promotor" localSheetId="8">'FATIMA HERNANDEZ'!$D$18</definedName>
    <definedName name="Pago_Sueldo_Base_Promotor" localSheetId="15">'HUGO PACHECO'!$D$16</definedName>
    <definedName name="Pago_Sueldo_Base_Promotor" localSheetId="10">'LIZBETH RAMOS'!$D$15</definedName>
    <definedName name="Pago_Sueldo_Base_Promotor" localSheetId="9">'PEDRO MORA (P)'!$D$15</definedName>
    <definedName name="Pago_Sueldo_Base_Promotor">'Ejemplo Promotor'!$D$12</definedName>
    <definedName name="Periodo_de_pago_final">'PEDRO MORA'!$D$3</definedName>
    <definedName name="Periodo_de_pago_inicial">'PEDRO MORA'!$B$3</definedName>
    <definedName name="Premio_Coordinador" localSheetId="7">'MARIANA PACHECO'!$B$43</definedName>
    <definedName name="Premio_Coordinador" localSheetId="12">'OLIVIA PACHECO'!$B$42</definedName>
    <definedName name="Premio_Coordinador">'Ejemplo Coordinacion'!$B$13</definedName>
    <definedName name="Premio_Gerente">'PEDRO MORA'!$B$72</definedName>
    <definedName name="Premio_Promotor" localSheetId="14">'DAMIAN BRAVO'!$B$18</definedName>
    <definedName name="Premio_Promotor" localSheetId="13">'EFRAIN CORTES'!$B$22</definedName>
    <definedName name="Premio_Promotor" localSheetId="16">'ENRIQUE OJEDA'!$B$21</definedName>
    <definedName name="Premio_Promotor" localSheetId="11">'EUNICE RAMOS'!$B$28</definedName>
    <definedName name="Premio_Promotor" localSheetId="8">'FATIMA HERNANDEZ'!$B$19</definedName>
    <definedName name="Premio_Promotor" localSheetId="15">'HUGO PACHECO'!$B$17</definedName>
    <definedName name="Premio_Promotor" localSheetId="10">'LIZBETH RAMOS'!$B$16</definedName>
    <definedName name="Premio_Promotor" localSheetId="9">'PEDRO MORA (P)'!$B$16</definedName>
    <definedName name="Premio_Promotor">'Ejemplo Promotor'!$B$13</definedName>
    <definedName name="Promotores_Activos">'PEDRO MORA'!$S$2:$S$31</definedName>
    <definedName name="Promotores_de_Coordinacion_Activos" localSheetId="7">'MARIANA PACHECO'!$P$2:$P$21</definedName>
    <definedName name="Promotores_de_Coordinacion_Activos" localSheetId="12">'OLIVIA PACHECO'!$P$2:$P$21</definedName>
    <definedName name="Promotores_de_Coordinacion_Activos">'Ejemplo Coordinacion'!$P$2:$P$21</definedName>
    <definedName name="Promotores_FERNANDO_VILLALVAZO">#REF!</definedName>
    <definedName name="Promotores_ISAAC_GARCIA">Colaboradores!#REF!</definedName>
    <definedName name="Promotores_JOSUE_ALVAREZ">Colaboradores!#REF!</definedName>
    <definedName name="Promotores_MICHELLE_APARICIO">#REF!</definedName>
    <definedName name="Puesto_Coordinador" localSheetId="7">'MARIANA PACHECO'!$G$1</definedName>
    <definedName name="Puesto_Coordinador" localSheetId="12">'OLIVIA PACHECO'!$G$1</definedName>
    <definedName name="Puesto_Coordinador">'Ejemplo Coordinacion'!$G$1</definedName>
    <definedName name="Puesto_Gerente">'PEDRO MORA'!$G$1</definedName>
    <definedName name="Puesto_Promotor" localSheetId="14">'DAMIAN BRAVO'!$G$1</definedName>
    <definedName name="Puesto_Promotor" localSheetId="13">'EFRAIN CORTES'!$G$1</definedName>
    <definedName name="Puesto_Promotor" localSheetId="16">'ENRIQUE OJEDA'!$G$1</definedName>
    <definedName name="Puesto_Promotor" localSheetId="11">'EUNICE RAMOS'!$G$1</definedName>
    <definedName name="Puesto_Promotor" localSheetId="8">'FATIMA HERNANDEZ'!$G$1</definedName>
    <definedName name="Puesto_Promotor" localSheetId="15">'HUGO PACHECO'!$G$1</definedName>
    <definedName name="Puesto_Promotor" localSheetId="10">'LIZBETH RAMOS'!$G$1</definedName>
    <definedName name="Puesto_Promotor" localSheetId="9">'PEDRO MORA (P)'!$G$1</definedName>
    <definedName name="Puesto_Promotor">'Ejemplo Promotor'!$G$1</definedName>
    <definedName name="Puestos" localSheetId="14">Sueldo_Base_Por_Puesto[PUESTO]</definedName>
    <definedName name="Puestos" localSheetId="13">Sueldo_Base_Por_Puesto[PUESTO]</definedName>
    <definedName name="Puestos" localSheetId="16">Sueldo_Base_Por_Puesto[PUESTO]</definedName>
    <definedName name="Puestos" localSheetId="11">Sueldo_Base_Por_Puesto[PUESTO]</definedName>
    <definedName name="Puestos" localSheetId="8">Sueldo_Base_Por_Puesto[PUESTO]</definedName>
    <definedName name="Puestos" localSheetId="15">Sueldo_Base_Por_Puesto[PUESTO]</definedName>
    <definedName name="Puestos" localSheetId="10">Sueldo_Base_Por_Puesto[PUESTO]</definedName>
    <definedName name="Puestos" localSheetId="7">Sueldo_Base_Por_Puesto[PUESTO]</definedName>
    <definedName name="Puestos" localSheetId="12">Sueldo_Base_Por_Puesto[PUESTO]</definedName>
    <definedName name="Puestos" localSheetId="9">Sueldo_Base_Por_Puesto[PUESTO]</definedName>
    <definedName name="Puestos">Sueldo_Base_Por_Puesto[PUESTO]</definedName>
    <definedName name="Razon_Social">'PEDRO MORA'!$B$2</definedName>
    <definedName name="Sueldo_Base_Coordinador">Tabuladores!$M$5</definedName>
    <definedName name="Sueldo_Base_Gerente">Tabuladores!$M$4</definedName>
    <definedName name="Total_De_La_Gerencia">'PEDRO MORA'!$J$4</definedName>
    <definedName name="Total_Registros_Coordinador" localSheetId="7">'MARIANA PACHECO'!$B$4</definedName>
    <definedName name="Total_Registros_Coordinador" localSheetId="12">'OLIVIA PACHECO'!$B$4</definedName>
    <definedName name="Total_Registros_Coordinador">'Ejemplo Coordinacion'!$B$4</definedName>
    <definedName name="Total_Registros_Gerente">'PEDRO MORA'!$B$4</definedName>
    <definedName name="Total_Registros_Promotor" localSheetId="14">'DAMIAN BRAVO'!$B$4</definedName>
    <definedName name="Total_Registros_Promotor" localSheetId="13">'EFRAIN CORTES'!$B$4</definedName>
    <definedName name="Total_Registros_Promotor" localSheetId="16">'ENRIQUE OJEDA'!$B$4</definedName>
    <definedName name="Total_Registros_Promotor" localSheetId="11">'EUNICE RAMOS'!$B$4</definedName>
    <definedName name="Total_Registros_Promotor" localSheetId="8">'FATIMA HERNANDEZ'!$B$4</definedName>
    <definedName name="Total_Registros_Promotor" localSheetId="15">'HUGO PACHECO'!$B$4</definedName>
    <definedName name="Total_Registros_Promotor" localSheetId="10">'LIZBETH RAMOS'!$B$4</definedName>
    <definedName name="Total_Registros_Promotor" localSheetId="9">'PEDRO MORA (P)'!$B$4</definedName>
    <definedName name="Total_Registros_Promotor">'Ejemplo Promotor'!$B$4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30" l="1"/>
  <c r="H18" i="30"/>
  <c r="H17" i="30"/>
  <c r="D17" i="30" s="1"/>
  <c r="D16" i="30"/>
  <c r="H16" i="30"/>
  <c r="D15" i="30"/>
  <c r="H15" i="30"/>
  <c r="H14" i="30"/>
  <c r="D14" i="30" s="1"/>
  <c r="D13" i="30"/>
  <c r="H13" i="30"/>
  <c r="D12" i="30"/>
  <c r="H12" i="30"/>
  <c r="H11" i="30"/>
  <c r="D11" i="30" s="1"/>
  <c r="D10" i="30"/>
  <c r="D19" i="30" s="1"/>
  <c r="H10" i="30"/>
  <c r="D9" i="30"/>
  <c r="H9" i="30"/>
  <c r="H14" i="29"/>
  <c r="D14" i="29" s="1"/>
  <c r="D13" i="29"/>
  <c r="H13" i="29"/>
  <c r="D12" i="29"/>
  <c r="H12" i="29"/>
  <c r="H11" i="29"/>
  <c r="D11" i="29" s="1"/>
  <c r="D10" i="29"/>
  <c r="D15" i="29" s="1"/>
  <c r="H10" i="29"/>
  <c r="D9" i="29"/>
  <c r="H9" i="29"/>
  <c r="H13" i="28"/>
  <c r="D13" i="28" s="1"/>
  <c r="D12" i="28"/>
  <c r="H12" i="28"/>
  <c r="D11" i="28"/>
  <c r="H11" i="28"/>
  <c r="H10" i="28"/>
  <c r="D10" i="28" s="1"/>
  <c r="D9" i="28"/>
  <c r="H9" i="28"/>
  <c r="D17" i="27"/>
  <c r="H17" i="27"/>
  <c r="H16" i="27"/>
  <c r="D16" i="27" s="1"/>
  <c r="D15" i="27"/>
  <c r="H15" i="27"/>
  <c r="D14" i="27"/>
  <c r="H14" i="27"/>
  <c r="H13" i="27"/>
  <c r="D13" i="27" s="1"/>
  <c r="D12" i="27"/>
  <c r="H12" i="27"/>
  <c r="D11" i="27"/>
  <c r="H11" i="27"/>
  <c r="H10" i="27"/>
  <c r="D10" i="27" s="1"/>
  <c r="D9" i="27"/>
  <c r="H9" i="27"/>
  <c r="D24" i="30"/>
  <c r="D21" i="30"/>
  <c r="B5" i="30"/>
  <c r="B4" i="30"/>
  <c r="B22" i="30" s="1"/>
  <c r="D22" i="30" s="1"/>
  <c r="D23" i="30" s="1"/>
  <c r="D26" i="30" s="1"/>
  <c r="J1" i="30"/>
  <c r="D20" i="29"/>
  <c r="D17" i="29"/>
  <c r="B5" i="29"/>
  <c r="B4" i="29"/>
  <c r="B18" i="29" s="1"/>
  <c r="D18" i="29" s="1"/>
  <c r="D19" i="29" s="1"/>
  <c r="D22" i="29" s="1"/>
  <c r="J1" i="29"/>
  <c r="D19" i="28"/>
  <c r="D16" i="28"/>
  <c r="B5" i="28"/>
  <c r="B4" i="28"/>
  <c r="B17" i="28" s="1"/>
  <c r="D17" i="28" s="1"/>
  <c r="J1" i="28"/>
  <c r="D23" i="27"/>
  <c r="D20" i="27"/>
  <c r="B5" i="27"/>
  <c r="B4" i="27"/>
  <c r="B21" i="27" s="1"/>
  <c r="D21" i="27" s="1"/>
  <c r="J1" i="27"/>
  <c r="D15" i="26"/>
  <c r="H15" i="26"/>
  <c r="H14" i="26"/>
  <c r="D14" i="26" s="1"/>
  <c r="H13" i="26"/>
  <c r="D13" i="26" s="1"/>
  <c r="H12" i="26"/>
  <c r="D12" i="26" s="1"/>
  <c r="H11" i="26"/>
  <c r="D11" i="26" s="1"/>
  <c r="H10" i="26"/>
  <c r="D10" i="26" s="1"/>
  <c r="D9" i="26"/>
  <c r="H9" i="26"/>
  <c r="D12" i="25"/>
  <c r="H12" i="25"/>
  <c r="H11" i="25"/>
  <c r="D11" i="25" s="1"/>
  <c r="H10" i="25"/>
  <c r="D10" i="25" s="1"/>
  <c r="H9" i="25"/>
  <c r="D9" i="25" s="1"/>
  <c r="H12" i="24"/>
  <c r="D12" i="24" s="1"/>
  <c r="H11" i="24"/>
  <c r="D11" i="24" s="1"/>
  <c r="D10" i="24"/>
  <c r="H10" i="24"/>
  <c r="H9" i="24"/>
  <c r="D9" i="24" s="1"/>
  <c r="H24" i="23"/>
  <c r="D24" i="23" s="1"/>
  <c r="H23" i="23"/>
  <c r="D23" i="23" s="1"/>
  <c r="H22" i="23"/>
  <c r="D22" i="23" s="1"/>
  <c r="D21" i="23"/>
  <c r="H21" i="23"/>
  <c r="H20" i="23"/>
  <c r="D20" i="23" s="1"/>
  <c r="H19" i="23"/>
  <c r="D19" i="23" s="1"/>
  <c r="H18" i="23"/>
  <c r="D18" i="23" s="1"/>
  <c r="H17" i="23"/>
  <c r="D17" i="23" s="1"/>
  <c r="H16" i="23"/>
  <c r="D16" i="23" s="1"/>
  <c r="D15" i="23"/>
  <c r="H15" i="23"/>
  <c r="D14" i="23"/>
  <c r="H14" i="23"/>
  <c r="H13" i="23"/>
  <c r="D13" i="23" s="1"/>
  <c r="H12" i="23"/>
  <c r="D12" i="23" s="1"/>
  <c r="H11" i="23"/>
  <c r="D11" i="23" s="1"/>
  <c r="H10" i="23"/>
  <c r="D10" i="23" s="1"/>
  <c r="H9" i="23"/>
  <c r="D9" i="23" s="1"/>
  <c r="D21" i="26"/>
  <c r="D18" i="26"/>
  <c r="B5" i="26"/>
  <c r="B4" i="26"/>
  <c r="B19" i="26" s="1"/>
  <c r="D19" i="26" s="1"/>
  <c r="J1" i="26"/>
  <c r="D18" i="25"/>
  <c r="D15" i="25"/>
  <c r="B5" i="25"/>
  <c r="B4" i="25"/>
  <c r="B16" i="25" s="1"/>
  <c r="D16" i="25" s="1"/>
  <c r="J1" i="25"/>
  <c r="D18" i="24"/>
  <c r="D15" i="24"/>
  <c r="B5" i="24"/>
  <c r="B4" i="24"/>
  <c r="B16" i="24" s="1"/>
  <c r="D16" i="24" s="1"/>
  <c r="J1" i="24"/>
  <c r="D30" i="23"/>
  <c r="D27" i="23"/>
  <c r="B5" i="23"/>
  <c r="B4" i="23"/>
  <c r="B28" i="23" s="1"/>
  <c r="D28" i="23" s="1"/>
  <c r="J1" i="23"/>
  <c r="H24" i="22"/>
  <c r="H23" i="22"/>
  <c r="H22" i="22"/>
  <c r="H21" i="22"/>
  <c r="H20" i="22"/>
  <c r="D20" i="22" s="1"/>
  <c r="H19" i="22"/>
  <c r="D19" i="22" s="1"/>
  <c r="H18" i="22"/>
  <c r="H17" i="22"/>
  <c r="H16" i="22"/>
  <c r="H15" i="22"/>
  <c r="H14" i="22"/>
  <c r="H13" i="22"/>
  <c r="H12" i="22"/>
  <c r="H11" i="22"/>
  <c r="D11" i="22" s="1"/>
  <c r="H10" i="22"/>
  <c r="D10" i="22" s="1"/>
  <c r="H9" i="22"/>
  <c r="D9" i="22" s="1"/>
  <c r="H38" i="22"/>
  <c r="H37" i="22"/>
  <c r="H36" i="22"/>
  <c r="D36" i="22" s="1"/>
  <c r="H35" i="22"/>
  <c r="H34" i="22"/>
  <c r="D34" i="22" s="1"/>
  <c r="H33" i="22"/>
  <c r="H32" i="22"/>
  <c r="H31" i="22"/>
  <c r="H30" i="22"/>
  <c r="H29" i="22"/>
  <c r="H28" i="22"/>
  <c r="H27" i="22"/>
  <c r="H26" i="22"/>
  <c r="H25" i="22"/>
  <c r="H31" i="21"/>
  <c r="D31" i="21" s="1"/>
  <c r="H30" i="21"/>
  <c r="H29" i="21"/>
  <c r="D29" i="21" s="1"/>
  <c r="H28" i="21"/>
  <c r="H27" i="21"/>
  <c r="H26" i="21"/>
  <c r="D26" i="21" s="1"/>
  <c r="H25" i="21"/>
  <c r="D25" i="21" s="1"/>
  <c r="H39" i="21"/>
  <c r="D39" i="21" s="1"/>
  <c r="H38" i="21"/>
  <c r="D38" i="21" s="1"/>
  <c r="H37" i="21"/>
  <c r="H36" i="21"/>
  <c r="D36" i="21" s="1"/>
  <c r="H35" i="21"/>
  <c r="H34" i="21"/>
  <c r="H33" i="21"/>
  <c r="H32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P21" i="22" a="1"/>
  <c r="P21" i="22" s="1"/>
  <c r="P20" i="22" a="1"/>
  <c r="P20" i="22" s="1"/>
  <c r="P19" i="22" a="1"/>
  <c r="P19" i="22" s="1"/>
  <c r="P18" i="22" a="1"/>
  <c r="P18" i="22" s="1"/>
  <c r="P17" i="22" a="1"/>
  <c r="P17" i="22" s="1"/>
  <c r="P16" i="22" a="1"/>
  <c r="P16" i="22" s="1"/>
  <c r="P15" i="22" a="1"/>
  <c r="P15" i="22" s="1"/>
  <c r="D44" i="22"/>
  <c r="P14" i="22" a="1"/>
  <c r="P14" i="22" s="1"/>
  <c r="P13" i="22" a="1"/>
  <c r="P13" i="22" s="1"/>
  <c r="P12" i="22" a="1"/>
  <c r="P12" i="22" s="1"/>
  <c r="D41" i="22"/>
  <c r="P11" i="22" a="1"/>
  <c r="P11" i="22" s="1"/>
  <c r="P10" i="22" a="1"/>
  <c r="P10" i="22" s="1"/>
  <c r="P9" i="22" a="1"/>
  <c r="P9" i="22" s="1"/>
  <c r="P8" i="22" a="1"/>
  <c r="P8" i="22" s="1"/>
  <c r="P7" i="22"/>
  <c r="P7" i="22" a="1"/>
  <c r="P6" i="22" a="1"/>
  <c r="P6" i="22" s="1"/>
  <c r="P5" i="22" a="1"/>
  <c r="P5" i="22" s="1"/>
  <c r="B5" i="22"/>
  <c r="P4" i="22" a="1"/>
  <c r="P4" i="22" s="1"/>
  <c r="P3" i="22" a="1"/>
  <c r="P3" i="22" s="1"/>
  <c r="P2" i="22" a="1"/>
  <c r="P2" i="22" s="1"/>
  <c r="P21" i="21" a="1"/>
  <c r="P21" i="21" s="1"/>
  <c r="P20" i="21" a="1"/>
  <c r="P20" i="21" s="1"/>
  <c r="P19" i="21" a="1"/>
  <c r="P19" i="21" s="1"/>
  <c r="P18" i="21" a="1"/>
  <c r="P18" i="21" s="1"/>
  <c r="P17" i="21" a="1"/>
  <c r="P17" i="21" s="1"/>
  <c r="P16" i="21" a="1"/>
  <c r="P16" i="21" s="1"/>
  <c r="P15" i="21" a="1"/>
  <c r="P15" i="21" s="1"/>
  <c r="D45" i="21"/>
  <c r="P14" i="21" a="1"/>
  <c r="P14" i="21" s="1"/>
  <c r="P13" i="21" a="1"/>
  <c r="P13" i="21" s="1"/>
  <c r="P12" i="21" a="1"/>
  <c r="P12" i="21" s="1"/>
  <c r="D42" i="21"/>
  <c r="P11" i="21" a="1"/>
  <c r="P11" i="21" s="1"/>
  <c r="P10" i="21" a="1"/>
  <c r="P10" i="21" s="1"/>
  <c r="P9" i="21" a="1"/>
  <c r="P9" i="21" s="1"/>
  <c r="P8" i="21" a="1"/>
  <c r="P8" i="21" s="1"/>
  <c r="P7" i="21" a="1"/>
  <c r="P7" i="21" s="1"/>
  <c r="P6" i="21" a="1"/>
  <c r="P6" i="21" s="1"/>
  <c r="P5" i="21" a="1"/>
  <c r="P5" i="21" s="1"/>
  <c r="B5" i="21"/>
  <c r="P4" i="21" a="1"/>
  <c r="P4" i="21" s="1"/>
  <c r="P3" i="21" a="1"/>
  <c r="P3" i="21" s="1"/>
  <c r="P2" i="21" a="1"/>
  <c r="P2" i="21" s="1"/>
  <c r="D29" i="5"/>
  <c r="D31" i="5"/>
  <c r="D32" i="5"/>
  <c r="D33" i="5"/>
  <c r="D34" i="5"/>
  <c r="D37" i="5"/>
  <c r="D39" i="5"/>
  <c r="D49" i="5"/>
  <c r="D51" i="5"/>
  <c r="D54" i="5"/>
  <c r="D55" i="5"/>
  <c r="D56" i="5"/>
  <c r="D64" i="5"/>
  <c r="D65" i="5"/>
  <c r="S9" i="5" a="1"/>
  <c r="S9" i="5" s="1"/>
  <c r="S10" i="5" a="1"/>
  <c r="S10" i="5" s="1"/>
  <c r="S11" i="5" a="1"/>
  <c r="S11" i="5" s="1"/>
  <c r="S12" i="5" a="1"/>
  <c r="S12" i="5" s="1"/>
  <c r="S13" i="5" a="1"/>
  <c r="S13" i="5" s="1"/>
  <c r="S14" i="5" a="1"/>
  <c r="S14" i="5" s="1"/>
  <c r="S15" i="5" a="1"/>
  <c r="S15" i="5" s="1"/>
  <c r="S16" i="5" a="1"/>
  <c r="S16" i="5" s="1"/>
  <c r="S17" i="5" a="1"/>
  <c r="S17" i="5" s="1"/>
  <c r="S18" i="5" a="1"/>
  <c r="S18" i="5" s="1"/>
  <c r="S19" i="5" a="1"/>
  <c r="S19" i="5" s="1"/>
  <c r="S20" i="5" a="1"/>
  <c r="S20" i="5" s="1"/>
  <c r="S21" i="5" a="1"/>
  <c r="S21" i="5" s="1"/>
  <c r="D15" i="7"/>
  <c r="B4" i="7" a="1"/>
  <c r="B4" i="7" s="1"/>
  <c r="B4" i="5" a="1"/>
  <c r="B4" i="5" s="1"/>
  <c r="D10" i="5" s="1"/>
  <c r="D9" i="8"/>
  <c r="H9" i="8"/>
  <c r="S3" i="5" a="1"/>
  <c r="S3" i="5" s="1"/>
  <c r="S4" i="5" a="1"/>
  <c r="S4" i="5" s="1"/>
  <c r="S5" i="5" a="1"/>
  <c r="S5" i="5" s="1"/>
  <c r="S6" i="5" a="1"/>
  <c r="S6" i="5" s="1"/>
  <c r="S7" i="5" a="1"/>
  <c r="S7" i="5" s="1"/>
  <c r="S8" i="5" a="1"/>
  <c r="S8" i="5" s="1"/>
  <c r="Q5" i="5" a="1"/>
  <c r="Q5" i="5" s="1"/>
  <c r="Q6" i="5" a="1"/>
  <c r="Q6" i="5" s="1"/>
  <c r="Q7" i="5" a="1"/>
  <c r="Q7" i="5" s="1"/>
  <c r="Q8" i="5" a="1"/>
  <c r="Q8" i="5" s="1"/>
  <c r="Q9" i="5" a="1"/>
  <c r="Q9" i="5" s="1"/>
  <c r="Q10" i="5" a="1"/>
  <c r="Q10" i="5" s="1"/>
  <c r="Q11" i="5" a="1"/>
  <c r="Q11" i="5" s="1"/>
  <c r="Q12" i="5" a="1"/>
  <c r="Q12" i="5" s="1"/>
  <c r="Q13" i="5" a="1"/>
  <c r="Q13" i="5" s="1"/>
  <c r="Q14" i="5" a="1"/>
  <c r="Q14" i="5" s="1"/>
  <c r="Q15" i="5" a="1"/>
  <c r="Q15" i="5" s="1"/>
  <c r="Q16" i="5" a="1"/>
  <c r="Q16" i="5" s="1"/>
  <c r="Q17" i="5" a="1"/>
  <c r="Q17" i="5" s="1"/>
  <c r="Q18" i="5" a="1"/>
  <c r="Q18" i="5" s="1"/>
  <c r="Q19" i="5" a="1"/>
  <c r="Q19" i="5" s="1"/>
  <c r="Q20" i="5" a="1"/>
  <c r="Q20" i="5" s="1"/>
  <c r="Q21" i="5" a="1"/>
  <c r="Q21" i="5" s="1"/>
  <c r="Q25" i="5" a="1"/>
  <c r="Q25" i="5" s="1"/>
  <c r="D29" i="30" a="1"/>
  <c r="D25" i="29" a="1"/>
  <c r="D25" i="29" l="1"/>
  <c r="D29" i="30"/>
  <c r="D14" i="28"/>
  <c r="D18" i="28" s="1"/>
  <c r="D21" i="28" s="1"/>
  <c r="D22" i="27"/>
  <c r="D25" i="27" s="1"/>
  <c r="D18" i="27"/>
  <c r="B4" i="22" a="1"/>
  <c r="B4" i="22" s="1"/>
  <c r="D22" i="22" s="1"/>
  <c r="D13" i="25"/>
  <c r="D17" i="25" s="1"/>
  <c r="D20" i="25" s="1"/>
  <c r="D25" i="23"/>
  <c r="D29" i="23" s="1"/>
  <c r="D32" i="23" s="1"/>
  <c r="D16" i="26"/>
  <c r="D20" i="26" s="1"/>
  <c r="D23" i="26" s="1"/>
  <c r="D13" i="24"/>
  <c r="D17" i="24" s="1"/>
  <c r="D20" i="24" s="1"/>
  <c r="B4" i="21" a="1"/>
  <c r="B4" i="21" s="1"/>
  <c r="D12" i="21" s="1"/>
  <c r="D23" i="21"/>
  <c r="D13" i="22"/>
  <c r="B42" i="22"/>
  <c r="D42" i="22" s="1"/>
  <c r="D37" i="22"/>
  <c r="D16" i="22"/>
  <c r="D16" i="21"/>
  <c r="D9" i="21"/>
  <c r="D14" i="22"/>
  <c r="D30" i="22"/>
  <c r="D35" i="22"/>
  <c r="D17" i="22"/>
  <c r="D12" i="22"/>
  <c r="D18" i="22"/>
  <c r="D27" i="22"/>
  <c r="D24" i="22"/>
  <c r="J1" i="21"/>
  <c r="J1" i="22"/>
  <c r="D62" i="5"/>
  <c r="D50" i="5"/>
  <c r="D38" i="5"/>
  <c r="D20" i="5"/>
  <c r="D61" i="5"/>
  <c r="D25" i="5"/>
  <c r="D13" i="5"/>
  <c r="D30" i="5"/>
  <c r="D12" i="5"/>
  <c r="D69" i="5"/>
  <c r="D63" i="5"/>
  <c r="D57" i="5"/>
  <c r="D45" i="5"/>
  <c r="D27" i="5"/>
  <c r="D21" i="5"/>
  <c r="D15" i="5"/>
  <c r="D66" i="5"/>
  <c r="D48" i="5"/>
  <c r="D36" i="5"/>
  <c r="D18" i="5"/>
  <c r="D59" i="5"/>
  <c r="D53" i="5"/>
  <c r="D47" i="5"/>
  <c r="D41" i="5"/>
  <c r="D35" i="5"/>
  <c r="D23" i="5"/>
  <c r="D17" i="5"/>
  <c r="D11" i="5"/>
  <c r="D68" i="5"/>
  <c r="D44" i="5"/>
  <c r="D26" i="5"/>
  <c r="D14" i="5"/>
  <c r="D67" i="5"/>
  <c r="D43" i="5"/>
  <c r="D19" i="5"/>
  <c r="D60" i="5"/>
  <c r="D42" i="5"/>
  <c r="D24" i="5"/>
  <c r="D58" i="5"/>
  <c r="D52" i="5"/>
  <c r="D46" i="5"/>
  <c r="D40" i="5"/>
  <c r="D28" i="5"/>
  <c r="D22" i="5"/>
  <c r="D16" i="5"/>
  <c r="D9" i="5"/>
  <c r="P3" i="7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" i="7" a="1"/>
  <c r="P2" i="7" s="1"/>
  <c r="S2" i="5" a="1"/>
  <c r="S2" i="5" s="1"/>
  <c r="Q3" i="5" a="1"/>
  <c r="Q3" i="5" s="1"/>
  <c r="Q4" i="5" a="1"/>
  <c r="Q4" i="5" s="1"/>
  <c r="Q2" i="5" a="1"/>
  <c r="Q2" i="5" s="1"/>
  <c r="H9" i="7"/>
  <c r="D9" i="7" s="1"/>
  <c r="B3" i="5"/>
  <c r="D3" i="5"/>
  <c r="D74" i="5"/>
  <c r="D71" i="5"/>
  <c r="D15" i="8"/>
  <c r="D12" i="8"/>
  <c r="D10" i="8"/>
  <c r="B5" i="8"/>
  <c r="B4" i="8"/>
  <c r="B13" i="8" s="1"/>
  <c r="D13" i="8" s="1"/>
  <c r="D12" i="7"/>
  <c r="B5" i="7"/>
  <c r="B13" i="7"/>
  <c r="D13" i="7" s="1"/>
  <c r="S4" i="1"/>
  <c r="B17" i="3"/>
  <c r="B16" i="3"/>
  <c r="B15" i="3"/>
  <c r="B14" i="3"/>
  <c r="B13" i="3"/>
  <c r="D28" i="27" a="1"/>
  <c r="D24" i="28" a="1"/>
  <c r="D23" i="25" a="1"/>
  <c r="D35" i="23" a="1"/>
  <c r="D26" i="26" a="1"/>
  <c r="D23" i="24" a="1"/>
  <c r="D23" i="25" l="1"/>
  <c r="D24" i="28"/>
  <c r="D28" i="27"/>
  <c r="D23" i="22"/>
  <c r="D21" i="22"/>
  <c r="D21" i="21"/>
  <c r="D25" i="22"/>
  <c r="D30" i="21"/>
  <c r="D38" i="22"/>
  <c r="D32" i="22"/>
  <c r="D15" i="22"/>
  <c r="D39" i="22" s="1"/>
  <c r="D43" i="22" s="1"/>
  <c r="D35" i="21"/>
  <c r="D28" i="22"/>
  <c r="D27" i="21"/>
  <c r="D33" i="22"/>
  <c r="D26" i="22"/>
  <c r="D29" i="22"/>
  <c r="D31" i="22"/>
  <c r="D23" i="24"/>
  <c r="D26" i="26"/>
  <c r="D35" i="23"/>
  <c r="D34" i="21"/>
  <c r="D10" i="21"/>
  <c r="D13" i="21"/>
  <c r="D17" i="21"/>
  <c r="D37" i="21"/>
  <c r="D15" i="21"/>
  <c r="D28" i="21"/>
  <c r="D22" i="21"/>
  <c r="D32" i="21"/>
  <c r="D11" i="21"/>
  <c r="D24" i="21"/>
  <c r="D33" i="21"/>
  <c r="D19" i="21"/>
  <c r="D20" i="21"/>
  <c r="D18" i="21"/>
  <c r="B43" i="21"/>
  <c r="D43" i="21" s="1"/>
  <c r="D14" i="21"/>
  <c r="D10" i="7"/>
  <c r="D14" i="7" s="1"/>
  <c r="J1" i="5"/>
  <c r="D14" i="8"/>
  <c r="D17" i="8" s="1"/>
  <c r="B72" i="5"/>
  <c r="D72" i="5" s="1"/>
  <c r="J1" i="8"/>
  <c r="J1" i="7"/>
  <c r="D20" i="8" a="1"/>
  <c r="D40" i="21" l="1"/>
  <c r="D44" i="21" s="1"/>
  <c r="D46" i="21"/>
  <c r="D48" i="21" s="1"/>
  <c r="D45" i="22"/>
  <c r="D47" i="22" s="1"/>
  <c r="D20" i="8"/>
  <c r="D70" i="5"/>
  <c r="D73" i="5" s="1"/>
  <c r="D16" i="7"/>
  <c r="D18" i="7" s="1"/>
  <c r="D51" i="21" a="1"/>
  <c r="D50" i="22" a="1"/>
  <c r="D21" i="7" a="1"/>
  <c r="D50" i="22" l="1"/>
  <c r="D51" i="21"/>
  <c r="D21" i="7"/>
  <c r="D75" i="5"/>
  <c r="D77" i="5" s="1"/>
  <c r="D80" i="5" a="1"/>
  <c r="D8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<sst xmlns="http://schemas.openxmlformats.org/spreadsheetml/2006/main" count="1591" uniqueCount="284">
  <si>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</si>
  <si>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</si>
  <si>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</si>
  <si>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</si>
  <si>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</si>
  <si>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</si>
  <si>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</si>
  <si>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</si>
  <si>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</si>
  <si>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</si>
  <si>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</si>
  <si>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</si>
  <si>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</si>
  <si>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</si>
  <si>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</si>
  <si>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</si>
  <si>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</si>
  <si>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</si>
  <si>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</si>
  <si>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</si>
  <si>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</si>
  <si>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</si>
  <si>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</si>
  <si>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AWL TONALA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</si>
  <si>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</si>
  <si>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</si>
  <si>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</si>
  <si>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</si>
  <si>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</si>
  <si>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</si>
  <si>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</si>
  <si>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</si>
  <si>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</si>
  <si>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</si>
  <si>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</si>
  <si>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AWL TLAQUEPAQUE</t>
  </si>
  <si>
    <t>UDN TLAQUEPAQUE</t>
  </si>
  <si>
    <t>UDN TONALA</t>
  </si>
  <si>
    <t>UI PARIAN</t>
  </si>
  <si>
    <t>UI MARIANO OTERO</t>
  </si>
  <si>
    <t>VIRTUAL</t>
  </si>
  <si>
    <t>OBLATOS</t>
  </si>
  <si>
    <t>INDEPENDENCIA</t>
  </si>
  <si>
    <t>ONLINE</t>
  </si>
  <si>
    <t>TRANSITO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</si>
  <si>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</si>
  <si>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</si>
  <si>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</si>
  <si>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</si>
  <si>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</si>
  <si>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</si>
  <si>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</si>
  <si>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</si>
  <si>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</si>
  <si>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</si>
  <si>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</si>
  <si>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</si>
  <si>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Nombre</t>
  </si>
  <si>
    <t>0</t>
  </si>
  <si>
    <t>TOTAL REGISTROS GERENCIA</t>
  </si>
  <si>
    <t>Coordinadores</t>
  </si>
  <si>
    <t>Gerentes</t>
  </si>
  <si>
    <t>Promotores</t>
  </si>
  <si>
    <t>&gt;</t>
  </si>
  <si>
    <t>Planteles</t>
  </si>
  <si>
    <t>Razon Social</t>
  </si>
  <si>
    <t>UI INTERNACIONAL AC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</si>
  <si>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</si>
  <si>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</si>
  <si>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</si>
  <si>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</si>
  <si>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</si>
  <si>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</si>
  <si>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</si>
  <si>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</si>
  <si>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</si>
  <si>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</si>
  <si>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</si>
  <si>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</si>
  <si>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</si>
  <si>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</si>
  <si>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</si>
  <si>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</si>
  <si>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</si>
  <si>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</si>
  <si>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</si>
  <si>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</si>
  <si>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</si>
  <si>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</si>
  <si>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</si>
  <si>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</si>
  <si>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</si>
  <si>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</si>
  <si>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</si>
  <si>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</si>
  <si>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</si>
  <si>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</si>
  <si>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</si>
  <si>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</si>
  <si>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</si>
  <si>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</si>
  <si>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</si>
  <si>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</si>
  <si>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</si>
  <si>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</si>
  <si>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</si>
  <si>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</si>
  <si>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</si>
  <si>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</si>
  <si>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</si>
  <si>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</si>
  <si>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</si>
  <si>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UI 16 DE SEPTIEMBRE</t>
  </si>
  <si>
    <t>NOMBRE DEL ALUMNO</t>
  </si>
  <si>
    <t>COODINADORES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</si>
  <si>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</si>
  <si>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</si>
  <si>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</si>
  <si>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</si>
  <si>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</si>
  <si>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</si>
  <si>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</si>
  <si>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</si>
  <si>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</si>
  <si>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DESCUENTOS</t>
  </si>
  <si>
    <t>Descuentos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</si>
  <si>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</si>
  <si>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</si>
  <si>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</si>
  <si>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</si>
  <si>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</si>
  <si>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</si>
  <si>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</si>
  <si>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</si>
  <si>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</si>
  <si>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</si>
  <si>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</si>
  <si>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</si>
  <si>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</si>
  <si>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</si>
  <si>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</si>
  <si>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</si>
  <si>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</si>
  <si>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</si>
  <si>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</si>
  <si>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</si>
  <si>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</si>
  <si>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</si>
  <si>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</si>
  <si>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</si>
  <si>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</si>
  <si>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LIZBETH RAMOS</t>
  </si>
  <si>
    <t>EUNICE RAMOS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</si>
  <si>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</si>
  <si>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</si>
  <si>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</si>
  <si>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</si>
  <si>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</si>
  <si>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</si>
  <si>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</si>
  <si>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</si>
  <si>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</si>
  <si>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</si>
  <si>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</si>
  <si>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</si>
  <si>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</si>
  <si>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</si>
  <si>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</si>
  <si>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</si>
  <si>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</si>
  <si>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</si>
  <si>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</si>
  <si>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</si>
  <si>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</si>
  <si>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</si>
  <si>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</si>
  <si>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</si>
  <si>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</si>
  <si>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</si>
  <si>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</si>
  <si>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</si>
  <si>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</si>
  <si>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</si>
  <si>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</si>
  <si>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</si>
  <si>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</si>
  <si>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</si>
  <si>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</si>
  <si>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</si>
  <si>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</si>
  <si>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</si>
  <si>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</si>
  <si>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</si>
  <si>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</si>
  <si>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</si>
  <si>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</si>
  <si>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</si>
  <si>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</si>
  <si>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Edgar Alejandro Aceves Moreno</t>
  </si>
  <si>
    <t>MARIA DE JESUS GARCIA VAZQUEZ</t>
  </si>
  <si>
    <t>EVELINA GARNICA CAUDILLO</t>
  </si>
  <si>
    <t>MARIA XIMENA ROCHA SOTELO</t>
  </si>
  <si>
    <t>XOCHITL MONSERRAT ROCHA SOTELO</t>
  </si>
  <si>
    <t>GLORIA ESTAFANIA CENDEJAS VARELA</t>
  </si>
  <si>
    <t>MARIA DE JESUS ACOSTA MENA</t>
  </si>
  <si>
    <t>ISAURA JIMENEZ TRUJILLO</t>
  </si>
  <si>
    <t>EDGAR GUILLERMO JAIME MONTELONGO</t>
  </si>
  <si>
    <t>LILIA ALEJANDRA ROJAS CORONADO</t>
  </si>
  <si>
    <t>YOLANDA ELIZABETH HENANDEZ HUERTA</t>
  </si>
  <si>
    <t>JOSE RAUL RAMIREZ PEREZ</t>
  </si>
  <si>
    <t>BRANDON BARRON RODRIGUEZ</t>
  </si>
  <si>
    <t>MARIA DEL CARMEN PEREZ REYNO</t>
  </si>
  <si>
    <t>LEONARDO PIZA ROCHA</t>
  </si>
  <si>
    <t>MARIA DE LOS ANGELES DE LA CRUZ JUÁREZ</t>
  </si>
  <si>
    <t>SALVADOR JASSO CAMPOS</t>
  </si>
  <si>
    <t>LUZ MARIANA BARBA MANRIQAUEZ</t>
  </si>
  <si>
    <t>GAEL ORNELAS MARTINEZ</t>
  </si>
  <si>
    <t>ARLETH SOFIA ORNELAS MARTINEZ</t>
  </si>
  <si>
    <t>MORA ESCOBAR SANDRA</t>
  </si>
  <si>
    <t>ROCHA MUÑOZ ANTONIO</t>
  </si>
  <si>
    <t>ROCHA HERNANDEZ JOSE MIGUEL</t>
  </si>
  <si>
    <t>ESPINOSA ALTAMIRANO EMMA ZOE</t>
  </si>
  <si>
    <t>LEZAMA CONTRERAS SAMUEL DAVID</t>
  </si>
  <si>
    <t>LEIJA CERVERA MARIA ENRIQUETA</t>
  </si>
  <si>
    <t>ROCHA SANDOVAL CARLOS MANUEL</t>
  </si>
  <si>
    <t>ESCOBAR MARTINEZ MIGUEL ANGEL</t>
  </si>
  <si>
    <t>CARVAAL AGUIRRE LETICIA JEANNETTE</t>
  </si>
  <si>
    <t>MORALES SALAS INGRID GUADALUPE</t>
  </si>
  <si>
    <t>Bryan Gutierrez Alvarez</t>
  </si>
  <si>
    <t>Mariana Alejandra Paz Lopes</t>
  </si>
  <si>
    <t>Liam Pedroza Manzanero</t>
  </si>
  <si>
    <t>Humberto Emanuel Medina Medina</t>
  </si>
  <si>
    <t>Karla Aracely Sanchez Barcenas</t>
  </si>
  <si>
    <t>Martha Estela Barcenas Gonzalez</t>
  </si>
  <si>
    <t>Jose Miguel Rocha Hernandez</t>
  </si>
  <si>
    <t>Cecilia Rodriguez Gutierrez</t>
  </si>
  <si>
    <t>Ximena Gonzalez Sanchez</t>
  </si>
  <si>
    <t>Joel Apolonio Lozano Orozco</t>
  </si>
  <si>
    <t>Luz Fernanda Zuñiga Campusano</t>
  </si>
  <si>
    <t>Javier Uriel Almaguer Hernandez</t>
  </si>
  <si>
    <t>Daniela Isamar Jimenez Jaime</t>
  </si>
  <si>
    <t>Evan Greco Arambula Padilla</t>
  </si>
  <si>
    <t>Karol Denisse Nava Soto</t>
  </si>
  <si>
    <t>Oscar Uriel Gonzalez Gomez</t>
  </si>
  <si>
    <t>Myriam Margarita Infante Zavala</t>
  </si>
  <si>
    <t>Ricardo Daniel Hernandez Ramos</t>
  </si>
  <si>
    <t>Daniel Guadalupe Hernandez Moran</t>
  </si>
  <si>
    <t>Andrea del Rocio Ramirez Gonzalez</t>
  </si>
  <si>
    <t>Jesus Abraham Mares Zamora</t>
  </si>
  <si>
    <t>Alma Celia Gomez Flores</t>
  </si>
  <si>
    <t>Jose Eduardo Alba Rios</t>
  </si>
  <si>
    <t>Jose Eduardo Torres Alvarez</t>
  </si>
  <si>
    <t>Maria Guadalupe Contreras Aranda</t>
  </si>
  <si>
    <t>Fabian Miguel Barajas Ortega</t>
  </si>
  <si>
    <t>Susana García Robledo</t>
  </si>
  <si>
    <t>Abril Danya Martinez Espino</t>
  </si>
  <si>
    <t>Briana Allison Juarez Hernandez</t>
  </si>
  <si>
    <t>PREPA</t>
  </si>
  <si>
    <t>3/26/25</t>
  </si>
  <si>
    <t>COMPUTACION</t>
  </si>
  <si>
    <t>TEENS</t>
  </si>
  <si>
    <t>AUX. ENFERMERÌA</t>
  </si>
  <si>
    <t>CONTABILIDAD</t>
  </si>
  <si>
    <t>INGLES</t>
  </si>
  <si>
    <t>COLBACH</t>
  </si>
  <si>
    <t>INGLES KINDER</t>
  </si>
  <si>
    <t>CONTABLE</t>
  </si>
  <si>
    <t>INGLES KIDS</t>
  </si>
  <si>
    <t>COMP</t>
  </si>
  <si>
    <t>AUX ENFER</t>
  </si>
  <si>
    <t>3/20/25</t>
  </si>
  <si>
    <t>AUX DE ENFERMERÍA</t>
  </si>
  <si>
    <t>REP DE CELULARES</t>
  </si>
  <si>
    <t>3/21/25</t>
  </si>
  <si>
    <t>COMPUTACIÓN</t>
  </si>
  <si>
    <t>3/22/25</t>
  </si>
  <si>
    <t>PREPA INTENSIVA</t>
  </si>
  <si>
    <t>3/23/25</t>
  </si>
  <si>
    <t>INGLES INTENSIVO</t>
  </si>
  <si>
    <t>3/24/25</t>
  </si>
  <si>
    <t>3/25/25</t>
  </si>
  <si>
    <t>AUX DE ENFERMERIA</t>
  </si>
  <si>
    <t>INGLÉS</t>
  </si>
  <si>
    <t>PREPA INTENSIVO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</si>
</sst>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m/d/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7" fillId="0" borderId="4" applyNumberFormat="0" applyFill="0" applyAlignment="0" applyProtection="0"/>
  </cellStyleXfs>
  <cellXfs count="142">
    <xf numFmtId="0" fontId="0" fillId="0" borderId="0" xfId="0"/>
    <xf numFmtId="0" fontId="2" fillId="0" borderId="0" xfId="0" applyFont="1"/>
    <xf numFmtId="165" fontId="2" fillId="0" borderId="0" xfId="1" applyFont="1" applyFill="1" applyBorder="1"/>
    <xf numFmtId="165" fontId="3" fillId="0" borderId="0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5" fontId="2" fillId="0" borderId="0" xfId="1" applyFont="1" applyFill="1" applyBorder="1" applyAlignment="1"/>
    <xf numFmtId="0" fontId="3" fillId="0" borderId="0" xfId="0" applyFont="1"/>
    <xf numFmtId="0" fontId="3" fillId="0" borderId="0" xfId="0" applyFont="1" applyAlignment="1">
      <alignment vertical="center"/>
    </xf>
    <xf numFmtId="165" fontId="3" fillId="0" borderId="0" xfId="1" applyFont="1" applyFill="1" applyBorder="1" applyAlignment="1"/>
    <xf numFmtId="165" fontId="3" fillId="0" borderId="0" xfId="1" applyFont="1" applyFill="1" applyBorder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wrapText="1"/>
    </xf>
    <xf numFmtId="166" fontId="4" fillId="0" borderId="0" xfId="0" applyNumberFormat="1" applyFont="1"/>
    <xf numFmtId="166" fontId="4" fillId="0" borderId="0" xfId="0" applyNumberFormat="1" applyFont="1" applyAlignment="1">
      <alignment vertical="center"/>
    </xf>
    <xf numFmtId="168" fontId="4" fillId="0" borderId="0" xfId="0" applyNumberFormat="1" applyFont="1"/>
    <xf numFmtId="0" fontId="5" fillId="0" borderId="0" xfId="0" applyFont="1" applyAlignment="1">
      <alignment horizontal="right"/>
    </xf>
    <xf numFmtId="166" fontId="5" fillId="0" borderId="0" xfId="0" applyNumberFormat="1" applyFont="1" applyAlignment="1">
      <alignment vertical="center"/>
    </xf>
    <xf numFmtId="0" fontId="5" fillId="0" borderId="0" xfId="0" applyFont="1" applyAlignment="1">
      <alignment horizontal="right" vertical="center"/>
    </xf>
    <xf numFmtId="16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6" fontId="5" fillId="2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right"/>
    </xf>
    <xf numFmtId="166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/>
    </xf>
    <xf numFmtId="44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horizontal="center" vertical="center"/>
    </xf>
    <xf numFmtId="165" fontId="0" fillId="0" borderId="0" xfId="1" applyFont="1"/>
    <xf numFmtId="0" fontId="4" fillId="0" borderId="0" xfId="0" applyFont="1" applyAlignment="1">
      <alignment horizontal="right" vertical="center"/>
    </xf>
    <xf numFmtId="0" fontId="5" fillId="0" borderId="3" xfId="0" applyFont="1" applyBorder="1"/>
    <xf numFmtId="14" fontId="4" fillId="0" borderId="3" xfId="0" applyNumberFormat="1" applyFont="1" applyBorder="1"/>
    <xf numFmtId="0" fontId="5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right"/>
    </xf>
    <xf numFmtId="44" fontId="5" fillId="0" borderId="2" xfId="1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4" fontId="4" fillId="0" borderId="3" xfId="0" applyNumberFormat="1" applyFont="1" applyBorder="1" applyProtection="1">
      <protection locked="0"/>
    </xf>
    <xf numFmtId="14" fontId="4" fillId="0" borderId="3" xfId="0" applyNumberFormat="1" applyFont="1" applyBorder="1" applyAlignment="1" applyProtection="1">
      <alignment vertical="center"/>
      <protection locked="0"/>
    </xf>
    <xf numFmtId="1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9" fillId="0" borderId="0" xfId="0" applyNumberFormat="1" applyFont="1" applyAlignment="1">
      <alignment horizontal="center" vertical="center"/>
    </xf>
    <xf numFmtId="0" fontId="7" fillId="0" borderId="4" xfId="2"/>
    <xf numFmtId="0" fontId="7" fillId="0" borderId="4" xfId="2" applyAlignment="1">
      <alignment horizontal="center"/>
    </xf>
    <xf numFmtId="0" fontId="7" fillId="0" borderId="0" xfId="2" applyBorder="1"/>
    <xf numFmtId="164" fontId="3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7" fillId="0" borderId="4" xfId="2" applyAlignment="1">
      <alignment vertical="center"/>
    </xf>
    <xf numFmtId="49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65" fontId="4" fillId="0" borderId="0" xfId="1" applyFont="1" applyAlignment="1">
      <alignment horizontal="center"/>
    </xf>
    <xf numFmtId="44" fontId="5" fillId="0" borderId="0" xfId="1" applyNumberFormat="1" applyFont="1" applyAlignment="1">
      <alignment vertical="center"/>
    </xf>
    <xf numFmtId="165" fontId="2" fillId="0" borderId="0" xfId="1" applyFont="1"/>
    <xf numFmtId="0" fontId="10" fillId="0" borderId="0" xfId="2" applyFont="1" applyBorder="1"/>
    <xf numFmtId="0" fontId="10" fillId="0" borderId="0" xfId="2" applyFont="1" applyBorder="1" applyAlignment="1">
      <alignment horizontal="center"/>
    </xf>
    <xf numFmtId="49" fontId="8" fillId="0" borderId="0" xfId="0" applyNumberFormat="1" applyFont="1" applyAlignment="1">
      <alignment horizontal="left"/>
    </xf>
    <xf numFmtId="165" fontId="4" fillId="0" borderId="2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/>
    <xf numFmtId="0" fontId="4" fillId="4" borderId="0" xfId="0" applyFont="1" applyFill="1"/>
    <xf numFmtId="0" fontId="4" fillId="6" borderId="0" xfId="0" applyFont="1" applyFill="1"/>
    <xf numFmtId="44" fontId="5" fillId="0" borderId="2" xfId="0" applyNumberFormat="1" applyFont="1" applyBorder="1" applyAlignment="1">
      <alignment horizontal="center" vertical="center"/>
    </xf>
    <xf numFmtId="44" fontId="5" fillId="0" borderId="2" xfId="1" applyNumberFormat="1" applyFont="1" applyBorder="1" applyAlignment="1" applyProtection="1">
      <alignment horizontal="center" vertical="center"/>
    </xf>
    <xf numFmtId="44" fontId="5" fillId="2" borderId="1" xfId="1" applyNumberFormat="1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 applyProtection="1">
      <alignment vertical="center"/>
      <protection locked="0"/>
    </xf>
    <xf numFmtId="165" fontId="4" fillId="0" borderId="2" xfId="1" applyFont="1" applyBorder="1" applyProtection="1"/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44" fontId="4" fillId="0" borderId="0" xfId="1" applyNumberFormat="1" applyFont="1" applyFill="1" applyAlignment="1" applyProtection="1">
      <alignment horizontal="right"/>
      <protection locked="0"/>
    </xf>
    <xf numFmtId="169" fontId="4" fillId="0" borderId="0" xfId="0" applyNumberFormat="1" applyFont="1" applyAlignment="1" applyProtection="1">
      <alignment horizontal="center" vertical="center"/>
      <protection locked="0"/>
    </xf>
    <xf numFmtId="44" fontId="4" fillId="0" borderId="0" xfId="0" applyNumberFormat="1" applyFont="1" applyAlignment="1" applyProtection="1">
      <alignment horizontal="center"/>
      <protection locked="0"/>
    </xf>
    <xf numFmtId="0" fontId="4" fillId="0" borderId="3" xfId="0" applyFont="1" applyBorder="1" applyAlignment="1">
      <alignment horizontal="right" wrapText="1"/>
    </xf>
    <xf numFmtId="49" fontId="4" fillId="0" borderId="0" xfId="0" applyNumberFormat="1" applyFont="1" applyAlignment="1">
      <alignment vertical="center"/>
    </xf>
    <xf numFmtId="0" fontId="5" fillId="0" borderId="3" xfId="0" applyFont="1" applyBorder="1" applyAlignment="1">
      <alignment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165" fontId="4" fillId="0" borderId="2" xfId="1" applyFont="1" applyBorder="1" applyAlignment="1" applyProtection="1">
      <alignment wrapText="1"/>
    </xf>
    <xf numFmtId="0" fontId="4" fillId="0" borderId="0" xfId="0" applyFont="1" applyAlignment="1">
      <alignment horizontal="center" vertical="center" wrapText="1"/>
    </xf>
    <xf numFmtId="0" fontId="4" fillId="5" borderId="0" xfId="0" applyFont="1" applyFill="1" applyAlignment="1">
      <alignment wrapText="1"/>
    </xf>
    <xf numFmtId="165" fontId="4" fillId="0" borderId="0" xfId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6" fontId="5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center"/>
    </xf>
    <xf numFmtId="167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right" vertical="center"/>
    </xf>
    <xf numFmtId="169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5" fontId="4" fillId="0" borderId="0" xfId="0" applyNumberFormat="1" applyFont="1" applyFill="1" applyAlignment="1">
      <alignment horizontal="center"/>
    </xf>
    <xf numFmtId="166" fontId="4" fillId="0" borderId="0" xfId="0" applyNumberFormat="1" applyFont="1" applyFill="1" applyAlignment="1">
      <alignment horizontal="center"/>
    </xf>
    <xf numFmtId="169" fontId="4" fillId="0" borderId="0" xfId="0" applyNumberFormat="1" applyFont="1" applyFill="1" applyAlignment="1">
      <alignment horizontal="center"/>
    </xf>
    <xf numFmtId="49" fontId="4" fillId="0" borderId="0" xfId="0" applyNumberFormat="1" applyFont="1" applyFill="1" applyAlignment="1" applyProtection="1">
      <alignment horizontal="left" vertical="center"/>
      <protection locked="0"/>
    </xf>
    <xf numFmtId="49" fontId="4" fillId="0" borderId="0" xfId="0" applyNumberFormat="1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left" vertical="center"/>
      <protection locked="0"/>
    </xf>
    <xf numFmtId="44" fontId="4" fillId="0" borderId="0" xfId="0" applyNumberFormat="1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right" vertical="center"/>
      <protection locked="0"/>
    </xf>
    <xf numFmtId="169" fontId="4" fillId="0" borderId="0" xfId="0" applyNumberFormat="1" applyFont="1" applyFill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left"/>
      <protection locked="0"/>
    </xf>
    <xf numFmtId="0" fontId="4" fillId="0" borderId="0" xfId="0" applyFont="1" applyFill="1" applyAlignment="1" applyProtection="1">
      <alignment horizontal="center" vertical="center"/>
      <protection locked="0"/>
    </xf>
  </cellXfs>
  <cellStyles count="3">
    <cellStyle name="Currency" xfId="1" builtinId="4"/>
    <cellStyle name="Heading 1" xfId="2" builtinId="16"/>
    <cellStyle name="Normal" xfId="0" builtinId="0"/>
  </cellStyles>
  <dxfs count="4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57150</xdr:rowOff>
        </xdr:from>
        <xdr:to>
          <xdr:col>14</xdr:col>
          <xdr:colOff>742950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Coordinadores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5</xdr:row>
          <xdr:rowOff>47625</xdr:rowOff>
        </xdr:from>
        <xdr:to>
          <xdr:col>14</xdr:col>
          <xdr:colOff>733425</xdr:colOff>
          <xdr:row>8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de Nominas Gerencia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7D48E4C8-A2EA-40AE-9F1B-A78D648A7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47F1D73B-E071-4B15-9DB9-D137D1821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47625</xdr:rowOff>
        </xdr:from>
        <xdr:to>
          <xdr:col>13</xdr:col>
          <xdr:colOff>733425</xdr:colOff>
          <xdr:row>3</xdr:row>
          <xdr:rowOff>152400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BA5CA213-9B7B-4D2A-87CD-E2D73ED14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 de Promotores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5</xdr:row>
          <xdr:rowOff>47625</xdr:rowOff>
        </xdr:from>
        <xdr:to>
          <xdr:col>13</xdr:col>
          <xdr:colOff>733425</xdr:colOff>
          <xdr:row>8</xdr:row>
          <xdr:rowOff>171450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80554879-2FF3-4D4F-A2BA-2D914A96E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Premios_Promotor" displayName="Premios_Promotor" ref="A4:F10" totalsRowShown="0" headerRowDxfId="497" dataDxfId="496" tableBorderDxfId="495" dataCellStyle="Currency">
  <autoFilter ref="A4:F10" xr:uid="{1DCBEDCC-84CA-4F68-A1BF-882DF7EB9AAD}"/>
  <tableColumns count="6">
    <tableColumn id="1" xr3:uid="{52B2CFAB-87CE-4CB9-8B44-7C63B5BB8779}" name="REGISTROS " dataDxfId="494"/>
    <tableColumn id="2" xr3:uid="{1F936614-3024-45E4-8B47-3E2669DC32FC}" name="0" dataDxfId="493" dataCellStyle="Currency"/>
    <tableColumn id="5" xr3:uid="{004B43FE-1D3B-4EE3-8961-771A3156DE8D}" name="13" dataDxfId="492" dataCellStyle="Currency"/>
    <tableColumn id="6" xr3:uid="{113128A4-9C84-4D65-ACBE-D34F68404358}" name="15" dataDxfId="491" dataCellStyle="Currency"/>
    <tableColumn id="3" xr3:uid="{4E945F5C-29A5-409D-9741-D02FDD95409D}" name="30" dataDxfId="490" dataCellStyle="Currency"/>
    <tableColumn id="4" xr3:uid="{F54F9DBA-BB7E-4D93-B316-DDF4038A6BBE}" name="40" dataDxfId="489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Premios_Coordinador" displayName="Premios_Coordinador" ref="H4:I11" totalsRowShown="0" headerRowDxfId="488" tableBorderDxfId="487">
  <autoFilter ref="H4:I11" xr:uid="{F9D8FF99-7FBD-4770-86D4-916903E3362B}"/>
  <tableColumns count="2">
    <tableColumn id="1" xr3:uid="{0E6771B9-BC03-4485-BDA4-FEEA8045374D}" name="REGISTROS" dataDxfId="486"/>
    <tableColumn id="2" xr3:uid="{4295DB49-D0F8-4407-9A7E-ED849FC12761}" name="PAGO" dataDxfId="485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Premios_Gerente" displayName="Premios_Gerente" ref="K4:L13" totalsRowShown="0" headerRowDxfId="484" tableBorderDxfId="483">
  <autoFilter ref="K4:L13" xr:uid="{782E832C-499C-406E-AFE6-A5C76665B594}"/>
  <tableColumns count="2">
    <tableColumn id="1" xr3:uid="{7A8416CF-E219-4CDB-8FDD-07CF7E1FE521}" name="REGISTROS" dataDxfId="482"/>
    <tableColumn id="2" xr3:uid="{C0009598-D6D0-42B2-9CE0-A1EE69F3EAA6}" name="PAGO" dataDxfId="481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ulador_Premio_Promotor_Total_Gerencia" displayName="Tabulador_Premio_Promotor_Total_Gerencia" ref="A12:B17" totalsRowShown="0" headerRowDxfId="480" tableBorderDxfId="479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05EA9-2BC1-462C-96D4-B4A60135AD3D}" name="Planteles" displayName="Planteles" ref="A3:B16" totalsRowShown="0" tableBorderDxfId="478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ulador_Promotor" displayName="Tabulador_Promotor" ref="A3:B4" totalsRowShown="0" headerRowDxfId="477" dataDxfId="476" tableBorderDxfId="475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474"/>
    <tableColumn id="2" xr3:uid="{70072444-3B0C-4F18-B27B-4FC876B6174F}" name="PAGO" dataDxfId="473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ulador_Coordinador" displayName="Tabulador_Coordinador" ref="D3:F8" totalsRowShown="0" headerRowDxfId="472" dataDxfId="471" tableBorderDxfId="470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469"/>
    <tableColumn id="3" xr3:uid="{32B4B292-4525-4662-AD66-6005E8DBCE66}" name="MAX" dataDxfId="468"/>
    <tableColumn id="2" xr3:uid="{1D0B27CB-CCDF-4BB3-95C0-08040C389ED4}" name="PAGO" dataDxfId="467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ulador_Gerente" displayName="Tabulador_Gerente" ref="H3:J8" totalsRowShown="0" headerRowDxfId="466" dataDxfId="465" tableBorderDxfId="464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463"/>
    <tableColumn id="3" xr3:uid="{DB963CCE-7667-4B57-8C20-10A4A00B0919}" name="MAX" dataDxfId="462"/>
    <tableColumn id="2" xr3:uid="{C1C619F7-F64B-4052-A8CA-7DEBAE64B680}" name="PAGO" dataDxfId="461" dataCellStyle="Currency"/>
  </tableColumns>
  <tableStyleInfo name="TableStyleMedium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Sueldo_Base_Por_Puesto" displayName="Sueldo_Base_Por_Puesto" ref="L3:M6" totalsRowShown="0" headerRowDxfId="460" dataDxfId="459">
  <autoFilter ref="L3:M6" xr:uid="{CF9270D9-B009-4143-8D2B-9E1240DA6F10}"/>
  <tableColumns count="2">
    <tableColumn id="1" xr3:uid="{552B5163-6F1D-4FBD-A357-02C46236A87B}" name="PUESTO" dataDxfId="458"/>
    <tableColumn id="2" xr3:uid="{5711A27E-1EE4-46B1-A04E-5D03F5CEBB74}" name="SUELDO BASE" dataDxfId="457" dataCellStyle="Currency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Sueldos_Base" displayName="Sueldos_Base" ref="L10:P19" totalsRowShown="0" headerRowDxfId="456" dataDxfId="455">
  <autoFilter ref="L10:P19" xr:uid="{1147D880-06D1-4D7B-B657-F07A229C7E08}"/>
  <tableColumns count="5">
    <tableColumn id="1" xr3:uid="{C2BD86FE-CD09-4E33-924A-D229ACE908E5}" name="COLABORADOR" dataDxfId="454"/>
    <tableColumn id="2" xr3:uid="{24553BA7-BE24-4460-AA82-33D1DCC84F4A}" name="SUELDO BASE" dataDxfId="453" dataCellStyle="Currency"/>
    <tableColumn id="5" xr3:uid="{6AE8BC63-6EC0-47FC-9DBB-DCE8AF4B89F8}" name="PUESTO" dataDxfId="452"/>
    <tableColumn id="3" xr3:uid="{EB4A0A70-B1F2-40A4-AC06-15BA77F108EE}" name="COORDINACION" dataDxfId="451"/>
    <tableColumn id="4" xr3:uid="{EDC6B3E8-8800-4CCF-9C64-C3873CF91EF2}" name="GERENCIA" dataDxfId="450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Descuentos" displayName="Descuentos" ref="R3:W4" totalsRowShown="0" headerRowDxfId="449" dataDxfId="448">
  <autoFilter ref="R3:W4" xr:uid="{968159DA-88A6-4E59-B876-F2A425C567A9}"/>
  <tableColumns count="6">
    <tableColumn id="1" xr3:uid="{6A4C6522-2E5C-4103-8B8C-B0A723293670}" name="COLABORADOR" dataDxfId="447"/>
    <tableColumn id="2" xr3:uid="{29E00D9E-BA5E-4284-871D-7C79414179C7}" name="DESCUENTO" dataDxfId="446" dataCellStyle="Currency">
      <calculatedColumnFormula>SUMIF(Sueldos_Base[COORDINACION],Descuentos[[#This Row],[COORDINACION]],Sueldos_Base[SUELDO BASE])*0.3 * -1</calculatedColumnFormula>
    </tableColumn>
    <tableColumn id="6" xr3:uid="{FC42CF7F-86CC-4017-BD0A-792ED3EA4FAB}" name="CONCEPTO" dataDxfId="445" dataCellStyle="Currency"/>
    <tableColumn id="5" xr3:uid="{6D3C6C93-F493-4C8D-857F-155F5350958B}" name="PUESTO" dataDxfId="444"/>
    <tableColumn id="3" xr3:uid="{81E86445-B5A3-4E4E-93E5-A947F43CC839}" name="COORDINACION" dataDxfId="443"/>
    <tableColumn id="4" xr3:uid="{829B3219-00AE-46DB-8F5B-C4EFFEFCD5DB}" name="GERENCIA" dataDxfId="442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Gerentes" displayName="Gerentes" ref="A3:B6" totalsRowShown="0" headerRowDxfId="441" dataDxfId="440" tableBorderDxfId="439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438"/>
    <tableColumn id="2" xr3:uid="{00B08831-9CDB-4BD2-BC0F-DC47A6A4F354}" name="ALIAS" dataDxfId="437"/>
  </tableColumns>
  <tableStyleInfo name="TableStyleMedium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Coordinadores" displayName="Coordinadores" ref="D3:F14" totalsRowShown="0" headerRowDxfId="436" dataDxfId="435" tableBorderDxfId="434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433"/>
    <tableColumn id="3" xr3:uid="{2DD1284D-DA80-4597-803E-F543BE29814B}" name="ALIAS"/>
    <tableColumn id="2" xr3:uid="{4267DC2B-70EF-4B96-85D9-390931974CA4}" name="GERENCIA" dataDxfId="432"/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Promotores" displayName="Promotores" ref="H3:K52" totalsRowShown="0" headerRowDxfId="431" dataDxfId="430" tableBorderDxfId="429">
  <autoFilter ref="H3:K52" xr:uid="{B4EB82E4-CF9A-4936-88EA-6D8471CDAA6B}"/>
  <sortState xmlns:xlrd2="http://schemas.microsoft.com/office/spreadsheetml/2017/richdata2" ref="H4:K52">
    <sortCondition ref="K3:K52"/>
  </sortState>
  <tableColumns count="4">
    <tableColumn id="1" xr3:uid="{AB044EFA-BC51-4471-87D5-475D29D84838}" name="NOMBRE" dataDxfId="428"/>
    <tableColumn id="4" xr3:uid="{A184B911-0E2E-4D86-8830-CA03C708B065}" name="ALIAS" dataDxfId="427"/>
    <tableColumn id="2" xr3:uid="{104E3815-4B2A-4477-9382-D78944AFF843}" name="COORDINACION" dataDxfId="426"/>
    <tableColumn id="3" xr3:uid="{461A0A24-4F60-4FB0-A7D3-2D78DCB499E9}" name="GERENCIA" dataDxfId="425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424" dataDxfId="423" totalsRowDxfId="421" tableBorderDxfId="422">
  <autoFilter ref="A8:K9" xr:uid="{9C0FA07F-0DE0-4099-9974-17C69221CC48}"/>
  <tableColumns count="11">
    <tableColumn id="1" xr3:uid="{19C5DD40-BE0D-4F37-942C-33F42CA8A26B}" name="PROMOTOR" totalsRowLabel="TOTAL COMISION" dataDxfId="420" totalsRowDxfId="419"/>
    <tableColumn id="3" xr3:uid="{5B23042C-BE2F-4E30-A41F-5DC03A9C6C4D}" name="CREDENCIAL" dataDxfId="418" totalsRowDxfId="417"/>
    <tableColumn id="4" xr3:uid="{9B4226F9-249A-4A0A-B259-362B9DB0BAF7}" name="NOMBRE DEL ALUMNO" dataDxfId="416" totalsRowDxfId="415"/>
    <tableColumn id="5" xr3:uid="{4A52831D-FAC8-4B99-B890-88CD1DD952B8}" name="COMISION" totalsRowFunction="sum" dataDxfId="414" totalsRowDxfId="413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calculatedColumnFormula>
    </tableColumn>
    <tableColumn id="6" xr3:uid="{98E6506C-CDC5-4BF4-B0EC-396314124A1E}" name="PLANTEL" dataDxfId="412" totalsRowDxfId="411"/>
    <tableColumn id="7" xr3:uid="{E2569798-5824-4510-854E-E7A571E0E564}" name="CURSO" dataDxfId="410" totalsRowDxfId="409"/>
    <tableColumn id="8" xr3:uid="{67FDCAF1-8329-4126-BC1C-00F4EAAF6E00}" name="GRUPO" dataDxfId="408" totalsRowDxfId="407"/>
    <tableColumn id="9" xr3:uid="{AC40ABEB-FD9B-4099-9F83-E129B1162F76}" name="PAGO" dataDxfId="406" totalsRowDxfId="405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404" totalsRowDxfId="403"/>
    <tableColumn id="12" xr3:uid="{DD2945A0-712B-4694-BEE8-E37BE99A65ED}" name="TS PLANTEL " dataDxfId="402" totalsRowDxfId="401"/>
    <tableColumn id="13" xr3:uid="{9F84B062-DFF3-455F-907E-2FFD77D79C98}" name="TS CREDENCIAL " dataDxfId="400" totalsRowDxfId="399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398" dataDxfId="397" totalsRowDxfId="395" tableBorderDxfId="396">
  <autoFilter ref="A8:K9" xr:uid="{C71DDCE0-811A-4D44-9CD0-772974577224}"/>
  <tableColumns count="11">
    <tableColumn id="1" xr3:uid="{A6779933-13F4-45D5-B0BE-0E76DC3825EC}" name="PROMOTOR" totalsRowLabel="TOTAL COMISION" dataDxfId="394" totalsRowDxfId="393"/>
    <tableColumn id="3" xr3:uid="{B062B3B6-A816-4FF4-94DB-3941B90A3AFB}" name="CREDENCIAL" dataDxfId="392" totalsRowDxfId="391"/>
    <tableColumn id="4" xr3:uid="{AC623468-4FBB-4F5F-B2C6-7CA181BD4972}" name="NOMBRE DEL ALUMNO " dataDxfId="390" totalsRowDxfId="389"/>
    <tableColumn id="5" xr3:uid="{1F089BDE-6469-4A0B-BAE3-84045AEC151E}" name="COMISION" totalsRowFunction="sum" dataDxfId="388" totalsRowDxfId="387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386" totalsRowDxfId="385"/>
    <tableColumn id="7" xr3:uid="{0B52D944-9BCE-465A-9E0A-16ACA93A916E}" name="CURSO" dataDxfId="384" totalsRowDxfId="383"/>
    <tableColumn id="8" xr3:uid="{6ED92993-524D-44AC-BCB5-42E120A94D27}" name="GRUPO" dataDxfId="382" totalsRowDxfId="381"/>
    <tableColumn id="9" xr3:uid="{2C6EF25D-446E-444A-B421-53BBA5381135}" name="PAGO" dataDxfId="380" totalsRowDxfId="379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378" totalsRowDxfId="377"/>
    <tableColumn id="12" xr3:uid="{2EB107FE-318E-48B7-A8DC-B15BE97A41DE}" name="TS PLANTEL " dataDxfId="376" totalsRowDxfId="375"/>
    <tableColumn id="13" xr3:uid="{4C94A03A-F424-4744-A7E6-CCB2193F2A8D}" name="TS CREDENCIAL " dataDxfId="374" totalsRowDxfId="373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L70" totalsRowCount="1" headerRowDxfId="372" dataDxfId="371" totalsRowDxfId="369" tableBorderDxfId="370">
  <autoFilter ref="A8:L69" xr:uid="{A305F6E2-D5D6-4EBD-8B3C-0D248B73A287}"/>
  <sortState xmlns:xlrd2="http://schemas.microsoft.com/office/spreadsheetml/2017/richdata2" ref="A9:L69">
    <sortCondition ref="A9:A69"/>
  </sortState>
  <tableColumns count="12">
    <tableColumn id="1" xr3:uid="{7448FB15-C3FC-46D5-9295-B52A380565C0}" name="COORDINADOR" totalsRowLabel="TOTAL COMISION" dataDxfId="368" totalsRowDxfId="356"/>
    <tableColumn id="3" xr3:uid="{F7FE17D9-8003-43E0-96E2-9B972F359B57}" name="CREDENCIAL" dataDxfId="367" totalsRowDxfId="355"/>
    <tableColumn id="4" xr3:uid="{AC7EEA83-9F8E-44E3-B123-B0B53E6B8EC1}" name="NOMBRE DEL ALUMNO" dataDxfId="366" totalsRowDxfId="354"/>
    <tableColumn id="5" xr3:uid="{0692000D-513F-4924-BAA4-74F65B866529}" name="COMISION" totalsRowFunction="sum" dataDxfId="365" totalsRowDxfId="353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calculatedColumnFormula>
    </tableColumn>
    <tableColumn id="6" xr3:uid="{CA4978CE-10CF-48A8-948B-4C6B5BEB8BF5}" name="PLANTEL" dataDxfId="364" totalsRowDxfId="352"/>
    <tableColumn id="7" xr3:uid="{579CE2E3-347A-4C5C-82DC-98E153BDF40A}" name="CURSO" dataDxfId="363" totalsRowDxfId="351"/>
    <tableColumn id="8" xr3:uid="{0EBAAD61-5825-4628-90D2-2F35F3DA04C7}" name="GRUPO" dataDxfId="362" totalsRowDxfId="350"/>
    <tableColumn id="9" xr3:uid="{DA401AF7-4D16-49DC-8E7E-9B3EC63EABF5}" name="PAGO" dataDxfId="361" totalsRowDxfId="349" dataCellStyle="Currency"/>
    <tableColumn id="10" xr3:uid="{A2F8A34B-2DE7-44AF-8657-CBB70F6C2E5D}" name="FECHA" dataDxfId="360" totalsRowDxfId="348"/>
    <tableColumn id="11" xr3:uid="{9A6A3285-8D3A-4278-8063-F75D4C5AADAC}" name="PROMOTOR" dataDxfId="359" totalsRowDxfId="347"/>
    <tableColumn id="12" xr3:uid="{B6E9C414-52E7-489F-AE3D-3AE657C11D5F}" name="TS PLANTEL " dataDxfId="358" totalsRowDxfId="346"/>
    <tableColumn id="13" xr3:uid="{94FB8847-55A2-4AB1-892D-CC285D0C120B}" name="TS CREDENCIAL " dataDxfId="357" totalsRowDxfId="345"/>
  </tableColumns>
  <tableStyleInfo name="TableStyleMedium1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A4C78F3-78FD-42D5-925E-198E85E890BF}" name="Tabla_Coordinador28" displayName="Tabla_Coordinador28" ref="A8:K40" totalsRowCount="1" headerRowDxfId="344" dataDxfId="343" totalsRowDxfId="342" tableBorderDxfId="341">
  <autoFilter ref="A8:K39" xr:uid="{9C0FA07F-0DE0-4099-9974-17C69221CC48}"/>
  <sortState xmlns:xlrd2="http://schemas.microsoft.com/office/spreadsheetml/2017/richdata2" ref="A9:K39">
    <sortCondition ref="A9:A39"/>
  </sortState>
  <tableColumns count="11">
    <tableColumn id="1" xr3:uid="{454AAA1B-6461-4BF4-BE89-188D542B134A}" name="PROMOTOR" totalsRowLabel="TOTAL COMISION" dataDxfId="340" totalsRowDxfId="314"/>
    <tableColumn id="3" xr3:uid="{4BFB99CB-C48B-4F63-9EE5-7D32A890C0DC}" name="CREDENCIAL" dataDxfId="339" totalsRowDxfId="313"/>
    <tableColumn id="4" xr3:uid="{2EE5C4F1-9092-4411-B63F-0E073DC01C4C}" name="NOMBRE DEL ALUMNO" dataDxfId="338" totalsRowDxfId="312"/>
    <tableColumn id="5" xr3:uid="{9BEA55CF-74DA-4906-B6C7-CDC42B8B2D1D}" name="COMISION" totalsRowFunction="sum" dataDxfId="337" totalsRowDxfId="311">
      <calculatedColumnFormula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calculatedColumnFormula>
    </tableColumn>
    <tableColumn id="6" xr3:uid="{E0B6DAE8-BF0E-405B-B788-C26ABBF112FB}" name="PLANTEL" dataDxfId="336" totalsRowDxfId="310"/>
    <tableColumn id="7" xr3:uid="{1C83ACD5-0D89-478F-8EA6-BF37D5018960}" name="CURSO" dataDxfId="335" totalsRowDxfId="309"/>
    <tableColumn id="8" xr3:uid="{A7411410-EB31-4CB2-BAE6-BECC0AA3AA31}" name="GRUPO" dataDxfId="334" totalsRowDxfId="308"/>
    <tableColumn id="9" xr3:uid="{6EADE842-41EB-47C3-AA2E-EFC7CDE75C76}" name="PAGO" dataDxfId="333" totalsRowDxfId="307" dataCellStyle="Currency">
      <calculatedColumnFormula>IFERROR(VLOOKUP(Tabla_Coordinador28[[#This Row],[CREDENCIAL]], Tabla_Gerente[[CREDENCIAL]:[PAGO]], 7, FALSE), 0)</calculatedColumnFormula>
    </tableColumn>
    <tableColumn id="10" xr3:uid="{3E5A7672-48D1-42F9-B601-3B8F3A601BEC}" name="FECHA" dataDxfId="332" totalsRowDxfId="306"/>
    <tableColumn id="12" xr3:uid="{41AADF08-2675-4DD6-A966-5AD3511CC676}" name="TS PLANTEL " dataDxfId="331" totalsRowDxfId="305"/>
    <tableColumn id="13" xr3:uid="{3DB277A5-EF32-4875-BD1C-306F44075A1F}" name="TS CREDENCIAL " dataDxfId="330" totalsRowDxfId="304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A66E22D-8307-4728-BCFA-D94051E0FB3B}" name="Tabla_Promotor33" displayName="Tabla_Promotor33" ref="A8:K16" totalsRowCount="1" headerRowDxfId="247" dataDxfId="246" totalsRowDxfId="245" tableBorderDxfId="244">
  <autoFilter ref="A8:K15" xr:uid="{C71DDCE0-811A-4D44-9CD0-772974577224}"/>
  <tableColumns count="11">
    <tableColumn id="1" xr3:uid="{846BC54F-0747-4C9C-A089-D50050332F60}" name="PROMOTOR" totalsRowLabel="TOTAL COMISION" dataDxfId="243" totalsRowDxfId="199"/>
    <tableColumn id="3" xr3:uid="{06A44DB9-0039-41C8-92EF-9ACADB8CD86C}" name="CREDENCIAL" dataDxfId="242" totalsRowDxfId="198"/>
    <tableColumn id="4" xr3:uid="{054FCC99-665C-4265-B1FF-BCDF52775AB2}" name="NOMBRE DEL ALUMNO " dataDxfId="241" totalsRowDxfId="197"/>
    <tableColumn id="5" xr3:uid="{5F145714-D5B0-4672-9417-84F5D1F9E111}" name="COMISION" totalsRowFunction="sum" dataDxfId="240" totalsRowDxfId="196">
      <calculatedColumnFormula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calculatedColumnFormula>
    </tableColumn>
    <tableColumn id="6" xr3:uid="{4D37A400-C831-4658-B949-29D2962160E1}" name="PLANTEL" dataDxfId="239" totalsRowDxfId="195"/>
    <tableColumn id="7" xr3:uid="{6DD0EEC4-C85E-4296-9100-B99F68CA3ACD}" name="CURSO" dataDxfId="238" totalsRowDxfId="194"/>
    <tableColumn id="8" xr3:uid="{C2E3C611-957E-4BDF-88E5-5A851EDF0B16}" name="GRUPO" dataDxfId="237" totalsRowDxfId="193"/>
    <tableColumn id="9" xr3:uid="{1F7A7AE2-FDAF-4AC0-9732-14E01C89AC8F}" name="PAGO" dataDxfId="236" totalsRowDxfId="192">
      <calculatedColumnFormula>IFERROR(VLOOKUP(Tabla_Promotor33[[#This Row],[CREDENCIAL]], Tabla_Gerente[[CREDENCIAL]:[PAGO]], 7, FALSE), 0)</calculatedColumnFormula>
    </tableColumn>
    <tableColumn id="10" xr3:uid="{F8C5985E-249F-4905-BD09-E354E809172F}" name="FECHA" dataDxfId="235" totalsRowDxfId="191"/>
    <tableColumn id="12" xr3:uid="{DEB6F3E6-5EE7-4D8C-B8E1-E1FB48C0E567}" name="TS PLANTEL " dataDxfId="234" totalsRowDxfId="190"/>
    <tableColumn id="13" xr3:uid="{2F70F238-C91D-468C-8747-5A415967E693}" name="TS CREDENCIAL " dataDxfId="233" totalsRowDxfId="189"/>
  </tableColumns>
  <tableStyleInfo name="TableStyleMedium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BAD75D1-C497-43BF-9571-533F115408F9}" name="Tabla_Promotor32" displayName="Tabla_Promotor32" ref="A8:K13" totalsRowCount="1" headerRowDxfId="262" dataDxfId="261" totalsRowDxfId="260" tableBorderDxfId="259">
  <autoFilter ref="A8:K12" xr:uid="{C71DDCE0-811A-4D44-9CD0-772974577224}"/>
  <tableColumns count="11">
    <tableColumn id="1" xr3:uid="{BD944BF1-ABFF-4B0E-A2F3-DC24AE3C7C6F}" name="PROMOTOR" totalsRowLabel="TOTAL COMISION" dataDxfId="258" totalsRowDxfId="210"/>
    <tableColumn id="3" xr3:uid="{E67E18F7-E8AB-41ED-A22C-C263716DF859}" name="CREDENCIAL" dataDxfId="257" totalsRowDxfId="209"/>
    <tableColumn id="4" xr3:uid="{8EDBC5DC-3A04-4552-92E8-DC1A4AC4560B}" name="NOMBRE DEL ALUMNO " dataDxfId="256" totalsRowDxfId="208"/>
    <tableColumn id="5" xr3:uid="{7AF8198D-0DF2-41CA-A3B6-445D318DE554}" name="COMISION" totalsRowFunction="sum" dataDxfId="255" totalsRowDxfId="207">
      <calculatedColumnFormula>IF(
    OR(
        Tabla_Promotor32[[#This Row],[GRUPO]] = "",
        Tabla_Promotor32[[#This Row],[GRUPO]] = 500,
        COUNTIF(Tabla_Promotor32[CREDENCIAL], Tabla_Promotor32[[#This Row],[CREDENCIAL]]) &gt; 1,
        COUNTIF(Tabla_Gerente[CREDENCIAL], Tabla_Promotor32[[#This Row],[CREDENCIAL]]) &gt; 1,
    ),
    0,
    IF(
        Tabla_Promotor32[[#This Row],[GRUPO]] = 503,
        Tabla_Promotor32[[#This Row],[PAGO]],
        IF(
            Tabla_Promotor32[[#This Row],[PAGO]] &gt;= 299,
            Tabla_Promotor32[[#This Row],[PAGO]] - 150,
            0
        )
    )
)</calculatedColumnFormula>
    </tableColumn>
    <tableColumn id="6" xr3:uid="{7969E287-97EB-4B8F-B2D0-8AB45F689A09}" name="PLANTEL" dataDxfId="254" totalsRowDxfId="206"/>
    <tableColumn id="7" xr3:uid="{3B450E79-B24A-442F-801F-46A7A6CB3ABB}" name="CURSO" dataDxfId="253" totalsRowDxfId="205"/>
    <tableColumn id="8" xr3:uid="{63FFA0B6-F1EA-461B-AA59-F6D4567E96A7}" name="GRUPO" dataDxfId="252" totalsRowDxfId="204"/>
    <tableColumn id="9" xr3:uid="{48C2A94E-8703-41AA-8EA4-975313F586B7}" name="PAGO" dataDxfId="251" totalsRowDxfId="203">
      <calculatedColumnFormula>IFERROR(VLOOKUP(Tabla_Promotor32[[#This Row],[CREDENCIAL]], Tabla_Gerente[[CREDENCIAL]:[PAGO]], 7, FALSE), 0)</calculatedColumnFormula>
    </tableColumn>
    <tableColumn id="10" xr3:uid="{9CA7AB27-4521-4370-A8FD-3C471AEB333D}" name="FECHA" dataDxfId="250" totalsRowDxfId="202"/>
    <tableColumn id="12" xr3:uid="{C054E6EF-2729-4D2C-A609-BD942F097ED2}" name="TS PLANTEL " dataDxfId="249" totalsRowDxfId="201"/>
    <tableColumn id="13" xr3:uid="{3642F815-87D9-4D54-A9A6-C5B2F6F52811}" name="TS CREDENCIAL " dataDxfId="248" totalsRowDxfId="200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DB0F85A-CDA0-4958-97BA-737218873407}" name="Tabla_Promotor31" displayName="Tabla_Promotor31" ref="A8:K13" totalsRowCount="1" headerRowDxfId="277" dataDxfId="276" totalsRowDxfId="275" tableBorderDxfId="274">
  <autoFilter ref="A8:K12" xr:uid="{C71DDCE0-811A-4D44-9CD0-772974577224}"/>
  <tableColumns count="11">
    <tableColumn id="1" xr3:uid="{20791913-B72A-4C65-B492-1908CA9D7D30}" name="PROMOTOR" totalsRowLabel="TOTAL COMISION" dataDxfId="273" totalsRowDxfId="221"/>
    <tableColumn id="3" xr3:uid="{2F033923-DA83-4EF6-B84F-5F58CFD9670F}" name="CREDENCIAL" dataDxfId="272" totalsRowDxfId="220"/>
    <tableColumn id="4" xr3:uid="{70D634F8-86F3-4AB8-99F4-F44BC4BF6982}" name="NOMBRE DEL ALUMNO " dataDxfId="271" totalsRowDxfId="219"/>
    <tableColumn id="5" xr3:uid="{5270CAA8-8FBE-4CB1-A4BD-4B01EDEA0AD8}" name="COMISION" totalsRowFunction="sum" dataDxfId="270" totalsRowDxfId="218">
      <calculatedColumnFormula>IF(
    OR(
        Tabla_Promotor31[[#This Row],[GRUPO]] = "",
        Tabla_Promotor31[[#This Row],[GRUPO]] = 500,
        COUNTIF(Tabla_Promotor31[CREDENCIAL], Tabla_Promotor31[[#This Row],[CREDENCIAL]]) &gt; 1,
        COUNTIF(Tabla_Gerente[CREDENCIAL], Tabla_Promotor31[[#This Row],[CREDENCIAL]]) &gt; 1,
    ),
    0,
    IF(
        Tabla_Promotor31[[#This Row],[GRUPO]] = 503,
        Tabla_Promotor31[[#This Row],[PAGO]],
        IF(
            Tabla_Promotor31[[#This Row],[PAGO]] &gt;= 299,
            Tabla_Promotor31[[#This Row],[PAGO]] - 150,
            0
        )
    )
)</calculatedColumnFormula>
    </tableColumn>
    <tableColumn id="6" xr3:uid="{598BE9C2-9D44-4181-B73D-A00EE939B35F}" name="PLANTEL" dataDxfId="269" totalsRowDxfId="217"/>
    <tableColumn id="7" xr3:uid="{93F32122-017E-4440-B7A6-01A974A20CDE}" name="CURSO" dataDxfId="268" totalsRowDxfId="216"/>
    <tableColumn id="8" xr3:uid="{FC3C6624-86A9-4F9E-B2B2-2664147EBB9A}" name="GRUPO" dataDxfId="267" totalsRowDxfId="215"/>
    <tableColumn id="9" xr3:uid="{F3784C51-EBA2-45AB-9DDF-3319D44F6163}" name="PAGO" dataDxfId="266" totalsRowDxfId="214">
      <calculatedColumnFormula>IFERROR(VLOOKUP(Tabla_Promotor31[[#This Row],[CREDENCIAL]], Tabla_Gerente[[CREDENCIAL]:[PAGO]], 7, FALSE), 0)</calculatedColumnFormula>
    </tableColumn>
    <tableColumn id="10" xr3:uid="{5B6CCC69-5CAE-46B7-9DB4-54358B863166}" name="FECHA" dataDxfId="265" totalsRowDxfId="213"/>
    <tableColumn id="12" xr3:uid="{F223407D-0938-4887-AF08-E0651A6D6CE5}" name="TS PLANTEL " dataDxfId="264" totalsRowDxfId="212"/>
    <tableColumn id="13" xr3:uid="{AA30F4D6-8F97-4B98-B674-361D4F968B97}" name="TS CREDENCIAL " dataDxfId="263" totalsRowDxfId="211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9F58355-52B0-48DF-B7F3-0D91415DB88B}" name="Tabla_Promotor30" displayName="Tabla_Promotor30" ref="A8:K25" totalsRowCount="1" headerRowDxfId="292" dataDxfId="291" totalsRowDxfId="290" tableBorderDxfId="289">
  <autoFilter ref="A8:K24" xr:uid="{C71DDCE0-811A-4D44-9CD0-772974577224}"/>
  <tableColumns count="11">
    <tableColumn id="1" xr3:uid="{E51D7D17-E353-4B43-9875-30F9FE472641}" name="PROMOTOR" totalsRowLabel="TOTAL COMISION" dataDxfId="288" totalsRowDxfId="232"/>
    <tableColumn id="3" xr3:uid="{6654341C-1C9C-4BE3-AC57-E52A480F4BE7}" name="CREDENCIAL" dataDxfId="287" totalsRowDxfId="231"/>
    <tableColumn id="4" xr3:uid="{1088D450-9F9D-4E07-9BCD-F2F234747241}" name="NOMBRE DEL ALUMNO " dataDxfId="286" totalsRowDxfId="230"/>
    <tableColumn id="5" xr3:uid="{F81E636C-8EE6-4FF0-8543-1113D460EC70}" name="COMISION" totalsRowFunction="sum" dataDxfId="285" totalsRowDxfId="229">
      <calculatedColumnFormula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calculatedColumnFormula>
    </tableColumn>
    <tableColumn id="6" xr3:uid="{5DA3D804-EDF6-47FC-9072-A804BC82CE82}" name="PLANTEL" dataDxfId="284" totalsRowDxfId="228"/>
    <tableColumn id="7" xr3:uid="{5DF145D7-F5D8-4224-8839-123F8C7F9212}" name="CURSO" dataDxfId="283" totalsRowDxfId="227"/>
    <tableColumn id="8" xr3:uid="{7C74C548-3045-43B2-89DD-E7C22E834CC5}" name="GRUPO" dataDxfId="282" totalsRowDxfId="226"/>
    <tableColumn id="9" xr3:uid="{2DF5009E-C648-4BA5-AF95-EE821F5A62FC}" name="PAGO" dataDxfId="281" totalsRowDxfId="225">
      <calculatedColumnFormula>IFERROR(VLOOKUP(Tabla_Promotor30[[#This Row],[CREDENCIAL]], Tabla_Gerente[[CREDENCIAL]:[PAGO]], 7, FALSE), 0)</calculatedColumnFormula>
    </tableColumn>
    <tableColumn id="10" xr3:uid="{CCF6A64C-73A8-4F34-A7D0-3B6DA63C4281}" name="FECHA" dataDxfId="280" totalsRowDxfId="224"/>
    <tableColumn id="12" xr3:uid="{94456F37-3290-4E1D-9C9F-10977009A042}" name="TS PLANTEL " dataDxfId="279" totalsRowDxfId="223"/>
    <tableColumn id="13" xr3:uid="{8D9C738E-207F-44FE-8B86-7C54CCF4F05F}" name="TS CREDENCIAL " dataDxfId="278" totalsRowDxfId="222"/>
  </tableColumns>
  <tableStyleInfo name="TableStyleMedium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DB0B04-A03E-45FD-9182-E8E728E85E69}" name="Tabla_Coordinador29" displayName="Tabla_Coordinador29" ref="A8:K39" totalsRowCount="1" headerRowDxfId="329" dataDxfId="328" totalsRowDxfId="327" tableBorderDxfId="326">
  <autoFilter ref="A8:K38" xr:uid="{9C0FA07F-0DE0-4099-9974-17C69221CC48}"/>
  <sortState xmlns:xlrd2="http://schemas.microsoft.com/office/spreadsheetml/2017/richdata2" ref="A9:K38">
    <sortCondition ref="A9:A38"/>
  </sortState>
  <tableColumns count="11">
    <tableColumn id="1" xr3:uid="{4F0ED9FD-F0E8-490E-AA6A-764C4D8A886B}" name="PROMOTOR" totalsRowLabel="TOTAL COMISION" dataDxfId="325" totalsRowDxfId="303"/>
    <tableColumn id="3" xr3:uid="{037B92FE-A961-4DFA-8131-87C8EF102418}" name="CREDENCIAL" dataDxfId="324" totalsRowDxfId="302"/>
    <tableColumn id="4" xr3:uid="{1800BABB-6360-468A-B47B-893A4C7F7B23}" name="NOMBRE DEL ALUMNO" dataDxfId="323" totalsRowDxfId="301"/>
    <tableColumn id="5" xr3:uid="{FD56A1AC-8E07-4717-A675-B9618DBC6B8F}" name="COMISION" totalsRowFunction="sum" dataDxfId="322" totalsRowDxfId="300">
      <calculatedColumnFormula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calculatedColumnFormula>
    </tableColumn>
    <tableColumn id="6" xr3:uid="{0B8025EB-7FC4-4780-A508-C85F969A46E5}" name="PLANTEL" dataDxfId="321" totalsRowDxfId="299"/>
    <tableColumn id="7" xr3:uid="{925503DC-CEB3-4FD3-9548-B743B4AB7B5B}" name="CURSO" dataDxfId="320" totalsRowDxfId="298"/>
    <tableColumn id="8" xr3:uid="{A2996B49-C024-48C8-BA30-C9EAB3681A27}" name="GRUPO" dataDxfId="319" totalsRowDxfId="297"/>
    <tableColumn id="9" xr3:uid="{C7ED0500-0360-41C2-B447-FA2F1A48CC4E}" name="PAGO" dataDxfId="318" totalsRowDxfId="296" dataCellStyle="Currency">
      <calculatedColumnFormula>IFERROR(VLOOKUP(Tabla_Coordinador29[[#This Row],[CREDENCIAL]], Tabla_Gerente[[CREDENCIAL]:[PAGO]], 7, FALSE), 0)</calculatedColumnFormula>
    </tableColumn>
    <tableColumn id="10" xr3:uid="{38DC3320-5BD0-4416-AD6D-F2BFB4B02EF9}" name="FECHA" dataDxfId="317" totalsRowDxfId="295"/>
    <tableColumn id="12" xr3:uid="{4F00BCD7-896A-4E19-A781-A341836388CC}" name="TS PLANTEL " dataDxfId="316" totalsRowDxfId="294"/>
    <tableColumn id="13" xr3:uid="{F7F92958-907E-46E5-91CF-29780C58398E}" name="TS CREDENCIAL " dataDxfId="315" totalsRowDxfId="293"/>
  </tableColumns>
  <tableStyleInfo name="TableStyleMedium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C09163D-ED95-48F0-977C-A8B56E29A9C7}" name="Tabla_Promotor37" displayName="Tabla_Promotor37" ref="A8:K19" totalsRowCount="1" headerRowDxfId="143" dataDxfId="142" totalsRowDxfId="141" tableBorderDxfId="140">
  <autoFilter ref="A8:K18" xr:uid="{C71DDCE0-811A-4D44-9CD0-772974577224}"/>
  <tableColumns count="11">
    <tableColumn id="1" xr3:uid="{D7CEDAEF-3BA7-49EA-BE95-C64522ABC99B}" name="PROMOTOR" totalsRowLabel="TOTAL COMISION" dataDxfId="139" totalsRowDxfId="10"/>
    <tableColumn id="3" xr3:uid="{E4450D46-7539-495B-8CAC-8A50B24620EA}" name="CREDENCIAL" dataDxfId="138" totalsRowDxfId="9"/>
    <tableColumn id="4" xr3:uid="{C6FA444A-60BB-45C2-BC1B-5430F77240BB}" name="NOMBRE DEL ALUMNO " dataDxfId="137" totalsRowDxfId="8"/>
    <tableColumn id="5" xr3:uid="{0948A370-A551-40F9-A672-332D2124218B}" name="COMISION" totalsRowFunction="sum" dataDxfId="136" totalsRowDxfId="7">
      <calculatedColumnFormula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calculatedColumnFormula>
    </tableColumn>
    <tableColumn id="6" xr3:uid="{D60395FF-8460-46AF-AB2C-850A3FD3A45E}" name="PLANTEL" dataDxfId="135" totalsRowDxfId="6"/>
    <tableColumn id="7" xr3:uid="{094D3E05-D0E2-43AC-90A0-3475AE698D4F}" name="CURSO" dataDxfId="134" totalsRowDxfId="5"/>
    <tableColumn id="8" xr3:uid="{B10EFE24-8E6A-42C3-8A3E-0B4445F89A9F}" name="GRUPO" dataDxfId="133" totalsRowDxfId="4"/>
    <tableColumn id="9" xr3:uid="{22BC421C-116C-4718-B43E-F82BF307AF0F}" name="PAGO" dataDxfId="132" totalsRowDxfId="3">
      <calculatedColumnFormula>IFERROR(VLOOKUP(Tabla_Promotor37[[#This Row],[CREDENCIAL]], Tabla_Gerente[[CREDENCIAL]:[PAGO]], 7, FALSE), 0)</calculatedColumnFormula>
    </tableColumn>
    <tableColumn id="10" xr3:uid="{764A8DDA-585F-413E-AFB8-46551F7D8577}" name="FECHA" dataDxfId="131" totalsRowDxfId="2"/>
    <tableColumn id="12" xr3:uid="{06367430-E39F-4BEF-A29D-61A5CFBCE4C4}" name="TS PLANTEL " dataDxfId="130" totalsRowDxfId="1"/>
    <tableColumn id="13" xr3:uid="{6526678C-8A8A-4375-B912-A3A3D94D3E44}" name="TS CREDENCIAL " dataDxfId="129" totalsRowDxfId="0"/>
  </tableColumns>
  <tableStyleInfo name="TableStyleMedium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346EA5A-4B55-47D0-A185-956BD7E524D2}" name="Tabla_Promotor36" displayName="Tabla_Promotor36" ref="A8:K15" totalsRowCount="1" headerRowDxfId="158" dataDxfId="157" totalsRowDxfId="156" tableBorderDxfId="155">
  <autoFilter ref="A8:K14" xr:uid="{C71DDCE0-811A-4D44-9CD0-772974577224}"/>
  <tableColumns count="11">
    <tableColumn id="1" xr3:uid="{4E908FA8-DAC6-4CDE-A507-0BCFAC5E620D}" name="PROMOTOR" totalsRowLabel="TOTAL COMISION" dataDxfId="154" totalsRowDxfId="106"/>
    <tableColumn id="3" xr3:uid="{5C5B64EA-B1CF-4535-8E84-B3AE5C760602}" name="CREDENCIAL" dataDxfId="153" totalsRowDxfId="105"/>
    <tableColumn id="4" xr3:uid="{E7DF0222-17EA-4DB7-A31E-4B07CD44ED1B}" name="NOMBRE DEL ALUMNO " dataDxfId="152" totalsRowDxfId="104"/>
    <tableColumn id="5" xr3:uid="{B5AF2624-F932-4CA9-A7E7-E0D70D9FADC3}" name="COMISION" totalsRowFunction="sum" dataDxfId="151" totalsRowDxfId="103">
      <calculatedColumnFormula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calculatedColumnFormula>
    </tableColumn>
    <tableColumn id="6" xr3:uid="{5D683C22-D55F-4677-B5BA-3306936D3471}" name="PLANTEL" dataDxfId="150" totalsRowDxfId="102"/>
    <tableColumn id="7" xr3:uid="{FEB8FEE1-DC09-4E5E-9563-458AA1D4815B}" name="CURSO" dataDxfId="149" totalsRowDxfId="101"/>
    <tableColumn id="8" xr3:uid="{55AB03B5-E26A-48C0-BD3D-AFDB9C3B3FC3}" name="GRUPO" dataDxfId="148" totalsRowDxfId="100"/>
    <tableColumn id="9" xr3:uid="{DD81FB3F-EEF4-40DF-9194-59D82E0549F0}" name="PAGO" dataDxfId="147" totalsRowDxfId="99">
      <calculatedColumnFormula>IFERROR(VLOOKUP(Tabla_Promotor36[[#This Row],[CREDENCIAL]], Tabla_Gerente[[CREDENCIAL]:[PAGO]], 7, FALSE), 0)</calculatedColumnFormula>
    </tableColumn>
    <tableColumn id="10" xr3:uid="{5511652C-D8C6-44A5-9E8D-E20525D27D0B}" name="FECHA" dataDxfId="146" totalsRowDxfId="98"/>
    <tableColumn id="12" xr3:uid="{C8D12D4B-AD54-4CA7-81E6-608BD4111B7E}" name="TS PLANTEL " dataDxfId="145" totalsRowDxfId="97"/>
    <tableColumn id="13" xr3:uid="{73C9036A-FBF8-43C0-96BB-FECA4184CF04}" name="TS CREDENCIAL " dataDxfId="144" totalsRowDxfId="96"/>
  </tableColumns>
  <tableStyleInfo name="TableStyleMedium2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36EA1E0-8537-4510-899D-2E6B14490BC6}" name="Tabla_Promotor35" displayName="Tabla_Promotor35" ref="A8:K14" totalsRowCount="1" headerRowDxfId="173" dataDxfId="172" totalsRowDxfId="171" tableBorderDxfId="170">
  <autoFilter ref="A8:K13" xr:uid="{C71DDCE0-811A-4D44-9CD0-772974577224}"/>
  <tableColumns count="11">
    <tableColumn id="1" xr3:uid="{B8D936A1-27FE-40E0-8B33-FEF1359429C8}" name="PROMOTOR" totalsRowLabel="TOTAL COMISION" dataDxfId="169" totalsRowDxfId="117"/>
    <tableColumn id="3" xr3:uid="{EDBE184D-78B5-4FC3-AA57-BCBA2E9B6ED0}" name="CREDENCIAL" dataDxfId="168" totalsRowDxfId="116"/>
    <tableColumn id="4" xr3:uid="{49E5484F-3CFD-4097-8A7F-D275BD789D9F}" name="NOMBRE DEL ALUMNO " dataDxfId="167" totalsRowDxfId="115"/>
    <tableColumn id="5" xr3:uid="{CC7B3E66-DA51-4311-8DB8-1E233F649B04}" name="COMISION" totalsRowFunction="sum" dataDxfId="166" totalsRowDxfId="114">
      <calculatedColumnFormula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calculatedColumnFormula>
    </tableColumn>
    <tableColumn id="6" xr3:uid="{5515819C-A557-435F-B626-EB7C6184115F}" name="PLANTEL" dataDxfId="165" totalsRowDxfId="113"/>
    <tableColumn id="7" xr3:uid="{A1AB92DB-E593-4683-9481-DA8B79880948}" name="CURSO" dataDxfId="164" totalsRowDxfId="112"/>
    <tableColumn id="8" xr3:uid="{E0403060-C158-4010-A66A-4089B76A0279}" name="GRUPO" dataDxfId="163" totalsRowDxfId="111"/>
    <tableColumn id="9" xr3:uid="{BA6A7558-F360-4654-95CF-F73F1ABB1695}" name="PAGO" dataDxfId="162" totalsRowDxfId="110">
      <calculatedColumnFormula>IFERROR(VLOOKUP(Tabla_Promotor35[[#This Row],[CREDENCIAL]], Tabla_Gerente[[CREDENCIAL]:[PAGO]], 7, FALSE), 0)</calculatedColumnFormula>
    </tableColumn>
    <tableColumn id="10" xr3:uid="{96318073-7E19-43FD-B27D-7FDCF4763A8A}" name="FECHA" dataDxfId="161" totalsRowDxfId="109"/>
    <tableColumn id="12" xr3:uid="{E82F0FD1-A3EF-460E-B4A6-5DA1DCC0C0BE}" name="TS PLANTEL " dataDxfId="160" totalsRowDxfId="108"/>
    <tableColumn id="13" xr3:uid="{15A12D75-0769-456C-A492-89A7BE6C7705}" name="TS CREDENCIAL " dataDxfId="159" totalsRowDxfId="107"/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C4275B-1C0B-42A7-ACD4-FC52928E314C}" name="Tabla_Promotor34" displayName="Tabla_Promotor34" ref="A8:K18" totalsRowCount="1" headerRowDxfId="188" dataDxfId="187" totalsRowDxfId="186" tableBorderDxfId="185">
  <autoFilter ref="A8:K17" xr:uid="{C71DDCE0-811A-4D44-9CD0-772974577224}"/>
  <tableColumns count="11">
    <tableColumn id="1" xr3:uid="{5880AA75-9A20-4BC6-9154-C2ABCB52F3EF}" name="PROMOTOR" totalsRowLabel="TOTAL COMISION" dataDxfId="184" totalsRowDxfId="128"/>
    <tableColumn id="3" xr3:uid="{9C1664BB-44A4-4A41-8EFC-82B1F2F35337}" name="CREDENCIAL" dataDxfId="183" totalsRowDxfId="127"/>
    <tableColumn id="4" xr3:uid="{9355D656-36D2-4139-9D7E-E13728B37BBA}" name="NOMBRE DEL ALUMNO " dataDxfId="182" totalsRowDxfId="126"/>
    <tableColumn id="5" xr3:uid="{C948F8AF-845B-48DF-B547-7F447ECE8D0A}" name="COMISION" totalsRowFunction="sum" dataDxfId="181" totalsRowDxfId="125">
      <calculatedColumnFormula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calculatedColumnFormula>
    </tableColumn>
    <tableColumn id="6" xr3:uid="{9D1E2E32-4E9A-468E-A683-616DBBF6288A}" name="PLANTEL" dataDxfId="180" totalsRowDxfId="124"/>
    <tableColumn id="7" xr3:uid="{D5E9F479-29C7-49FA-AE70-37465B3040CA}" name="CURSO" dataDxfId="179" totalsRowDxfId="123"/>
    <tableColumn id="8" xr3:uid="{33D6F82B-D694-4386-96DF-E5679056B583}" name="GRUPO" dataDxfId="178" totalsRowDxfId="122"/>
    <tableColumn id="9" xr3:uid="{69ED4DC4-C8CD-437B-AFA6-1E810D1D3E2F}" name="PAGO" dataDxfId="177" totalsRowDxfId="121">
      <calculatedColumnFormula>IFERROR(VLOOKUP(Tabla_Promotor34[[#This Row],[CREDENCIAL]], Tabla_Gerente[[CREDENCIAL]:[PAGO]], 7, FALSE), 0)</calculatedColumnFormula>
    </tableColumn>
    <tableColumn id="10" xr3:uid="{08DB5266-8534-44C3-B39B-9B6ED24C2430}" name="FECHA" dataDxfId="176" totalsRowDxfId="120"/>
    <tableColumn id="12" xr3:uid="{332ECDB3-B991-4454-8F0D-FBE4354EED91}" name="TS PLANTEL " dataDxfId="175" totalsRowDxfId="119"/>
    <tableColumn id="13" xr3:uid="{84F542EB-D9E6-4A6A-8831-158277F5FB14}" name="TS CREDENCIAL " dataDxfId="174" totalsRowDxfId="118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G17" sqref="G17"/>
    </sheetView>
  </sheetViews>
  <sheetFormatPr defaultColWidth="22.28515625" defaultRowHeight="15" x14ac:dyDescent="0.25"/>
  <cols>
    <col min="1" max="1" width="22.42578125" bestFit="1" customWidth="1"/>
    <col min="2" max="2" width="24.7109375" bestFit="1" customWidth="1"/>
    <col min="3" max="6" width="11.5703125" bestFit="1" customWidth="1"/>
    <col min="7" max="7" width="2.85546875" customWidth="1"/>
    <col min="8" max="8" width="23.140625" bestFit="1" customWidth="1"/>
    <col min="9" max="9" width="11.5703125" bestFit="1" customWidth="1"/>
    <col min="10" max="10" width="2.85546875" customWidth="1"/>
    <col min="11" max="11" width="16.28515625" bestFit="1" customWidth="1"/>
    <col min="12" max="12" width="11.5703125" bestFit="1" customWidth="1"/>
  </cols>
  <sheetData>
    <row r="1" spans="1:13" ht="20.25" thickBot="1" x14ac:dyDescent="0.35">
      <c r="A1" s="68" t="s">
        <v>0</v>
      </c>
      <c r="B1" s="63"/>
      <c r="C1" s="63"/>
      <c r="D1" s="63"/>
      <c r="E1" s="63"/>
      <c r="F1" s="63"/>
      <c r="H1" s="68" t="s">
        <v>9</v>
      </c>
      <c r="I1" s="63"/>
      <c r="J1" s="7"/>
      <c r="K1" s="63" t="s">
        <v>3</v>
      </c>
      <c r="L1" s="63"/>
      <c r="M1" s="6"/>
    </row>
    <row r="2" spans="1:13" ht="15" customHeight="1" thickTop="1" x14ac:dyDescent="0.25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5.75" x14ac:dyDescent="0.25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5.75" x14ac:dyDescent="0.25">
      <c r="A4" s="4" t="s">
        <v>2</v>
      </c>
      <c r="B4" s="4" t="s">
        <v>58</v>
      </c>
      <c r="C4" s="71" t="s">
        <v>56</v>
      </c>
      <c r="D4" s="71" t="s">
        <v>10</v>
      </c>
      <c r="E4" s="71" t="s">
        <v>11</v>
      </c>
      <c r="F4" s="71" t="s">
        <v>12</v>
      </c>
      <c r="H4" s="70" t="s">
        <v>5</v>
      </c>
      <c r="I4" s="70" t="s">
        <v>1</v>
      </c>
      <c r="J4" s="6"/>
      <c r="K4" s="70" t="s">
        <v>5</v>
      </c>
      <c r="L4" s="70" t="s">
        <v>1</v>
      </c>
      <c r="M4" s="6"/>
    </row>
    <row r="5" spans="1:13" ht="15.75" x14ac:dyDescent="0.25">
      <c r="A5" s="67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5.75" x14ac:dyDescent="0.25">
      <c r="A6" s="67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5.75" x14ac:dyDescent="0.25">
      <c r="A7" s="67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5.75" x14ac:dyDescent="0.25">
      <c r="A8" s="67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5.75" x14ac:dyDescent="0.25">
      <c r="A9" s="67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5.75" x14ac:dyDescent="0.25">
      <c r="A10" s="67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5.75" x14ac:dyDescent="0.25">
      <c r="A11" s="67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5.75" x14ac:dyDescent="0.25">
      <c r="A12" s="72" t="s">
        <v>54</v>
      </c>
      <c r="B12" s="72" t="s">
        <v>55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5.75" x14ac:dyDescent="0.25">
      <c r="A13" s="1">
        <v>0</v>
      </c>
      <c r="B13" s="1">
        <f>COLUMN(Premios_Promotor[[#Headers],[0]])</f>
        <v>2</v>
      </c>
      <c r="C13" s="1"/>
      <c r="K13" s="1">
        <v>200</v>
      </c>
      <c r="L13" s="5">
        <v>8000</v>
      </c>
      <c r="M13" s="5"/>
    </row>
    <row r="14" spans="1:13" ht="15.75" x14ac:dyDescent="0.25">
      <c r="A14" s="1">
        <v>13</v>
      </c>
      <c r="B14" s="1">
        <f>COLUMN(Premios_Promotor[[#Headers],[13]])</f>
        <v>3</v>
      </c>
    </row>
    <row r="15" spans="1:13" x14ac:dyDescent="0.25">
      <c r="A15">
        <v>15</v>
      </c>
      <c r="B15">
        <f>COLUMN(Premios_Promotor[[#Headers],[15]])</f>
        <v>4</v>
      </c>
    </row>
    <row r="16" spans="1:13" x14ac:dyDescent="0.25">
      <c r="A16">
        <v>30</v>
      </c>
      <c r="B16">
        <f>COLUMN(Premios_Promotor[[#Headers],[30]])</f>
        <v>5</v>
      </c>
    </row>
    <row r="17" spans="1:12" x14ac:dyDescent="0.25">
      <c r="A17">
        <v>40</v>
      </c>
      <c r="B17">
        <f>COLUMN(Premios_Promotor[[#Headers],[40]])</f>
        <v>6</v>
      </c>
    </row>
    <row r="19" spans="1:12" ht="15.75" x14ac:dyDescent="0.25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</row>
    <row r="21" spans="1:12" ht="15.75" x14ac:dyDescent="0.25">
      <c r="A21" s="13"/>
      <c r="B21" s="13"/>
      <c r="C21" s="13"/>
      <c r="D21" s="13"/>
    </row>
    <row r="22" spans="1:12" ht="15.75" x14ac:dyDescent="0.25">
      <c r="A22" s="13"/>
      <c r="B22" s="13"/>
      <c r="C22" s="13"/>
      <c r="D22" s="13"/>
    </row>
    <row r="23" spans="1:12" ht="15.75" x14ac:dyDescent="0.25">
      <c r="A23" s="13"/>
      <c r="B23" s="13"/>
      <c r="C23" s="13"/>
      <c r="D23" s="13"/>
    </row>
    <row r="24" spans="1:12" ht="15.7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7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7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7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7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B29" s="41"/>
    </row>
  </sheetData>
  <sheetProtection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D9C9-2602-4C4E-80C4-95B700292557}">
  <sheetPr codeName="Sheet5">
    <tabColor rgb="FFCC99FF"/>
  </sheetPr>
  <dimension ref="A1:L26"/>
  <sheetViews>
    <sheetView workbookViewId="0">
      <selection activeCell="G17" sqref="G17"/>
    </sheetView>
  </sheetViews>
  <sheetFormatPr defaultRowHeight="15" x14ac:dyDescent="0.25"/>
  <cols>
    <col min="1" max="1" width="19.42578125" bestFit="1" customWidth="1"/>
    <col min="2" max="2" width="21" bestFit="1" customWidth="1"/>
  </cols>
  <sheetData>
    <row r="1" spans="1:2" ht="20.25" thickBot="1" x14ac:dyDescent="0.35">
      <c r="A1" s="63" t="s">
        <v>64</v>
      </c>
      <c r="B1" s="63"/>
    </row>
    <row r="2" spans="1:2" ht="20.25" thickTop="1" x14ac:dyDescent="0.3">
      <c r="A2" s="65"/>
    </row>
    <row r="3" spans="1:2" x14ac:dyDescent="0.25">
      <c r="A3" t="s">
        <v>57</v>
      </c>
      <c r="B3" t="s">
        <v>65</v>
      </c>
    </row>
    <row r="4" spans="1:2" x14ac:dyDescent="0.25">
      <c r="A4" t="s">
        <v>47</v>
      </c>
    </row>
    <row r="5" spans="1:2" x14ac:dyDescent="0.25">
      <c r="A5" t="s">
        <v>35</v>
      </c>
    </row>
    <row r="6" spans="1:2" x14ac:dyDescent="0.25">
      <c r="A6" t="s">
        <v>23</v>
      </c>
    </row>
    <row r="7" spans="1:2" x14ac:dyDescent="0.25">
      <c r="A7" t="s">
        <v>41</v>
      </c>
    </row>
    <row r="8" spans="1:2" x14ac:dyDescent="0.25">
      <c r="A8" t="s">
        <v>44</v>
      </c>
    </row>
    <row r="9" spans="1:2" x14ac:dyDescent="0.25">
      <c r="A9" t="s">
        <v>36</v>
      </c>
    </row>
    <row r="10" spans="1:2" x14ac:dyDescent="0.25">
      <c r="A10" t="s">
        <v>37</v>
      </c>
    </row>
    <row r="11" spans="1:2" x14ac:dyDescent="0.25">
      <c r="A11" t="s">
        <v>112</v>
      </c>
    </row>
    <row r="12" spans="1:2" x14ac:dyDescent="0.25">
      <c r="A12" t="s">
        <v>42</v>
      </c>
      <c r="B12" t="s">
        <v>66</v>
      </c>
    </row>
    <row r="13" spans="1:2" x14ac:dyDescent="0.25">
      <c r="A13" t="s">
        <v>39</v>
      </c>
      <c r="B13" t="s">
        <v>66</v>
      </c>
    </row>
    <row r="14" spans="1:2" x14ac:dyDescent="0.25">
      <c r="A14" t="s">
        <v>43</v>
      </c>
    </row>
    <row r="15" spans="1:2" x14ac:dyDescent="0.25">
      <c r="A15" t="s">
        <v>38</v>
      </c>
      <c r="B15" t="s">
        <v>66</v>
      </c>
    </row>
    <row r="16" spans="1:2" x14ac:dyDescent="0.25">
      <c r="A16" t="s">
        <v>40</v>
      </c>
    </row>
    <row r="17" spans="1:12" ht="15.75" x14ac:dyDescent="0.25">
      <c r="A17" s="13"/>
      <c r="B17" s="13"/>
      <c r="C17" s="29"/>
      <c r="D17" s="28"/>
      <c r="E17" s="26"/>
      <c r="F17" s="26"/>
      <c r="G17" s="13"/>
      <c r="H17" s="13"/>
      <c r="I17" s="13"/>
      <c r="J17" s="13"/>
      <c r="K17" s="13"/>
      <c r="L17" s="13"/>
    </row>
    <row r="18" spans="1:12" ht="15.7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7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7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7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75" x14ac:dyDescent="0.25">
      <c r="J23" s="13"/>
      <c r="K23" s="13"/>
      <c r="L23" s="13"/>
    </row>
    <row r="24" spans="1:12" ht="15.75" x14ac:dyDescent="0.25">
      <c r="J24" s="13"/>
      <c r="K24" s="13"/>
      <c r="L24" s="13"/>
    </row>
    <row r="25" spans="1:12" ht="15.75" x14ac:dyDescent="0.25">
      <c r="J25" s="13"/>
      <c r="K25" s="13"/>
      <c r="L25" s="13"/>
    </row>
    <row r="26" spans="1:12" ht="15.75" x14ac:dyDescent="0.25">
      <c r="J26" s="13"/>
      <c r="K26" s="13"/>
      <c r="L26" s="13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fitToPage="1"/>
  </sheetPr>
  <dimension ref="A1:W51"/>
  <sheetViews>
    <sheetView workbookViewId="0">
      <selection activeCell="G17" sqref="G17"/>
    </sheetView>
  </sheetViews>
  <sheetFormatPr defaultColWidth="11.42578125" defaultRowHeight="15.75" x14ac:dyDescent="0.25"/>
  <cols>
    <col min="1" max="1" width="15" style="1" bestFit="1" customWidth="1"/>
    <col min="2" max="2" width="8.140625" style="2" bestFit="1" customWidth="1"/>
    <col min="3" max="3" width="2.85546875" style="2" customWidth="1"/>
    <col min="4" max="4" width="16.5703125" style="1" bestFit="1" customWidth="1"/>
    <col min="5" max="5" width="5.7109375" style="1" bestFit="1" customWidth="1"/>
    <col min="6" max="6" width="9.85546875" style="1" bestFit="1" customWidth="1"/>
    <col min="7" max="7" width="2.85546875" style="1" customWidth="1"/>
    <col min="8" max="8" width="11" style="1" bestFit="1" customWidth="1"/>
    <col min="9" max="9" width="5.7109375" style="1" bestFit="1" customWidth="1"/>
    <col min="10" max="10" width="9.85546875" style="1" bestFit="1" customWidth="1"/>
    <col min="11" max="11" width="2.85546875" style="1" customWidth="1"/>
    <col min="12" max="12" width="41.7109375" style="1" bestFit="1" customWidth="1"/>
    <col min="13" max="13" width="16.7109375" style="1" bestFit="1" customWidth="1"/>
    <col min="14" max="14" width="12.42578125" bestFit="1" customWidth="1"/>
    <col min="15" max="15" width="20.28515625" style="1" bestFit="1" customWidth="1"/>
    <col min="16" max="16" width="24" style="1" bestFit="1" customWidth="1"/>
    <col min="17" max="17" width="2.85546875" style="1" customWidth="1"/>
    <col min="18" max="18" width="41.7109375" style="1" bestFit="1" customWidth="1"/>
    <col min="19" max="19" width="16.7109375" style="1" bestFit="1" customWidth="1"/>
    <col min="20" max="20" width="39.140625" style="1" bestFit="1" customWidth="1"/>
    <col min="21" max="21" width="15.85546875" style="1" bestFit="1" customWidth="1"/>
    <col min="22" max="22" width="20.28515625" style="1" bestFit="1" customWidth="1"/>
    <col min="23" max="23" width="24" style="1" bestFit="1" customWidth="1"/>
    <col min="24" max="16384" width="11.42578125" style="1"/>
  </cols>
  <sheetData>
    <row r="1" spans="1:23" ht="20.25" thickBot="1" x14ac:dyDescent="0.35">
      <c r="A1" s="63" t="s">
        <v>8</v>
      </c>
      <c r="B1" s="63"/>
      <c r="D1" s="64" t="s">
        <v>14</v>
      </c>
      <c r="E1" s="63"/>
      <c r="F1" s="63"/>
      <c r="H1" s="64" t="s">
        <v>15</v>
      </c>
      <c r="I1" s="63"/>
      <c r="J1" s="63"/>
      <c r="L1" s="64" t="s">
        <v>122</v>
      </c>
      <c r="M1" s="63"/>
      <c r="N1" s="63"/>
      <c r="O1" s="63"/>
      <c r="P1" s="63"/>
      <c r="R1" s="64" t="s">
        <v>125</v>
      </c>
      <c r="S1" s="63"/>
      <c r="T1" s="63"/>
      <c r="U1" s="63"/>
      <c r="V1" s="63"/>
      <c r="W1" s="63"/>
    </row>
    <row r="2" spans="1:23" ht="16.5" thickTop="1" x14ac:dyDescent="0.25">
      <c r="A2" s="76"/>
      <c r="B2" s="5"/>
      <c r="D2" s="77"/>
      <c r="E2" s="4"/>
      <c r="H2" s="77"/>
      <c r="I2" s="4"/>
      <c r="N2" s="1"/>
    </row>
    <row r="3" spans="1:23" x14ac:dyDescent="0.25">
      <c r="A3" s="3" t="s">
        <v>51</v>
      </c>
      <c r="B3" s="8" t="s">
        <v>1</v>
      </c>
      <c r="D3" s="4" t="s">
        <v>52</v>
      </c>
      <c r="E3" s="4" t="s">
        <v>53</v>
      </c>
      <c r="F3" s="8" t="s">
        <v>1</v>
      </c>
      <c r="G3" s="8"/>
      <c r="H3" s="4" t="s">
        <v>52</v>
      </c>
      <c r="I3" s="4" t="s">
        <v>53</v>
      </c>
      <c r="J3" s="9" t="s">
        <v>1</v>
      </c>
      <c r="L3" s="1" t="s">
        <v>120</v>
      </c>
      <c r="M3" s="1" t="s">
        <v>13</v>
      </c>
      <c r="N3" s="1"/>
      <c r="R3" s="1" t="s">
        <v>123</v>
      </c>
      <c r="S3" s="1" t="s">
        <v>126</v>
      </c>
      <c r="T3" s="1" t="s">
        <v>128</v>
      </c>
      <c r="U3" s="1" t="s">
        <v>120</v>
      </c>
      <c r="V3" s="1" t="s">
        <v>104</v>
      </c>
      <c r="W3" s="1" t="s">
        <v>103</v>
      </c>
    </row>
    <row r="4" spans="1:23" x14ac:dyDescent="0.25">
      <c r="A4" s="66">
        <v>500</v>
      </c>
      <c r="B4" s="66">
        <v>350</v>
      </c>
      <c r="C4" s="7"/>
      <c r="D4" s="67">
        <v>0</v>
      </c>
      <c r="E4" s="67">
        <v>4</v>
      </c>
      <c r="F4" s="5">
        <v>0</v>
      </c>
      <c r="G4" s="5"/>
      <c r="H4" s="67">
        <v>0</v>
      </c>
      <c r="I4" s="67">
        <v>9</v>
      </c>
      <c r="J4" s="5">
        <v>0</v>
      </c>
      <c r="L4" s="12" t="s">
        <v>121</v>
      </c>
      <c r="M4" s="75">
        <v>1000</v>
      </c>
      <c r="N4" s="1"/>
      <c r="R4" s="1" t="s">
        <v>84</v>
      </c>
      <c r="S4" s="75">
        <f>SUMIF(Sueldos_Base[COORDINACION],Descuentos[[#This Row],[COORDINACION]],Sueldos_Base[SUELDO BASE])*0.3 * -1</f>
        <v>-630</v>
      </c>
      <c r="T4" s="75" t="s">
        <v>129</v>
      </c>
      <c r="U4" s="1" t="s">
        <v>6</v>
      </c>
      <c r="V4" s="1" t="s">
        <v>79</v>
      </c>
      <c r="W4" s="1" t="s">
        <v>72</v>
      </c>
    </row>
    <row r="5" spans="1:23" x14ac:dyDescent="0.25">
      <c r="A5" s="7"/>
      <c r="B5" s="7"/>
      <c r="C5" s="7"/>
      <c r="D5" s="67">
        <v>5</v>
      </c>
      <c r="E5" s="67">
        <v>9</v>
      </c>
      <c r="F5" s="5">
        <v>70</v>
      </c>
      <c r="G5" s="5"/>
      <c r="H5" s="67">
        <v>10</v>
      </c>
      <c r="I5" s="67">
        <v>19</v>
      </c>
      <c r="J5" s="5">
        <v>50</v>
      </c>
      <c r="L5" s="1" t="s">
        <v>6</v>
      </c>
      <c r="M5" s="75">
        <v>500</v>
      </c>
      <c r="N5" s="1"/>
      <c r="S5" s="75"/>
      <c r="T5" s="75"/>
    </row>
    <row r="6" spans="1:23" x14ac:dyDescent="0.25">
      <c r="A6" s="13"/>
      <c r="B6" s="13"/>
      <c r="C6" s="29"/>
      <c r="D6" s="67">
        <v>10</v>
      </c>
      <c r="E6" s="67">
        <v>14</v>
      </c>
      <c r="F6" s="5">
        <v>100</v>
      </c>
      <c r="G6" s="13"/>
      <c r="H6" s="67">
        <v>20</v>
      </c>
      <c r="I6" s="67">
        <v>29</v>
      </c>
      <c r="J6" s="5">
        <v>70</v>
      </c>
      <c r="K6" s="13"/>
      <c r="L6" s="13" t="s">
        <v>7</v>
      </c>
      <c r="M6" s="75">
        <v>0</v>
      </c>
      <c r="N6" s="1"/>
      <c r="S6" s="75"/>
      <c r="T6" s="75"/>
    </row>
    <row r="7" spans="1:23" x14ac:dyDescent="0.25">
      <c r="A7" s="13"/>
      <c r="B7" s="13"/>
      <c r="C7" s="27"/>
      <c r="D7" s="67">
        <v>15</v>
      </c>
      <c r="E7" s="67">
        <v>19</v>
      </c>
      <c r="F7" s="5">
        <v>120</v>
      </c>
      <c r="G7" s="13"/>
      <c r="H7" s="67">
        <v>30</v>
      </c>
      <c r="I7" s="67">
        <v>49</v>
      </c>
      <c r="J7" s="5">
        <v>100</v>
      </c>
      <c r="K7" s="13"/>
      <c r="L7" s="13"/>
      <c r="N7" s="1"/>
      <c r="S7" s="75"/>
      <c r="T7" s="75"/>
    </row>
    <row r="8" spans="1:23" x14ac:dyDescent="0.25">
      <c r="A8" s="13"/>
      <c r="B8" s="13"/>
      <c r="C8" s="29"/>
      <c r="D8" s="67">
        <v>20</v>
      </c>
      <c r="E8" s="67" t="s">
        <v>63</v>
      </c>
      <c r="F8" s="5">
        <v>140</v>
      </c>
      <c r="G8" s="13"/>
      <c r="H8" s="67">
        <v>50</v>
      </c>
      <c r="I8" s="67" t="s">
        <v>63</v>
      </c>
      <c r="J8" s="5">
        <v>120</v>
      </c>
      <c r="K8" s="13"/>
      <c r="L8" s="13"/>
      <c r="N8" s="1"/>
      <c r="S8" s="75"/>
      <c r="T8" s="75"/>
    </row>
    <row r="9" spans="1:23" x14ac:dyDescent="0.25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75"/>
      <c r="T9" s="75"/>
    </row>
    <row r="10" spans="1:23" x14ac:dyDescent="0.25">
      <c r="A10" s="13"/>
      <c r="B10" s="13"/>
      <c r="C10" s="13"/>
      <c r="D10" s="13"/>
      <c r="L10" s="1" t="s">
        <v>123</v>
      </c>
      <c r="M10" s="1" t="s">
        <v>13</v>
      </c>
      <c r="N10" s="1" t="s">
        <v>120</v>
      </c>
      <c r="O10" s="1" t="s">
        <v>104</v>
      </c>
      <c r="P10" s="1" t="s">
        <v>103</v>
      </c>
      <c r="S10" s="75"/>
      <c r="T10" s="75"/>
    </row>
    <row r="11" spans="1:23" x14ac:dyDescent="0.25">
      <c r="A11" s="13"/>
      <c r="B11" s="13"/>
      <c r="C11" s="13"/>
      <c r="D11" s="13"/>
      <c r="L11" s="1" t="s">
        <v>87</v>
      </c>
      <c r="M11" s="75">
        <v>700</v>
      </c>
      <c r="N11" s="1" t="s">
        <v>7</v>
      </c>
      <c r="O11" s="1" t="s">
        <v>79</v>
      </c>
      <c r="P11" s="1" t="s">
        <v>72</v>
      </c>
      <c r="S11" s="75"/>
      <c r="T11" s="75"/>
    </row>
    <row r="12" spans="1:23" x14ac:dyDescent="0.25">
      <c r="A12" s="13"/>
      <c r="B12" s="13"/>
      <c r="C12" s="13"/>
      <c r="D12" s="13"/>
      <c r="G12" s="13"/>
      <c r="L12" s="1" t="s">
        <v>88</v>
      </c>
      <c r="M12" s="75">
        <v>700</v>
      </c>
      <c r="N12" s="1" t="s">
        <v>7</v>
      </c>
      <c r="O12" s="1" t="s">
        <v>79</v>
      </c>
      <c r="P12" s="1" t="s">
        <v>72</v>
      </c>
    </row>
    <row r="13" spans="1:23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89</v>
      </c>
      <c r="M13" s="75">
        <v>700</v>
      </c>
      <c r="N13" s="1" t="s">
        <v>7</v>
      </c>
      <c r="O13" s="1" t="s">
        <v>79</v>
      </c>
      <c r="P13" s="1" t="s">
        <v>72</v>
      </c>
    </row>
    <row r="14" spans="1:23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98</v>
      </c>
      <c r="M14" s="75">
        <v>700</v>
      </c>
      <c r="N14" s="1" t="s">
        <v>7</v>
      </c>
      <c r="O14" s="1" t="s">
        <v>80</v>
      </c>
      <c r="P14" s="1" t="s">
        <v>72</v>
      </c>
    </row>
    <row r="15" spans="1:23" x14ac:dyDescent="0.25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97</v>
      </c>
      <c r="M15" s="75">
        <v>700</v>
      </c>
      <c r="N15" s="1" t="s">
        <v>7</v>
      </c>
      <c r="O15" s="1" t="s">
        <v>80</v>
      </c>
      <c r="P15" s="1" t="s">
        <v>72</v>
      </c>
    </row>
    <row r="16" spans="1:23" x14ac:dyDescent="0.25">
      <c r="B16" s="1"/>
      <c r="C16" s="1"/>
      <c r="L16" s="1" t="s">
        <v>99</v>
      </c>
      <c r="M16" s="75">
        <v>1000</v>
      </c>
      <c r="N16" s="1" t="s">
        <v>7</v>
      </c>
      <c r="O16" s="1" t="s">
        <v>80</v>
      </c>
      <c r="P16" s="1" t="s">
        <v>72</v>
      </c>
    </row>
    <row r="17" spans="2:16" x14ac:dyDescent="0.25">
      <c r="B17" s="1"/>
      <c r="C17" s="1"/>
      <c r="L17" s="1" t="s">
        <v>100</v>
      </c>
      <c r="M17" s="75">
        <v>1000</v>
      </c>
      <c r="N17" s="1" t="s">
        <v>7</v>
      </c>
      <c r="O17" s="1" t="s">
        <v>80</v>
      </c>
      <c r="P17" s="1" t="s">
        <v>72</v>
      </c>
    </row>
    <row r="18" spans="2:16" x14ac:dyDescent="0.25">
      <c r="B18" s="1"/>
      <c r="C18" s="1"/>
      <c r="L18" s="1" t="s">
        <v>96</v>
      </c>
      <c r="M18" s="75">
        <v>1000</v>
      </c>
      <c r="N18" s="1" t="s">
        <v>7</v>
      </c>
      <c r="O18" s="1" t="s">
        <v>74</v>
      </c>
      <c r="P18" s="1" t="s">
        <v>72</v>
      </c>
    </row>
    <row r="19" spans="2:16" x14ac:dyDescent="0.25">
      <c r="B19" s="1"/>
      <c r="C19" s="1"/>
      <c r="L19" s="1" t="s">
        <v>94</v>
      </c>
      <c r="M19" s="75">
        <v>500</v>
      </c>
      <c r="N19" s="1" t="s">
        <v>7</v>
      </c>
      <c r="O19" s="1" t="s">
        <v>74</v>
      </c>
      <c r="P19" s="1" t="s">
        <v>72</v>
      </c>
    </row>
    <row r="20" spans="2:16" x14ac:dyDescent="0.25">
      <c r="B20" s="1"/>
      <c r="C20" s="1"/>
    </row>
    <row r="21" spans="2:16" x14ac:dyDescent="0.25">
      <c r="B21" s="1"/>
      <c r="C21" s="1"/>
    </row>
    <row r="27" spans="2:16" x14ac:dyDescent="0.25">
      <c r="B27" s="1"/>
      <c r="C27" s="9"/>
    </row>
    <row r="28" spans="2:16" x14ac:dyDescent="0.25">
      <c r="B28" s="1"/>
      <c r="C28" s="9"/>
    </row>
    <row r="29" spans="2:16" x14ac:dyDescent="0.25">
      <c r="B29" s="1"/>
      <c r="C29" s="5"/>
    </row>
    <row r="30" spans="2:16" x14ac:dyDescent="0.25">
      <c r="B30" s="1"/>
      <c r="C30" s="5"/>
    </row>
    <row r="31" spans="2:16" x14ac:dyDescent="0.25">
      <c r="B31" s="1"/>
      <c r="C31" s="5"/>
    </row>
    <row r="32" spans="2:16" x14ac:dyDescent="0.25">
      <c r="B32" s="1"/>
      <c r="C32" s="5"/>
    </row>
    <row r="38" spans="2:5" x14ac:dyDescent="0.25">
      <c r="B38" s="10"/>
      <c r="C38" s="10"/>
    </row>
    <row r="39" spans="2:5" x14ac:dyDescent="0.25">
      <c r="B39" s="10"/>
      <c r="C39" s="10"/>
      <c r="D39" s="10"/>
      <c r="E39" s="10"/>
    </row>
    <row r="40" spans="2:5" x14ac:dyDescent="0.25">
      <c r="B40" s="10"/>
      <c r="C40" s="10"/>
      <c r="D40" s="10"/>
      <c r="E40" s="10"/>
    </row>
    <row r="41" spans="2:5" x14ac:dyDescent="0.25">
      <c r="B41" s="10"/>
      <c r="C41" s="10"/>
      <c r="D41" s="10"/>
      <c r="E41" s="10"/>
    </row>
    <row r="42" spans="2:5" x14ac:dyDescent="0.25">
      <c r="B42" s="1"/>
      <c r="C42" s="1"/>
      <c r="D42" s="10"/>
      <c r="E42" s="10"/>
    </row>
    <row r="43" spans="2:5" x14ac:dyDescent="0.25">
      <c r="B43" s="11"/>
      <c r="C43" s="11"/>
    </row>
    <row r="44" spans="2:5" x14ac:dyDescent="0.25">
      <c r="B44" s="11"/>
      <c r="C44" s="11"/>
      <c r="D44" s="11"/>
      <c r="E44" s="11"/>
    </row>
    <row r="45" spans="2:5" x14ac:dyDescent="0.25">
      <c r="B45" s="11"/>
      <c r="C45" s="11"/>
      <c r="D45" s="11"/>
      <c r="E45" s="11"/>
    </row>
    <row r="46" spans="2:5" x14ac:dyDescent="0.25">
      <c r="B46" s="11"/>
      <c r="C46" s="11"/>
      <c r="D46" s="11"/>
      <c r="E46" s="11"/>
    </row>
    <row r="47" spans="2:5" x14ac:dyDescent="0.25">
      <c r="B47" s="1"/>
      <c r="C47" s="1"/>
      <c r="D47" s="11"/>
      <c r="E47" s="11"/>
    </row>
    <row r="48" spans="2:5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</sheetData>
  <sheetProtection sheet="1" formatCells="0" formatColumns="0" formatRows="0" insertColumns="0" insertRows="0" insertHyperlinks="0" deleteColumns="0" deleteRows="0" sort="0" autoFilter="0" pivotTables="0"/>
  <dataValidations count="4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19 U4" xr:uid="{342D9635-3C48-4326-82D8-7F8C3C5FF452}">
      <formula1>Puestos</formula1>
    </dataValidation>
    <dataValidation type="list" allowBlank="1" showInputMessage="1" showErrorMessage="1" sqref="O11:O19 V4" xr:uid="{2CEA4F90-913C-4F7E-A844-C80F62AB1BC2}">
      <formula1>Alias_Coordinadores</formula1>
    </dataValidation>
    <dataValidation type="list" allowBlank="1" showInputMessage="1" showErrorMessage="1" sqref="P11:P19 W4" xr:uid="{D57AA25B-EFC2-4916-B551-2CC8B6E8A91F}">
      <formula1>Alias_Gerentes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2"/>
  <sheetViews>
    <sheetView topLeftCell="A20" workbookViewId="0">
      <selection activeCell="E18" sqref="E18"/>
    </sheetView>
  </sheetViews>
  <sheetFormatPr defaultRowHeight="15" x14ac:dyDescent="0.25"/>
  <cols>
    <col min="1" max="1" width="32.42578125" bestFit="1" customWidth="1"/>
    <col min="2" max="2" width="22.5703125" bestFit="1" customWidth="1"/>
    <col min="3" max="3" width="2.85546875" customWidth="1"/>
    <col min="4" max="4" width="33.42578125" bestFit="1" customWidth="1"/>
    <col min="5" max="6" width="22.5703125" bestFit="1" customWidth="1"/>
    <col min="7" max="7" width="2.85546875" customWidth="1"/>
    <col min="8" max="8" width="38.42578125" bestFit="1" customWidth="1"/>
    <col min="9" max="9" width="25.7109375" bestFit="1" customWidth="1"/>
    <col min="10" max="11" width="22.5703125" bestFit="1" customWidth="1"/>
    <col min="13" max="13" width="113.42578125" bestFit="1" customWidth="1"/>
    <col min="14" max="14" width="15.28515625" bestFit="1" customWidth="1"/>
    <col min="15" max="15" width="18.28515625" bestFit="1" customWidth="1"/>
    <col min="16" max="16" width="16.5703125" bestFit="1" customWidth="1"/>
    <col min="17" max="17" width="17.42578125" bestFit="1" customWidth="1"/>
    <col min="18" max="18" width="13.140625" bestFit="1" customWidth="1"/>
    <col min="19" max="19" width="18.5703125" bestFit="1" customWidth="1"/>
    <col min="20" max="20" width="14.5703125" bestFit="1" customWidth="1"/>
  </cols>
  <sheetData>
    <row r="1" spans="1:18" ht="20.25" thickBot="1" x14ac:dyDescent="0.35">
      <c r="A1" s="63" t="s">
        <v>61</v>
      </c>
      <c r="B1" s="63"/>
      <c r="D1" s="63" t="s">
        <v>60</v>
      </c>
      <c r="E1" s="63"/>
      <c r="F1" s="63"/>
      <c r="H1" s="63" t="s">
        <v>62</v>
      </c>
      <c r="I1" s="63"/>
      <c r="J1" s="63"/>
      <c r="K1" s="63"/>
    </row>
    <row r="2" spans="1:18" ht="20.25" thickTop="1" x14ac:dyDescent="0.3">
      <c r="A2" s="65"/>
      <c r="B2" s="65"/>
      <c r="D2" s="65"/>
      <c r="E2" s="65"/>
      <c r="H2" s="65"/>
      <c r="I2" s="65"/>
    </row>
    <row r="3" spans="1:18" x14ac:dyDescent="0.25">
      <c r="A3" t="s">
        <v>101</v>
      </c>
      <c r="B3" t="s">
        <v>102</v>
      </c>
      <c r="D3" t="s">
        <v>101</v>
      </c>
      <c r="E3" t="s">
        <v>102</v>
      </c>
      <c r="F3" t="s">
        <v>103</v>
      </c>
      <c r="H3" t="s">
        <v>101</v>
      </c>
      <c r="I3" t="s">
        <v>102</v>
      </c>
      <c r="J3" t="s">
        <v>104</v>
      </c>
      <c r="K3" t="s">
        <v>103</v>
      </c>
    </row>
    <row r="4" spans="1:18" x14ac:dyDescent="0.25">
      <c r="A4" t="s">
        <v>81</v>
      </c>
      <c r="B4" t="s">
        <v>72</v>
      </c>
      <c r="D4" s="61" t="s">
        <v>81</v>
      </c>
      <c r="E4" s="61" t="s">
        <v>196</v>
      </c>
      <c r="F4" t="s">
        <v>72</v>
      </c>
      <c r="H4" s="69" t="s">
        <v>98</v>
      </c>
      <c r="I4" s="69" t="s">
        <v>71</v>
      </c>
      <c r="J4" s="69" t="s">
        <v>80</v>
      </c>
      <c r="K4" s="69" t="s">
        <v>72</v>
      </c>
      <c r="M4" s="60"/>
      <c r="N4" s="60"/>
      <c r="O4" s="60"/>
      <c r="P4" s="60"/>
      <c r="Q4" s="60"/>
      <c r="R4" s="60"/>
    </row>
    <row r="5" spans="1:18" x14ac:dyDescent="0.25">
      <c r="A5" t="s">
        <v>134</v>
      </c>
      <c r="B5" t="s">
        <v>135</v>
      </c>
      <c r="D5" s="61" t="s">
        <v>84</v>
      </c>
      <c r="E5" s="61" t="s">
        <v>79</v>
      </c>
      <c r="F5" t="s">
        <v>72</v>
      </c>
      <c r="H5" s="69" t="s">
        <v>87</v>
      </c>
      <c r="I5" s="69" t="s">
        <v>107</v>
      </c>
      <c r="J5" s="69" t="s">
        <v>79</v>
      </c>
      <c r="K5" s="69" t="s">
        <v>72</v>
      </c>
      <c r="N5" s="60"/>
    </row>
    <row r="6" spans="1:18" x14ac:dyDescent="0.25">
      <c r="A6" s="60" t="s">
        <v>158</v>
      </c>
      <c r="B6" s="60" t="s">
        <v>156</v>
      </c>
      <c r="C6" s="60"/>
      <c r="D6" t="s">
        <v>83</v>
      </c>
      <c r="E6" t="s">
        <v>80</v>
      </c>
      <c r="F6" t="s">
        <v>72</v>
      </c>
      <c r="G6" s="62"/>
      <c r="H6" s="69" t="s">
        <v>97</v>
      </c>
      <c r="I6" s="69" t="s">
        <v>111</v>
      </c>
      <c r="J6" s="69" t="s">
        <v>80</v>
      </c>
      <c r="K6" s="69" t="s">
        <v>72</v>
      </c>
      <c r="L6" s="60"/>
    </row>
    <row r="7" spans="1:18" x14ac:dyDescent="0.25">
      <c r="A7" s="60"/>
      <c r="B7" s="60"/>
      <c r="C7" s="60"/>
      <c r="D7" t="s">
        <v>82</v>
      </c>
      <c r="E7" t="s">
        <v>74</v>
      </c>
      <c r="F7" t="s">
        <v>72</v>
      </c>
      <c r="G7" s="60"/>
      <c r="H7" s="69" t="s">
        <v>86</v>
      </c>
      <c r="I7" s="69" t="s">
        <v>77</v>
      </c>
      <c r="J7" s="69" t="s">
        <v>79</v>
      </c>
      <c r="K7" s="69" t="s">
        <v>72</v>
      </c>
      <c r="L7" s="60"/>
    </row>
    <row r="8" spans="1:18" x14ac:dyDescent="0.25">
      <c r="A8" s="60"/>
      <c r="B8" s="60"/>
      <c r="C8" s="60"/>
      <c r="D8" t="s">
        <v>85</v>
      </c>
      <c r="E8" t="s">
        <v>105</v>
      </c>
      <c r="F8" t="s">
        <v>72</v>
      </c>
      <c r="G8" s="60"/>
      <c r="H8" s="69" t="s">
        <v>95</v>
      </c>
      <c r="I8" s="69" t="s">
        <v>73</v>
      </c>
      <c r="J8" s="69" t="s">
        <v>74</v>
      </c>
      <c r="K8" s="69" t="s">
        <v>72</v>
      </c>
      <c r="L8" s="60"/>
    </row>
    <row r="9" spans="1:18" x14ac:dyDescent="0.25">
      <c r="A9" s="60"/>
      <c r="B9" s="60"/>
      <c r="C9" s="60"/>
      <c r="D9" s="61" t="s">
        <v>138</v>
      </c>
      <c r="E9" s="61" t="s">
        <v>139</v>
      </c>
      <c r="F9" t="s">
        <v>135</v>
      </c>
      <c r="G9" s="60"/>
      <c r="H9" s="69" t="s">
        <v>99</v>
      </c>
      <c r="I9" s="69" t="s">
        <v>194</v>
      </c>
      <c r="J9" s="69" t="s">
        <v>80</v>
      </c>
      <c r="K9" s="69" t="s">
        <v>72</v>
      </c>
      <c r="L9" s="60"/>
    </row>
    <row r="10" spans="1:18" x14ac:dyDescent="0.25">
      <c r="A10" s="60"/>
      <c r="B10" s="60"/>
      <c r="C10" s="60"/>
      <c r="D10" t="s">
        <v>136</v>
      </c>
      <c r="E10" t="s">
        <v>137</v>
      </c>
      <c r="F10" t="s">
        <v>135</v>
      </c>
      <c r="G10" s="60"/>
      <c r="H10" s="69" t="s">
        <v>81</v>
      </c>
      <c r="I10" s="69" t="s">
        <v>119</v>
      </c>
      <c r="J10" s="69" t="s">
        <v>196</v>
      </c>
      <c r="K10" s="69" t="s">
        <v>72</v>
      </c>
      <c r="L10" s="60"/>
    </row>
    <row r="11" spans="1:18" x14ac:dyDescent="0.25">
      <c r="A11" s="60"/>
      <c r="B11" s="60"/>
      <c r="D11" t="s">
        <v>134</v>
      </c>
      <c r="E11" t="s">
        <v>197</v>
      </c>
      <c r="F11" t="s">
        <v>135</v>
      </c>
      <c r="H11" s="69" t="s">
        <v>93</v>
      </c>
      <c r="I11" s="69" t="s">
        <v>75</v>
      </c>
      <c r="J11" s="69" t="s">
        <v>74</v>
      </c>
      <c r="K11" s="69" t="s">
        <v>72</v>
      </c>
    </row>
    <row r="12" spans="1:18" x14ac:dyDescent="0.25">
      <c r="A12" s="60"/>
      <c r="B12" s="60"/>
      <c r="D12" s="61" t="s">
        <v>159</v>
      </c>
      <c r="E12" s="61" t="s">
        <v>160</v>
      </c>
      <c r="F12" t="s">
        <v>156</v>
      </c>
      <c r="H12" s="69" t="s">
        <v>84</v>
      </c>
      <c r="I12" s="69" t="s">
        <v>118</v>
      </c>
      <c r="J12" s="69" t="s">
        <v>79</v>
      </c>
      <c r="K12" s="69" t="s">
        <v>72</v>
      </c>
    </row>
    <row r="13" spans="1:18" x14ac:dyDescent="0.25">
      <c r="A13" s="60"/>
      <c r="B13" s="60"/>
      <c r="D13" s="61" t="s">
        <v>155</v>
      </c>
      <c r="E13" s="61" t="s">
        <v>195</v>
      </c>
      <c r="F13" t="s">
        <v>156</v>
      </c>
      <c r="H13" s="69" t="s">
        <v>100</v>
      </c>
      <c r="I13" s="69" t="s">
        <v>70</v>
      </c>
      <c r="J13" s="69" t="s">
        <v>80</v>
      </c>
      <c r="K13" s="69" t="s">
        <v>72</v>
      </c>
    </row>
    <row r="14" spans="1:18" x14ac:dyDescent="0.25">
      <c r="A14" s="60"/>
      <c r="B14" s="60"/>
      <c r="D14" t="s">
        <v>179</v>
      </c>
      <c r="E14" t="s">
        <v>157</v>
      </c>
      <c r="F14" t="s">
        <v>156</v>
      </c>
      <c r="H14" s="69" t="s">
        <v>90</v>
      </c>
      <c r="I14" s="69" t="s">
        <v>108</v>
      </c>
      <c r="J14" s="69" t="s">
        <v>79</v>
      </c>
      <c r="K14" s="69" t="s">
        <v>72</v>
      </c>
    </row>
    <row r="15" spans="1:18" x14ac:dyDescent="0.25">
      <c r="A15" s="60"/>
      <c r="B15" s="60"/>
      <c r="H15" s="69" t="s">
        <v>92</v>
      </c>
      <c r="I15" s="69" t="s">
        <v>106</v>
      </c>
      <c r="J15" s="69" t="s">
        <v>105</v>
      </c>
      <c r="K15" s="69" t="s">
        <v>72</v>
      </c>
    </row>
    <row r="16" spans="1:18" x14ac:dyDescent="0.25">
      <c r="H16" s="69" t="s">
        <v>83</v>
      </c>
      <c r="I16" s="69" t="s">
        <v>115</v>
      </c>
      <c r="J16" s="69" t="s">
        <v>80</v>
      </c>
      <c r="K16" s="69" t="s">
        <v>72</v>
      </c>
    </row>
    <row r="17" spans="8:11" x14ac:dyDescent="0.25">
      <c r="H17" s="69" t="s">
        <v>88</v>
      </c>
      <c r="I17" s="69" t="s">
        <v>69</v>
      </c>
      <c r="J17" s="69" t="s">
        <v>79</v>
      </c>
      <c r="K17" s="69" t="s">
        <v>72</v>
      </c>
    </row>
    <row r="18" spans="8:11" x14ac:dyDescent="0.25">
      <c r="H18" s="69" t="s">
        <v>89</v>
      </c>
      <c r="I18" s="69" t="s">
        <v>78</v>
      </c>
      <c r="J18" s="69" t="s">
        <v>79</v>
      </c>
      <c r="K18" s="69" t="s">
        <v>72</v>
      </c>
    </row>
    <row r="19" spans="8:11" x14ac:dyDescent="0.25">
      <c r="H19" s="69" t="s">
        <v>82</v>
      </c>
      <c r="I19" s="69" t="s">
        <v>116</v>
      </c>
      <c r="J19" s="69" t="s">
        <v>74</v>
      </c>
      <c r="K19" s="69" t="s">
        <v>72</v>
      </c>
    </row>
    <row r="20" spans="8:11" x14ac:dyDescent="0.25">
      <c r="H20" s="69" t="s">
        <v>96</v>
      </c>
      <c r="I20" s="69" t="s">
        <v>109</v>
      </c>
      <c r="J20" s="69" t="s">
        <v>74</v>
      </c>
      <c r="K20" s="69" t="s">
        <v>72</v>
      </c>
    </row>
    <row r="21" spans="8:11" x14ac:dyDescent="0.25">
      <c r="H21" s="69" t="s">
        <v>91</v>
      </c>
      <c r="I21" s="69" t="s">
        <v>76</v>
      </c>
      <c r="J21" s="69" t="s">
        <v>79</v>
      </c>
      <c r="K21" s="69" t="s">
        <v>72</v>
      </c>
    </row>
    <row r="22" spans="8:11" x14ac:dyDescent="0.25">
      <c r="H22" s="69" t="s">
        <v>94</v>
      </c>
      <c r="I22" s="69" t="s">
        <v>110</v>
      </c>
      <c r="J22" s="69" t="s">
        <v>74</v>
      </c>
      <c r="K22" s="69" t="s">
        <v>72</v>
      </c>
    </row>
    <row r="23" spans="8:11" x14ac:dyDescent="0.25">
      <c r="H23" s="69" t="s">
        <v>85</v>
      </c>
      <c r="I23" s="69" t="s">
        <v>117</v>
      </c>
      <c r="J23" s="69" t="s">
        <v>105</v>
      </c>
      <c r="K23" s="69" t="s">
        <v>72</v>
      </c>
    </row>
    <row r="24" spans="8:11" x14ac:dyDescent="0.25">
      <c r="H24" s="69" t="s">
        <v>145</v>
      </c>
      <c r="I24" s="69" t="s">
        <v>132</v>
      </c>
      <c r="J24" s="69" t="s">
        <v>137</v>
      </c>
      <c r="K24" s="69" t="s">
        <v>135</v>
      </c>
    </row>
    <row r="25" spans="8:11" x14ac:dyDescent="0.25">
      <c r="H25" s="69" t="s">
        <v>146</v>
      </c>
      <c r="I25" s="69" t="s">
        <v>133</v>
      </c>
      <c r="J25" s="69" t="s">
        <v>137</v>
      </c>
      <c r="K25" s="69" t="s">
        <v>135</v>
      </c>
    </row>
    <row r="26" spans="8:11" x14ac:dyDescent="0.25">
      <c r="H26" s="69" t="s">
        <v>143</v>
      </c>
      <c r="I26" s="69" t="s">
        <v>130</v>
      </c>
      <c r="J26" s="69" t="s">
        <v>137</v>
      </c>
      <c r="K26" s="69" t="s">
        <v>135</v>
      </c>
    </row>
    <row r="27" spans="8:11" x14ac:dyDescent="0.25">
      <c r="H27" s="69" t="s">
        <v>147</v>
      </c>
      <c r="I27" s="69" t="s">
        <v>152</v>
      </c>
      <c r="J27" s="69" t="s">
        <v>139</v>
      </c>
      <c r="K27" s="69" t="s">
        <v>135</v>
      </c>
    </row>
    <row r="28" spans="8:11" x14ac:dyDescent="0.25">
      <c r="H28" s="69" t="s">
        <v>149</v>
      </c>
      <c r="I28" s="69" t="s">
        <v>154</v>
      </c>
      <c r="J28" s="69" t="s">
        <v>139</v>
      </c>
      <c r="K28" s="69" t="s">
        <v>135</v>
      </c>
    </row>
    <row r="29" spans="8:11" x14ac:dyDescent="0.25">
      <c r="H29" s="69" t="s">
        <v>144</v>
      </c>
      <c r="I29" s="69" t="s">
        <v>131</v>
      </c>
      <c r="J29" s="69" t="s">
        <v>137</v>
      </c>
      <c r="K29" s="69" t="s">
        <v>135</v>
      </c>
    </row>
    <row r="30" spans="8:11" x14ac:dyDescent="0.25">
      <c r="H30" s="69" t="s">
        <v>148</v>
      </c>
      <c r="I30" s="69" t="s">
        <v>151</v>
      </c>
      <c r="J30" s="69" t="s">
        <v>139</v>
      </c>
      <c r="K30" s="69" t="s">
        <v>135</v>
      </c>
    </row>
    <row r="31" spans="8:11" x14ac:dyDescent="0.25">
      <c r="H31" s="78" t="s">
        <v>138</v>
      </c>
      <c r="I31" s="69" t="s">
        <v>141</v>
      </c>
      <c r="J31" s="69" t="s">
        <v>139</v>
      </c>
      <c r="K31" s="69" t="s">
        <v>135</v>
      </c>
    </row>
    <row r="32" spans="8:11" x14ac:dyDescent="0.25">
      <c r="H32" s="69" t="s">
        <v>150</v>
      </c>
      <c r="I32" s="69" t="s">
        <v>153</v>
      </c>
      <c r="J32" s="69" t="s">
        <v>139</v>
      </c>
      <c r="K32" s="69" t="s">
        <v>135</v>
      </c>
    </row>
    <row r="33" spans="8:11" x14ac:dyDescent="0.25">
      <c r="H33" s="69" t="s">
        <v>136</v>
      </c>
      <c r="I33" s="69" t="s">
        <v>140</v>
      </c>
      <c r="J33" s="69" t="s">
        <v>137</v>
      </c>
      <c r="K33" s="69" t="s">
        <v>135</v>
      </c>
    </row>
    <row r="34" spans="8:11" x14ac:dyDescent="0.25">
      <c r="H34" s="69" t="s">
        <v>134</v>
      </c>
      <c r="I34" s="69" t="s">
        <v>142</v>
      </c>
      <c r="J34" s="69" t="s">
        <v>197</v>
      </c>
      <c r="K34" s="69" t="s">
        <v>135</v>
      </c>
    </row>
    <row r="35" spans="8:11" x14ac:dyDescent="0.25">
      <c r="H35" s="69" t="s">
        <v>168</v>
      </c>
      <c r="I35" s="69" t="s">
        <v>168</v>
      </c>
      <c r="J35" s="69" t="s">
        <v>157</v>
      </c>
      <c r="K35" s="69" t="s">
        <v>156</v>
      </c>
    </row>
    <row r="36" spans="8:11" x14ac:dyDescent="0.25">
      <c r="H36" s="69" t="s">
        <v>180</v>
      </c>
      <c r="I36" s="69" t="s">
        <v>181</v>
      </c>
      <c r="J36" s="69" t="s">
        <v>157</v>
      </c>
      <c r="K36" s="69" t="s">
        <v>156</v>
      </c>
    </row>
    <row r="37" spans="8:11" x14ac:dyDescent="0.25">
      <c r="H37" s="69" t="s">
        <v>188</v>
      </c>
      <c r="I37" s="69" t="s">
        <v>169</v>
      </c>
      <c r="J37" s="69" t="s">
        <v>160</v>
      </c>
      <c r="K37" s="69" t="s">
        <v>156</v>
      </c>
    </row>
    <row r="38" spans="8:11" x14ac:dyDescent="0.25">
      <c r="H38" s="69" t="s">
        <v>183</v>
      </c>
      <c r="I38" s="69" t="s">
        <v>176</v>
      </c>
      <c r="J38" s="69" t="s">
        <v>157</v>
      </c>
      <c r="K38" s="69" t="s">
        <v>156</v>
      </c>
    </row>
    <row r="39" spans="8:11" x14ac:dyDescent="0.25">
      <c r="H39" s="69" t="s">
        <v>190</v>
      </c>
      <c r="I39" s="69" t="s">
        <v>177</v>
      </c>
      <c r="J39" s="69" t="s">
        <v>160</v>
      </c>
      <c r="K39" s="69" t="s">
        <v>156</v>
      </c>
    </row>
    <row r="40" spans="8:11" x14ac:dyDescent="0.25">
      <c r="H40" s="69" t="s">
        <v>185</v>
      </c>
      <c r="I40" s="69" t="s">
        <v>167</v>
      </c>
      <c r="J40" s="69" t="s">
        <v>157</v>
      </c>
      <c r="K40" s="69" t="s">
        <v>156</v>
      </c>
    </row>
    <row r="41" spans="8:11" x14ac:dyDescent="0.25">
      <c r="H41" s="78" t="s">
        <v>159</v>
      </c>
      <c r="I41" s="61" t="s">
        <v>163</v>
      </c>
      <c r="J41" s="69" t="s">
        <v>160</v>
      </c>
      <c r="K41" s="69" t="s">
        <v>156</v>
      </c>
    </row>
    <row r="42" spans="8:11" x14ac:dyDescent="0.25">
      <c r="H42" s="69" t="s">
        <v>192</v>
      </c>
      <c r="I42" s="69" t="s">
        <v>172</v>
      </c>
      <c r="J42" s="69" t="s">
        <v>160</v>
      </c>
      <c r="K42" s="69" t="s">
        <v>156</v>
      </c>
    </row>
    <row r="43" spans="8:11" x14ac:dyDescent="0.25">
      <c r="H43" s="69" t="s">
        <v>191</v>
      </c>
      <c r="I43" s="69" t="s">
        <v>171</v>
      </c>
      <c r="J43" s="69" t="s">
        <v>160</v>
      </c>
      <c r="K43" s="69" t="s">
        <v>156</v>
      </c>
    </row>
    <row r="44" spans="8:11" x14ac:dyDescent="0.25">
      <c r="H44" s="69" t="s">
        <v>189</v>
      </c>
      <c r="I44" s="69" t="s">
        <v>170</v>
      </c>
      <c r="J44" s="69" t="s">
        <v>160</v>
      </c>
      <c r="K44" s="69" t="s">
        <v>156</v>
      </c>
    </row>
    <row r="45" spans="8:11" x14ac:dyDescent="0.25">
      <c r="H45" s="69" t="s">
        <v>173</v>
      </c>
      <c r="I45" s="69" t="s">
        <v>174</v>
      </c>
      <c r="J45" s="69" t="s">
        <v>160</v>
      </c>
      <c r="K45" s="69" t="s">
        <v>156</v>
      </c>
    </row>
    <row r="46" spans="8:11" x14ac:dyDescent="0.25">
      <c r="H46" s="69" t="s">
        <v>184</v>
      </c>
      <c r="I46" s="69" t="s">
        <v>166</v>
      </c>
      <c r="J46" s="69" t="s">
        <v>157</v>
      </c>
      <c r="K46" s="69" t="s">
        <v>156</v>
      </c>
    </row>
    <row r="47" spans="8:11" x14ac:dyDescent="0.25">
      <c r="H47" s="69" t="s">
        <v>182</v>
      </c>
      <c r="I47" s="69" t="s">
        <v>165</v>
      </c>
      <c r="J47" s="69" t="s">
        <v>157</v>
      </c>
      <c r="K47" s="69" t="s">
        <v>156</v>
      </c>
    </row>
    <row r="48" spans="8:11" x14ac:dyDescent="0.25">
      <c r="H48" s="69" t="s">
        <v>193</v>
      </c>
      <c r="I48" s="69" t="s">
        <v>178</v>
      </c>
      <c r="J48" s="69" t="s">
        <v>160</v>
      </c>
      <c r="K48" s="69" t="s">
        <v>156</v>
      </c>
    </row>
    <row r="49" spans="8:11" x14ac:dyDescent="0.25">
      <c r="H49" s="69" t="s">
        <v>186</v>
      </c>
      <c r="I49" s="69" t="s">
        <v>187</v>
      </c>
      <c r="J49" s="69" t="s">
        <v>157</v>
      </c>
      <c r="K49" s="69" t="s">
        <v>156</v>
      </c>
    </row>
    <row r="50" spans="8:11" x14ac:dyDescent="0.25">
      <c r="H50" s="69" t="s">
        <v>164</v>
      </c>
      <c r="I50" s="69" t="s">
        <v>164</v>
      </c>
      <c r="J50" s="69" t="s">
        <v>157</v>
      </c>
      <c r="K50" s="69" t="s">
        <v>156</v>
      </c>
    </row>
    <row r="51" spans="8:11" x14ac:dyDescent="0.25">
      <c r="H51" s="69" t="s">
        <v>155</v>
      </c>
      <c r="I51" s="61" t="s">
        <v>161</v>
      </c>
      <c r="J51" s="69" t="s">
        <v>195</v>
      </c>
      <c r="K51" s="69" t="s">
        <v>156</v>
      </c>
    </row>
    <row r="52" spans="8:11" x14ac:dyDescent="0.25">
      <c r="H52" t="s">
        <v>179</v>
      </c>
      <c r="I52" t="s">
        <v>162</v>
      </c>
      <c r="J52" s="69" t="s">
        <v>157</v>
      </c>
      <c r="K52" s="69" t="s">
        <v>156</v>
      </c>
    </row>
  </sheetData>
  <sheetProtection formatCells="0" formatColumns="0" formatRows="0" insertColumns="0" insertRows="0" insertHyperlinks="0" deleteColumns="0" deleteRows="0" sort="0" autoFilter="0" pivotTables="0"/>
  <phoneticPr fontId="6" type="noConversion"/>
  <conditionalFormatting sqref="I4:I52">
    <cfRule type="duplicateValues" dxfId="95" priority="1"/>
  </conditionalFormatting>
  <dataValidations count="4">
    <dataValidation type="list" allowBlank="1" showInputMessage="1" showErrorMessage="1" sqref="F4:F14 K4:K52" xr:uid="{782D795E-2BAC-487C-9A7E-2ACC2252D51E}">
      <formula1>Alias_Gerentes</formula1>
    </dataValidation>
    <dataValidation type="list" allowBlank="1" showInputMessage="1" showErrorMessage="1" sqref="J4:J52" xr:uid="{8286D5F4-693B-47AA-AB0B-AEA73A2B0A7B}">
      <formula1>Alias_Coordinadores</formula1>
    </dataValidation>
    <dataValidation type="list" allowBlank="1" showInputMessage="1" showErrorMessage="1" sqref="M5" xr:uid="{57E46199-E3EE-4F07-B0D2-A607025C740D}">
      <formula1>_xlfn.TEXTSPLIT(#REF!,",")</formula1>
    </dataValidation>
    <dataValidation type="custom" allowBlank="1" showInputMessage="1" showErrorMessage="1" sqref="M6" xr:uid="{35DF180B-93C5-49DB-B974-A47F8455B96A}">
      <formula1>N5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P29"/>
  <sheetViews>
    <sheetView workbookViewId="0">
      <selection activeCell="D9" sqref="D9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8.5703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25.7109375" style="13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8"/>
      <c r="C1" s="118"/>
      <c r="D1" s="118"/>
      <c r="F1" s="43" t="s">
        <v>120</v>
      </c>
      <c r="G1" s="46" t="s">
        <v>6</v>
      </c>
      <c r="I1" s="31" t="s">
        <v>59</v>
      </c>
      <c r="J1" s="34">
        <f>Total_Registros_Gerente</f>
        <v>61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9"/>
      <c r="C2" s="119"/>
      <c r="D2" s="119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/>
      </c>
    </row>
    <row r="3" spans="1:16" ht="16.5" thickBot="1" x14ac:dyDescent="0.3">
      <c r="A3" s="43" t="s">
        <v>29</v>
      </c>
      <c r="B3" s="56"/>
      <c r="C3" s="45" t="s">
        <v>30</v>
      </c>
      <c r="D3" s="57"/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/>
      </c>
    </row>
    <row r="4" spans="1:16" ht="16.5" thickBot="1" x14ac:dyDescent="0.3">
      <c r="A4" s="43" t="s">
        <v>17</v>
      </c>
      <c r="B4" s="108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/>
      </c>
    </row>
    <row r="5" spans="1:16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/>
      </c>
    </row>
    <row r="6" spans="1:16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/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7"/>
      <c r="B9" s="18"/>
      <c r="C9" s="18"/>
      <c r="D9" s="51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f>
        <v>0</v>
      </c>
      <c r="E9" s="18"/>
      <c r="F9" s="18"/>
      <c r="G9" s="42"/>
      <c r="H9" s="73">
        <f>IFERROR(VLOOKUP(Tabla_Coordinador[[#This Row],[CREDENCIAL]], Tabla_Gerente[[CREDENCIAL]:[PAGO]], 7, FALSE), 0)</f>
        <v>0</v>
      </c>
      <c r="I9" s="53"/>
      <c r="J9" s="19"/>
      <c r="K9" s="1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27" t="s">
        <v>50</v>
      </c>
      <c r="B10" s="14"/>
      <c r="C10" s="15"/>
      <c r="D10" s="54">
        <f>SUBTOTAL(109,Tabla_Coordinador[COMISION])</f>
        <v>0</v>
      </c>
      <c r="E10" s="14"/>
      <c r="F10" s="14"/>
      <c r="G10" s="14"/>
      <c r="H10" s="14"/>
      <c r="I10" s="16"/>
      <c r="J10" s="16"/>
      <c r="K10" s="16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124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20" t="str" cm="1">
        <f t="array" ref="D21">NumeroATexto(Pago_Neto_Coordinador)</f>
        <v>CUATROCIENTOS SETENTA Y CINCO PESOS 00/100</v>
      </c>
      <c r="E21" s="120"/>
      <c r="F21" s="120"/>
      <c r="G21" s="120"/>
      <c r="H21" s="120"/>
      <c r="I21" s="120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21"/>
      <c r="E24" s="121"/>
      <c r="F24" s="121"/>
      <c r="G24" s="121"/>
      <c r="H24" s="121"/>
      <c r="I24" s="121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94" priority="7" operator="equal">
      <formula>0</formula>
    </cfRule>
    <cfRule type="cellIs" dxfId="93" priority="16" operator="equal">
      <formula>$G9=501</formula>
    </cfRule>
  </conditionalFormatting>
  <conditionalFormatting sqref="G9">
    <cfRule type="cellIs" dxfId="92" priority="1" operator="equal">
      <formula>505</formula>
    </cfRule>
    <cfRule type="cellIs" dxfId="91" priority="5" operator="equal">
      <formula>501</formula>
    </cfRule>
    <cfRule type="containsBlanks" dxfId="90" priority="8">
      <formula>LEN(TRIM(G9))=0</formula>
    </cfRule>
  </conditionalFormatting>
  <conditionalFormatting sqref="B9">
    <cfRule type="duplicateValues" dxfId="89" priority="24"/>
  </conditionalFormatting>
  <conditionalFormatting sqref="A9:K9">
    <cfRule type="expression" dxfId="88" priority="3">
      <formula>$G9 = 503</formula>
    </cfRule>
  </conditionalFormatting>
  <dataValidations count="5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B3</formula1>
      <formula2>D3</formula2>
    </dataValidation>
    <dataValidation type="list" showInputMessage="1" showErrorMessage="1" sqref="A9" xr:uid="{FE1C4E0D-2F6C-482C-9073-AD83A343D7D3}">
      <formula1>Promotores_de_Coordinacion_Activos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0" id="{A96C4622-7921-4E82-92DE-710E97186F01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451E6-0AF1-470E-84DE-BA92C470A910}">
          <x14:formula1>
            <xm:f>Planteles!$A$4:$A$15</xm:f>
          </x14:formula1>
          <xm:sqref>J9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9.140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/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/>
      <c r="C3" s="45" t="s">
        <v>30</v>
      </c>
      <c r="D3" s="46"/>
      <c r="F3" s="20"/>
      <c r="G3" s="21"/>
      <c r="I3" s="14"/>
    </row>
    <row r="4" spans="1:11" ht="16.5" thickBot="1" x14ac:dyDescent="0.3">
      <c r="A4" s="43" t="s">
        <v>17</v>
      </c>
      <c r="B4" s="48">
        <f>COUNTIFS(Tabla_Promotor[GRUPO], "&lt;&gt;",
          Tabla_Promotor[GRUPO], "&lt;&gt;503",
          Tabla_Promotor[GRUPO], "&lt;&gt;500")</f>
        <v>0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7"/>
      <c r="B9" s="18"/>
      <c r="C9" s="18"/>
      <c r="D9" s="51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2">
        <f>IFERROR(VLOOKUP(Tabla_Promotor[[#This Row],[CREDENCIAL]], Tabla_Gerente[[CREDENCIAL]:[PAGO]], 7, FALSE), 0)</f>
        <v>0</v>
      </c>
      <c r="I9" s="58"/>
      <c r="J9" s="19"/>
      <c r="K9" s="19"/>
    </row>
    <row r="10" spans="1:11" x14ac:dyDescent="0.25">
      <c r="A10" s="25" t="s">
        <v>50</v>
      </c>
      <c r="B10" s="14"/>
      <c r="C10" s="15"/>
      <c r="D10" s="54">
        <f>SUBTOTAL(109,Tabla_Promotor[COMISION])</f>
        <v>0</v>
      </c>
      <c r="E10" s="14"/>
      <c r="F10" s="14"/>
      <c r="G10" s="27"/>
      <c r="H10" s="55"/>
      <c r="I10" s="14"/>
      <c r="J10" s="16"/>
      <c r="K10" s="16"/>
    </row>
    <row r="11" spans="1:11" x14ac:dyDescent="0.25">
      <c r="A11" s="25"/>
      <c r="B11" s="14"/>
      <c r="C11" s="15"/>
      <c r="D11" s="54"/>
      <c r="E11" s="14"/>
      <c r="F11" s="14"/>
      <c r="G11" s="27"/>
      <c r="H11" s="55"/>
      <c r="I11" s="14"/>
      <c r="J11" s="16"/>
      <c r="K11" s="16"/>
    </row>
    <row r="12" spans="1:11" x14ac:dyDescent="0.25">
      <c r="A12" s="25" t="s">
        <v>13</v>
      </c>
      <c r="D12" s="74">
        <f>_xlfn.IFNA(VLOOKUP(Nombre_Promotor,Sueldos_Base[],2,FALSE),0)</f>
        <v>0</v>
      </c>
      <c r="E12" s="16"/>
      <c r="F12" s="15"/>
      <c r="H12" s="15"/>
      <c r="J12" s="24"/>
    </row>
    <row r="13" spans="1:11" ht="16.5" thickBot="1" x14ac:dyDescent="0.3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5">
      <c r="A14" s="27" t="s">
        <v>46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5">
      <c r="A15" s="27" t="s">
        <v>124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127</v>
      </c>
      <c r="F15" s="15"/>
      <c r="H15" s="15"/>
      <c r="I15" s="18"/>
      <c r="J15" s="22"/>
      <c r="K15" s="22"/>
    </row>
    <row r="16" spans="1:11" ht="16.5" thickBot="1" x14ac:dyDescent="0.3">
      <c r="A16" s="35"/>
      <c r="C16" s="29"/>
      <c r="D16" s="28"/>
      <c r="E16" s="16"/>
      <c r="F16" s="15"/>
    </row>
    <row r="17" spans="1:9" ht="16.5" thickBot="1" x14ac:dyDescent="0.3">
      <c r="A17" s="37" t="s">
        <v>49</v>
      </c>
      <c r="B17" s="34"/>
      <c r="C17" s="50"/>
      <c r="D17" s="30">
        <f>Pago_Subtotal_Promotor + Descuento_Promotor</f>
        <v>0</v>
      </c>
      <c r="E17" s="16"/>
      <c r="F17" s="15"/>
    </row>
    <row r="18" spans="1:9" x14ac:dyDescent="0.25">
      <c r="C18" s="29"/>
      <c r="D18" s="28"/>
      <c r="E18" s="26"/>
      <c r="F18" s="26"/>
    </row>
    <row r="19" spans="1:9" x14ac:dyDescent="0.25">
      <c r="C19" s="29"/>
      <c r="D19" s="28"/>
      <c r="E19" s="26"/>
      <c r="F19" s="26"/>
    </row>
    <row r="20" spans="1:9" ht="16.5" thickBot="1" x14ac:dyDescent="0.3">
      <c r="C20" s="37" t="s">
        <v>25</v>
      </c>
      <c r="D20" s="120" t="str" cm="1">
        <f t="array" ref="D20">NumeroATexto(Pago_Neto_Promotor)</f>
        <v>CERO PESOS 00/100</v>
      </c>
      <c r="E20" s="120"/>
      <c r="F20" s="120"/>
      <c r="G20" s="120"/>
      <c r="H20" s="120"/>
      <c r="I20" s="120"/>
    </row>
    <row r="21" spans="1:9" x14ac:dyDescent="0.25">
      <c r="C21" s="27"/>
      <c r="D21" s="26"/>
      <c r="E21" s="16"/>
      <c r="F21" s="15"/>
    </row>
    <row r="22" spans="1:9" x14ac:dyDescent="0.25">
      <c r="C22" s="29"/>
      <c r="D22" s="28"/>
    </row>
    <row r="23" spans="1:9" ht="16.5" thickBot="1" x14ac:dyDescent="0.3">
      <c r="C23" s="33" t="s">
        <v>26</v>
      </c>
      <c r="D23" s="121"/>
      <c r="E23" s="121"/>
      <c r="F23" s="121"/>
      <c r="G23" s="121"/>
      <c r="H23" s="121"/>
      <c r="I23" s="121"/>
    </row>
  </sheetData>
  <mergeCells count="4">
    <mergeCell ref="B1:D1"/>
    <mergeCell ref="B2:D2"/>
    <mergeCell ref="D20:I20"/>
    <mergeCell ref="D23:I23"/>
  </mergeCells>
  <phoneticPr fontId="6" type="noConversion"/>
  <conditionalFormatting sqref="D9">
    <cfRule type="expression" dxfId="86" priority="2">
      <formula>$G9=501</formula>
    </cfRule>
    <cfRule type="cellIs" dxfId="85" priority="6" operator="equal">
      <formula>0</formula>
    </cfRule>
  </conditionalFormatting>
  <conditionalFormatting sqref="G9">
    <cfRule type="cellIs" dxfId="84" priority="3" operator="equal">
      <formula>503</formula>
    </cfRule>
    <cfRule type="cellIs" dxfId="83" priority="5" operator="equal">
      <formula>501</formula>
    </cfRule>
  </conditionalFormatting>
  <conditionalFormatting sqref="B9">
    <cfRule type="duplicateValues" dxfId="82" priority="26"/>
  </conditionalFormatting>
  <dataValidations count="4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B3</formula1>
      <formula2>D3</formula2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686F8BA5-6706-45E7-A1E7-986D6339DEE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0698A-06B6-4332-9CB4-35D696D672A5}">
          <x14:formula1>
            <xm:f>Planteles!$A$4:$A$15</xm:f>
          </x14:formula1>
          <xm:sqref>J9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S83"/>
  <sheetViews>
    <sheetView zoomScaleNormal="100" workbookViewId="0">
      <selection activeCell="A9" sqref="A9:L69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3.5703125" style="13" bestFit="1" customWidth="1"/>
    <col min="4" max="4" width="16.42578125" style="13" bestFit="1" customWidth="1"/>
    <col min="5" max="5" width="20.85546875" style="13" bestFit="1" customWidth="1"/>
    <col min="6" max="6" width="18.5703125" style="13" bestFit="1" customWidth="1"/>
    <col min="7" max="7" width="17.7109375" style="13" bestFit="1" customWidth="1"/>
    <col min="8" max="8" width="12" style="13" bestFit="1" customWidth="1"/>
    <col min="9" max="9" width="24.140625" style="13" bestFit="1" customWidth="1"/>
    <col min="10" max="10" width="22.5703125" style="13" bestFit="1" customWidth="1"/>
    <col min="11" max="11" width="20.85546875" style="13" bestFit="1" customWidth="1"/>
    <col min="12" max="12" width="21" style="13" bestFit="1" customWidth="1"/>
    <col min="13" max="13" width="3.28515625" style="13" bestFit="1" customWidth="1"/>
    <col min="14" max="15" width="12.5703125" style="13" customWidth="1"/>
    <col min="16" max="16" width="2.85546875" style="13" customWidth="1"/>
    <col min="17" max="17" width="25.7109375" style="13" customWidth="1"/>
    <col min="18" max="18" width="2.85546875" style="13" customWidth="1"/>
    <col min="19" max="19" width="25.7109375" style="13" customWidth="1"/>
    <col min="20" max="26" width="10.7109375" style="13" customWidth="1"/>
    <col min="27" max="16384" width="14.42578125" style="13"/>
  </cols>
  <sheetData>
    <row r="1" spans="1:19" ht="16.5" thickBot="1" x14ac:dyDescent="0.3">
      <c r="A1" s="32" t="s">
        <v>28</v>
      </c>
      <c r="B1" s="122" t="s">
        <v>134</v>
      </c>
      <c r="C1" s="122"/>
      <c r="D1" s="122"/>
      <c r="F1" s="43" t="s">
        <v>120</v>
      </c>
      <c r="G1" s="46" t="s">
        <v>121</v>
      </c>
      <c r="I1" s="88" t="s">
        <v>175</v>
      </c>
      <c r="J1" s="90">
        <f>Total_De_La_Gerencia/Total_Registros_Gerente</f>
        <v>15.573770491803279</v>
      </c>
      <c r="N1" s="82"/>
      <c r="O1" s="82"/>
      <c r="Q1" s="80" t="s">
        <v>114</v>
      </c>
      <c r="S1" s="81" t="s">
        <v>0</v>
      </c>
    </row>
    <row r="2" spans="1:19" ht="16.5" thickBot="1" x14ac:dyDescent="0.3">
      <c r="A2" s="43" t="s">
        <v>31</v>
      </c>
      <c r="B2" s="123"/>
      <c r="C2" s="123"/>
      <c r="D2" s="123"/>
      <c r="N2" s="82"/>
      <c r="O2" s="82"/>
      <c r="Q2" s="13" t="str" cm="1">
        <f t="array" ref="Q2">IFERROR(INDEX(Alias_Coordinadores, SMALL(IF((Coordinadores[GERENCIA] = VLOOKUP(Nombre_Gerente, Gerentes[], 2, FALSE)) * (Alias_Coordinadores &lt;&gt; ""), ROW(Alias_Coordinadores)-MIN(ROW(Alias_Coordinadores))+1), ROWS($B$2:B2))), "")</f>
        <v>MARIANA PACHECO</v>
      </c>
      <c r="S2" s="13" t="str" cm="1">
        <f t="array" ref="S2">IFERROR(INDEX(Alias_Promotores, SMALL(IF((Promotores[GERENCIA] = VLOOKUP(Nombre_Gerente, Gerentes[], 2, FALSE)) * (Alias_Promotores &lt;&gt; ""), ROW(Alias_Promotores) - MIN(ROW(Alias_Promotores)) + 1), ROWS($B$2:B2))), "")</f>
        <v>DAMIAN BRAVO</v>
      </c>
    </row>
    <row r="3" spans="1:19" ht="16.5" thickBot="1" x14ac:dyDescent="0.3">
      <c r="A3" s="43" t="s">
        <v>29</v>
      </c>
      <c r="B3" s="44">
        <f>DATE(2025,1,1) + (Numero_de_semana-1)*7 - WEEKDAY(DATE(2025,1,1),2) + 4</f>
        <v>45736</v>
      </c>
      <c r="C3" s="45" t="s">
        <v>30</v>
      </c>
      <c r="D3" s="46">
        <f>DATE(2025,1,1) + (Numero_de_semana-1)*7 - WEEKDAY(DATE(2025,1,1),2) + 11</f>
        <v>45743</v>
      </c>
      <c r="F3" s="20"/>
      <c r="G3" s="21"/>
      <c r="N3" s="82"/>
      <c r="O3" s="82"/>
      <c r="Q3" s="13" t="str" cm="1">
        <f t="array" ref="Q3">IFERROR(INDEX(Alias_Coordinadores, SMALL(IF((Coordinadores[GERENCIA] = VLOOKUP(Nombre_Gerente, Gerentes[], 2, FALSE)) * (Alias_Coordinadores &lt;&gt; ""), ROW(Alias_Coordinadores)-MIN(ROW(Alias_Coordinadores))+1), ROWS($B$2:B3))), "")</f>
        <v>OLIVIA PACHECO</v>
      </c>
      <c r="S3" s="13" t="str" cm="1">
        <f t="array" ref="S3">IFERROR(INDEX(Alias_Promotores, SMALL(IF((Promotores[GERENCIA] = VLOOKUP(Nombre_Gerente, Gerentes[], 2, FALSE)) * (Alias_Promotores &lt;&gt; ""), ROW(Alias_Promotores) - MIN(ROW(Alias_Promotores)) + 1), ROWS($B$2:B3))), "")</f>
        <v>EFRAIN CORTES</v>
      </c>
    </row>
    <row r="4" spans="1:19" s="21" customFormat="1" ht="16.5" thickBot="1" x14ac:dyDescent="0.3">
      <c r="A4" s="110" t="s">
        <v>17</v>
      </c>
      <c r="B4" s="108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61</v>
      </c>
      <c r="C4" s="111"/>
      <c r="F4" s="112"/>
      <c r="G4" s="112"/>
      <c r="H4" s="111"/>
      <c r="I4" s="113" t="s">
        <v>16</v>
      </c>
      <c r="J4" s="114">
        <v>950</v>
      </c>
      <c r="K4" s="115"/>
      <c r="N4" s="116"/>
      <c r="O4" s="116"/>
      <c r="Q4" s="21" t="str" cm="1">
        <f t="array" ref="Q4">IFERROR(INDEX(Alias_Coordinadores, SMALL(IF((Coordinadores[GERENCIA] = VLOOKUP(Nombre_Gerente, Gerentes[], 2, FALSE)) * (Alias_Coordinadores &lt;&gt; ""), ROW(Alias_Coordinadores)-MIN(ROW(Alias_Coordinadores))+1), ROWS($B$2:B4))), "")</f>
        <v>PEDRO MORA (C)</v>
      </c>
      <c r="S4" s="21" t="str" cm="1">
        <f t="array" ref="S4">IFERROR(INDEX(Alias_Promotores, SMALL(IF((Promotores[GERENCIA] = VLOOKUP(Nombre_Gerente, Gerentes[], 2, FALSE)) * (Alias_Promotores &lt;&gt; ""), ROW(Alias_Promotores) - MIN(ROW(Alias_Promotores)) + 1), ROWS($B$2:B4))), "")</f>
        <v>ENRIQUE OJEDA</v>
      </c>
    </row>
    <row r="5" spans="1:19" ht="16.5" thickBot="1" x14ac:dyDescent="0.3">
      <c r="A5" s="43" t="s">
        <v>32</v>
      </c>
      <c r="B5" s="89">
        <v>12</v>
      </c>
      <c r="C5" s="109"/>
      <c r="E5" s="18"/>
      <c r="F5" s="18" t="s">
        <v>127</v>
      </c>
      <c r="G5" s="18"/>
      <c r="H5" s="17"/>
      <c r="K5" s="23"/>
      <c r="Q5" s="13" t="str" cm="1">
        <f t="array" ref="Q5">IFERROR(INDEX(Alias_Coordinadores, SMALL(IF((Coordinadores[GERENCIA] = VLOOKUP(Nombre_Gerente, Gerentes[], 2, FALSE)) * (Alias_Coordinadores &lt;&gt; ""), ROW(Alias_Coordinadores)-MIN(ROW(Alias_Coordinadores))+1), ROWS($B$2:B5))), "")</f>
        <v/>
      </c>
      <c r="S5" s="13" t="str" cm="1">
        <f t="array" ref="S5">IFERROR(INDEX(Alias_Promotores, SMALL(IF((Promotores[GERENCIA] = VLOOKUP(Nombre_Gerente, Gerentes[], 2, FALSE)) * (Alias_Promotores &lt;&gt; ""), ROW(Alias_Promotores) - MIN(ROW(Alias_Promotores)) + 1), ROWS($B$2:B5))), "")</f>
        <v>EUNICE RAMOS</v>
      </c>
    </row>
    <row r="6" spans="1:19" ht="16.5" thickBot="1" x14ac:dyDescent="0.3">
      <c r="A6" s="43" t="s">
        <v>27</v>
      </c>
      <c r="B6" s="57">
        <v>45748</v>
      </c>
      <c r="C6" s="17"/>
      <c r="E6" s="18"/>
      <c r="F6" s="18"/>
      <c r="G6" s="18"/>
      <c r="H6" s="17"/>
      <c r="J6" s="23"/>
      <c r="K6" s="23"/>
      <c r="N6" s="84"/>
      <c r="O6" s="84"/>
      <c r="Q6" s="13" t="str" cm="1">
        <f t="array" ref="Q6">IFERROR(INDEX(Alias_Coordinadores, SMALL(IF((Coordinadores[GERENCIA] = VLOOKUP(Nombre_Gerente, Gerentes[], 2, FALSE)) * (Alias_Coordinadores &lt;&gt; ""), ROW(Alias_Coordinadores)-MIN(ROW(Alias_Coordinadores))+1), ROWS($B$2:B6))), "")</f>
        <v/>
      </c>
      <c r="S6" s="13" t="str" cm="1">
        <f t="array" ref="S6">IFERROR(INDEX(Alias_Promotores, SMALL(IF((Promotores[GERENCIA] = VLOOKUP(Nombre_Gerente, Gerentes[], 2, FALSE)) * (Alias_Promotores &lt;&gt; ""), ROW(Alias_Promotores) - MIN(ROW(Alias_Promotores)) + 1), ROWS($B$2:B6))), "")</f>
        <v>FATIMA HERNANDEZ</v>
      </c>
    </row>
    <row r="7" spans="1:19" x14ac:dyDescent="0.25">
      <c r="E7" s="13" t="s">
        <v>127</v>
      </c>
      <c r="N7" s="84"/>
      <c r="O7" s="84"/>
      <c r="Q7" s="13" t="str" cm="1">
        <f t="array" ref="Q7">IFERROR(INDEX(Alias_Coordinadores, SMALL(IF((Coordinadores[GERENCIA] = VLOOKUP(Nombre_Gerente, Gerentes[], 2, FALSE)) * (Alias_Coordinadores &lt;&gt; ""), ROW(Alias_Coordinadores)-MIN(ROW(Alias_Coordinadores))+1), ROWS($B$2:B7))), "")</f>
        <v/>
      </c>
      <c r="S7" s="13" t="str" cm="1">
        <f t="array" ref="S7">IFERROR(INDEX(Alias_Promotores, SMALL(IF((Promotores[GERENCIA] = VLOOKUP(Nombre_Gerente, Gerentes[], 2, FALSE)) * (Alias_Promotores &lt;&gt; ""), ROW(Alias_Promotores) - MIN(ROW(Alias_Promotores)) + 1), ROWS($B$2:B7))), "")</f>
        <v>HUGO PACHECO</v>
      </c>
    </row>
    <row r="8" spans="1:19" x14ac:dyDescent="0.25">
      <c r="A8" s="91" t="s">
        <v>6</v>
      </c>
      <c r="B8" s="92" t="s">
        <v>18</v>
      </c>
      <c r="C8" s="92" t="s">
        <v>113</v>
      </c>
      <c r="D8" s="93" t="s">
        <v>34</v>
      </c>
      <c r="E8" s="92" t="s">
        <v>33</v>
      </c>
      <c r="F8" s="92" t="s">
        <v>67</v>
      </c>
      <c r="G8" s="92" t="s">
        <v>20</v>
      </c>
      <c r="H8" s="93" t="s">
        <v>1</v>
      </c>
      <c r="I8" s="92" t="s">
        <v>68</v>
      </c>
      <c r="J8" s="92" t="s">
        <v>7</v>
      </c>
      <c r="K8" s="92" t="s">
        <v>21</v>
      </c>
      <c r="L8" s="92" t="s">
        <v>22</v>
      </c>
      <c r="N8" s="84"/>
      <c r="O8" s="84"/>
      <c r="Q8" s="13" t="str" cm="1">
        <f t="array" ref="Q8">IFERROR(INDEX(Alias_Coordinadores, SMALL(IF((Coordinadores[GERENCIA] = VLOOKUP(Nombre_Gerente, Gerentes[], 2, FALSE)) * (Alias_Coordinadores &lt;&gt; ""), ROW(Alias_Coordinadores)-MIN(ROW(Alias_Coordinadores))+1), ROWS($B$2:B8))), "")</f>
        <v/>
      </c>
      <c r="S8" s="13" t="str" cm="1">
        <f t="array" ref="S8">IFERROR(INDEX(Alias_Promotores, SMALL(IF((Promotores[GERENCIA] = VLOOKUP(Nombre_Gerente, Gerentes[], 2, FALSE)) * (Alias_Promotores &lt;&gt; ""), ROW(Alias_Promotores) - MIN(ROW(Alias_Promotores)) + 1), ROWS($B$2:B8))), "")</f>
        <v>LIZBETH RAMOS</v>
      </c>
    </row>
    <row r="9" spans="1:19" x14ac:dyDescent="0.25">
      <c r="A9" s="94" t="s">
        <v>139</v>
      </c>
      <c r="B9" s="95">
        <v>18590</v>
      </c>
      <c r="C9" s="96" t="s">
        <v>198</v>
      </c>
      <c r="D9" s="107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9" s="97" t="s">
        <v>47</v>
      </c>
      <c r="F9" s="97" t="s">
        <v>257</v>
      </c>
      <c r="G9" s="98">
        <v>9231</v>
      </c>
      <c r="H9" s="105">
        <v>399</v>
      </c>
      <c r="I9" s="106" t="s">
        <v>258</v>
      </c>
      <c r="J9" s="99" t="s">
        <v>152</v>
      </c>
      <c r="K9" s="91"/>
      <c r="L9" s="91"/>
      <c r="N9" s="84"/>
      <c r="O9" s="84"/>
      <c r="Q9" s="13" t="str" cm="1">
        <f t="array" ref="Q9">IFERROR(INDEX(Alias_Coordinadores, SMALL(IF((Coordinadores[GERENCIA] = VLOOKUP(Nombre_Gerente, Gerentes[], 2, FALSE)) * (Alias_Coordinadores &lt;&gt; ""), ROW(Alias_Coordinadores)-MIN(ROW(Alias_Coordinadores))+1), ROWS($B$2:B8))), "")</f>
        <v/>
      </c>
      <c r="S9" s="13" t="str" cm="1">
        <f t="array" ref="S9">IFERROR(INDEX(Alias_Promotores, SMALL(IF((Promotores[GERENCIA] = VLOOKUP(Nombre_Gerente, Gerentes[], 2, FALSE)) * (Alias_Promotores &lt;&gt; ""), ROW(Alias_Promotores) - MIN(ROW(Alias_Promotores)) + 1), ROWS($B$2:B8))), "")</f>
        <v>LIZBETH RAMOS</v>
      </c>
    </row>
    <row r="10" spans="1:19" x14ac:dyDescent="0.25">
      <c r="A10" s="133" t="s">
        <v>139</v>
      </c>
      <c r="B10" s="134">
        <v>20898</v>
      </c>
      <c r="C10" s="135" t="s">
        <v>199</v>
      </c>
      <c r="D1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0" s="137" t="s">
        <v>47</v>
      </c>
      <c r="F10" s="137" t="s">
        <v>259</v>
      </c>
      <c r="G10" s="138">
        <v>9380</v>
      </c>
      <c r="H10" s="105">
        <v>399</v>
      </c>
      <c r="I10" s="139"/>
      <c r="J10" s="140" t="s">
        <v>152</v>
      </c>
      <c r="K10" s="141"/>
      <c r="L10" s="141"/>
      <c r="Q10" s="13" t="str" cm="1">
        <f t="array" ref="Q10">IFERROR(INDEX(Alias_Coordinadores, SMALL(IF((Coordinadores[GERENCIA] = VLOOKUP(Nombre_Gerente, Gerentes[], 2, FALSE)) * (Alias_Coordinadores &lt;&gt; ""), ROW(Alias_Coordinadores)-MIN(ROW(Alias_Coordinadores))+1), ROWS($B$2:B8))), "")</f>
        <v/>
      </c>
      <c r="S10" s="13" t="str" cm="1">
        <f t="array" ref="S10">IFERROR(INDEX(Alias_Promotores, SMALL(IF((Promotores[GERENCIA] = VLOOKUP(Nombre_Gerente, Gerentes[], 2, FALSE)) * (Alias_Promotores &lt;&gt; ""), ROW(Alias_Promotores) - MIN(ROW(Alias_Promotores)) + 1), ROWS($B$2:B9))), "")</f>
        <v>MARIANA PACHECO (P)</v>
      </c>
    </row>
    <row r="11" spans="1:19" x14ac:dyDescent="0.25">
      <c r="A11" s="133" t="s">
        <v>139</v>
      </c>
      <c r="B11" s="134">
        <v>20899</v>
      </c>
      <c r="C11" s="135" t="s">
        <v>200</v>
      </c>
      <c r="D1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1" s="137" t="s">
        <v>47</v>
      </c>
      <c r="F11" s="137" t="s">
        <v>259</v>
      </c>
      <c r="G11" s="138">
        <v>9380</v>
      </c>
      <c r="H11" s="105">
        <v>399</v>
      </c>
      <c r="I11" s="139"/>
      <c r="J11" s="140" t="s">
        <v>152</v>
      </c>
      <c r="K11" s="141"/>
      <c r="L11" s="141"/>
      <c r="Q11" s="13" t="str" cm="1">
        <f t="array" ref="Q11">IFERROR(INDEX(Alias_Coordinadores, SMALL(IF((Coordinadores[GERENCIA] = VLOOKUP(Nombre_Gerente, Gerentes[], 2, FALSE)) * (Alias_Coordinadores &lt;&gt; ""), ROW(Alias_Coordinadores)-MIN(ROW(Alias_Coordinadores))+1), ROWS($B$2:B8))), "")</f>
        <v/>
      </c>
      <c r="S11" s="13" t="str" cm="1">
        <f t="array" ref="S11">IFERROR(INDEX(Alias_Promotores, SMALL(IF((Promotores[GERENCIA] = VLOOKUP(Nombre_Gerente, Gerentes[], 2, FALSE)) * (Alias_Promotores &lt;&gt; ""), ROW(Alias_Promotores) - MIN(ROW(Alias_Promotores)) + 1), ROWS($B$2:B70))), "")</f>
        <v/>
      </c>
    </row>
    <row r="12" spans="1:19" x14ac:dyDescent="0.25">
      <c r="A12" s="133" t="s">
        <v>139</v>
      </c>
      <c r="B12" s="134">
        <v>20901</v>
      </c>
      <c r="C12" s="135" t="s">
        <v>201</v>
      </c>
      <c r="D1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2" s="137" t="s">
        <v>47</v>
      </c>
      <c r="F12" s="137" t="s">
        <v>260</v>
      </c>
      <c r="G12" s="138">
        <v>9391</v>
      </c>
      <c r="H12" s="105">
        <v>399</v>
      </c>
      <c r="I12" s="139"/>
      <c r="J12" s="140" t="s">
        <v>152</v>
      </c>
      <c r="K12" s="141"/>
      <c r="L12" s="141"/>
      <c r="Q12" s="13" t="str" cm="1">
        <f t="array" ref="Q12">IFERROR(INDEX(Alias_Coordinadores, SMALL(IF((Coordinadores[GERENCIA] = VLOOKUP(Nombre_Gerente, Gerentes[], 2, FALSE)) * (Alias_Coordinadores &lt;&gt; ""), ROW(Alias_Coordinadores)-MIN(ROW(Alias_Coordinadores))+1), ROWS($B$2:B8))), "")</f>
        <v/>
      </c>
      <c r="S12" s="13" t="str" cm="1">
        <f t="array" ref="S12">IFERROR(INDEX(Alias_Promotores, SMALL(IF((Promotores[GERENCIA] = VLOOKUP(Nombre_Gerente, Gerentes[], 2, FALSE)) * (Alias_Promotores &lt;&gt; ""), ROW(Alias_Promotores) - MIN(ROW(Alias_Promotores)) + 1), ROWS($B$2:B71))), "")</f>
        <v/>
      </c>
    </row>
    <row r="13" spans="1:19" x14ac:dyDescent="0.25">
      <c r="A13" s="133" t="s">
        <v>139</v>
      </c>
      <c r="B13" s="134">
        <v>20902</v>
      </c>
      <c r="C13" s="135" t="s">
        <v>202</v>
      </c>
      <c r="D1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3" s="137" t="s">
        <v>47</v>
      </c>
      <c r="F13" s="137" t="s">
        <v>260</v>
      </c>
      <c r="G13" s="138">
        <v>9391</v>
      </c>
      <c r="H13" s="105">
        <v>399</v>
      </c>
      <c r="I13" s="139"/>
      <c r="J13" s="140" t="s">
        <v>152</v>
      </c>
      <c r="K13" s="141"/>
      <c r="L13" s="141"/>
      <c r="Q13" s="13" t="str" cm="1">
        <f t="array" ref="Q13">IFERROR(INDEX(Alias_Coordinadores, SMALL(IF((Coordinadores[GERENCIA] = VLOOKUP(Nombre_Gerente, Gerentes[], 2, FALSE)) * (Alias_Coordinadores &lt;&gt; ""), ROW(Alias_Coordinadores)-MIN(ROW(Alias_Coordinadores))+1), ROWS($B$2:B8))), "")</f>
        <v/>
      </c>
      <c r="S13" s="13" t="str" cm="1">
        <f t="array" ref="S13">IFERROR(INDEX(Alias_Promotores, SMALL(IF((Promotores[GERENCIA] = VLOOKUP(Nombre_Gerente, Gerentes[], 2, FALSE)) * (Alias_Promotores &lt;&gt; ""), ROW(Alias_Promotores) - MIN(ROW(Alias_Promotores)) + 1), ROWS($B$2:B72))), "")</f>
        <v/>
      </c>
    </row>
    <row r="14" spans="1:19" x14ac:dyDescent="0.25">
      <c r="A14" s="133" t="s">
        <v>139</v>
      </c>
      <c r="B14" s="134">
        <v>20909</v>
      </c>
      <c r="C14" s="135" t="s">
        <v>203</v>
      </c>
      <c r="D1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4" s="137" t="s">
        <v>47</v>
      </c>
      <c r="F14" s="137" t="s">
        <v>261</v>
      </c>
      <c r="G14" s="138">
        <v>9378</v>
      </c>
      <c r="H14" s="105">
        <v>350</v>
      </c>
      <c r="I14" s="139"/>
      <c r="J14" s="140" t="s">
        <v>152</v>
      </c>
      <c r="K14" s="141"/>
      <c r="L14" s="141"/>
      <c r="Q14" s="13" t="str" cm="1">
        <f t="array" ref="Q14">IFERROR(INDEX(Alias_Coordinadores, SMALL(IF((Coordinadores[GERENCIA] = VLOOKUP(Nombre_Gerente, Gerentes[], 2, FALSE)) * (Alias_Coordinadores &lt;&gt; ""), ROW(Alias_Coordinadores)-MIN(ROW(Alias_Coordinadores))+1), ROWS($B$2:B8))), "")</f>
        <v/>
      </c>
      <c r="S14" s="13" t="str" cm="1">
        <f t="array" ref="S14">IFERROR(INDEX(Alias_Promotores, SMALL(IF((Promotores[GERENCIA] = VLOOKUP(Nombre_Gerente, Gerentes[], 2, FALSE)) * (Alias_Promotores &lt;&gt; ""), ROW(Alias_Promotores) - MIN(ROW(Alias_Promotores)) + 1), ROWS($B$2:B73))), "")</f>
        <v/>
      </c>
    </row>
    <row r="15" spans="1:19" x14ac:dyDescent="0.25">
      <c r="A15" s="133" t="s">
        <v>139</v>
      </c>
      <c r="B15" s="134">
        <v>20910</v>
      </c>
      <c r="C15" s="135" t="s">
        <v>204</v>
      </c>
      <c r="D1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5" s="137" t="s">
        <v>47</v>
      </c>
      <c r="F15" s="137" t="s">
        <v>259</v>
      </c>
      <c r="G15" s="138">
        <v>9376</v>
      </c>
      <c r="H15" s="105">
        <v>349</v>
      </c>
      <c r="I15" s="139"/>
      <c r="J15" s="140" t="s">
        <v>152</v>
      </c>
      <c r="K15" s="141"/>
      <c r="L15" s="141"/>
      <c r="Q15" s="13" t="str" cm="1">
        <f t="array" ref="Q15">IFERROR(INDEX(Alias_Coordinadores, SMALL(IF((Coordinadores[GERENCIA] = VLOOKUP(Nombre_Gerente, Gerentes[], 2, FALSE)) * (Alias_Coordinadores &lt;&gt; ""), ROW(Alias_Coordinadores)-MIN(ROW(Alias_Coordinadores))+1), ROWS($B$2:B8))), "")</f>
        <v/>
      </c>
      <c r="S15" s="13" t="str" cm="1">
        <f t="array" ref="S15">IFERROR(INDEX(Alias_Promotores, SMALL(IF((Promotores[GERENCIA] = VLOOKUP(Nombre_Gerente, Gerentes[], 2, FALSE)) * (Alias_Promotores &lt;&gt; ""), ROW(Alias_Promotores) - MIN(ROW(Alias_Promotores)) + 1), ROWS($B$2:B74))), "")</f>
        <v/>
      </c>
    </row>
    <row r="16" spans="1:19" x14ac:dyDescent="0.25">
      <c r="A16" s="133" t="s">
        <v>139</v>
      </c>
      <c r="B16" s="134">
        <v>20919</v>
      </c>
      <c r="C16" s="135" t="s">
        <v>205</v>
      </c>
      <c r="D1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6" s="137" t="s">
        <v>47</v>
      </c>
      <c r="F16" s="137" t="s">
        <v>262</v>
      </c>
      <c r="G16" s="138">
        <v>9388</v>
      </c>
      <c r="H16" s="105">
        <v>399</v>
      </c>
      <c r="I16" s="139"/>
      <c r="J16" s="140" t="s">
        <v>152</v>
      </c>
      <c r="K16" s="141"/>
      <c r="L16" s="141"/>
      <c r="Q16" s="13" t="str" cm="1">
        <f t="array" ref="Q16">IFERROR(INDEX(Alias_Coordinadores, SMALL(IF((Coordinadores[GERENCIA] = VLOOKUP(Nombre_Gerente, Gerentes[], 2, FALSE)) * (Alias_Coordinadores &lt;&gt; ""), ROW(Alias_Coordinadores)-MIN(ROW(Alias_Coordinadores))+1), ROWS($B$2:B8))), "")</f>
        <v/>
      </c>
      <c r="S16" s="13" t="str" cm="1">
        <f t="array" ref="S16">IFERROR(INDEX(Alias_Promotores, SMALL(IF((Promotores[GERENCIA] = VLOOKUP(Nombre_Gerente, Gerentes[], 2, FALSE)) * (Alias_Promotores &lt;&gt; ""), ROW(Alias_Promotores) - MIN(ROW(Alias_Promotores)) + 1), ROWS($B$2:B75))), "")</f>
        <v/>
      </c>
    </row>
    <row r="17" spans="1:19" x14ac:dyDescent="0.25">
      <c r="A17" s="133" t="s">
        <v>139</v>
      </c>
      <c r="B17" s="134">
        <v>20923</v>
      </c>
      <c r="C17" s="135" t="s">
        <v>206</v>
      </c>
      <c r="D1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7" s="137" t="s">
        <v>47</v>
      </c>
      <c r="F17" s="137" t="s">
        <v>259</v>
      </c>
      <c r="G17" s="138">
        <v>9377</v>
      </c>
      <c r="H17" s="105">
        <v>399</v>
      </c>
      <c r="I17" s="139"/>
      <c r="J17" s="140" t="s">
        <v>152</v>
      </c>
      <c r="K17" s="141"/>
      <c r="L17" s="141"/>
      <c r="Q17" s="13" t="str" cm="1">
        <f t="array" ref="Q17">IFERROR(INDEX(Alias_Coordinadores, SMALL(IF((Coordinadores[GERENCIA] = VLOOKUP(Nombre_Gerente, Gerentes[], 2, FALSE)) * (Alias_Coordinadores &lt;&gt; ""), ROW(Alias_Coordinadores)-MIN(ROW(Alias_Coordinadores))+1), ROWS($B$2:B8))), "")</f>
        <v/>
      </c>
      <c r="S17" s="13" t="str" cm="1">
        <f t="array" ref="S17">IFERROR(INDEX(Alias_Promotores, SMALL(IF((Promotores[GERENCIA] = VLOOKUP(Nombre_Gerente, Gerentes[], 2, FALSE)) * (Alias_Promotores &lt;&gt; ""), ROW(Alias_Promotores) - MIN(ROW(Alias_Promotores)) + 1), ROWS($B$2:B76))), "")</f>
        <v/>
      </c>
    </row>
    <row r="18" spans="1:19" x14ac:dyDescent="0.25">
      <c r="A18" s="133" t="s">
        <v>139</v>
      </c>
      <c r="B18" s="134">
        <v>20930</v>
      </c>
      <c r="C18" s="135" t="s">
        <v>207</v>
      </c>
      <c r="D1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8" s="137" t="s">
        <v>47</v>
      </c>
      <c r="F18" s="137" t="s">
        <v>263</v>
      </c>
      <c r="G18" s="138">
        <v>9389</v>
      </c>
      <c r="H18" s="105">
        <v>399</v>
      </c>
      <c r="I18" s="139"/>
      <c r="J18" s="140" t="s">
        <v>152</v>
      </c>
      <c r="K18" s="141"/>
      <c r="L18" s="141"/>
      <c r="Q18" s="13" t="str" cm="1">
        <f t="array" ref="Q18">IFERROR(INDEX(Alias_Coordinadores, SMALL(IF((Coordinadores[GERENCIA] = VLOOKUP(Nombre_Gerente, Gerentes[], 2, FALSE)) * (Alias_Coordinadores &lt;&gt; ""), ROW(Alias_Coordinadores)-MIN(ROW(Alias_Coordinadores))+1), ROWS($B$2:B8))), "")</f>
        <v/>
      </c>
      <c r="S18" s="13" t="str" cm="1">
        <f t="array" ref="S18">IFERROR(INDEX(Alias_Promotores, SMALL(IF((Promotores[GERENCIA] = VLOOKUP(Nombre_Gerente, Gerentes[], 2, FALSE)) * (Alias_Promotores &lt;&gt; ""), ROW(Alias_Promotores) - MIN(ROW(Alias_Promotores)) + 1), ROWS($B$2:B77))), "")</f>
        <v/>
      </c>
    </row>
    <row r="19" spans="1:19" x14ac:dyDescent="0.25">
      <c r="A19" s="133" t="s">
        <v>139</v>
      </c>
      <c r="B19" s="134">
        <v>20932</v>
      </c>
      <c r="C19" s="135" t="s">
        <v>208</v>
      </c>
      <c r="D1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19" s="137" t="s">
        <v>47</v>
      </c>
      <c r="F19" s="137" t="s">
        <v>264</v>
      </c>
      <c r="G19" s="138">
        <v>9187</v>
      </c>
      <c r="H19" s="105">
        <v>399</v>
      </c>
      <c r="I19" s="139"/>
      <c r="J19" s="140" t="s">
        <v>152</v>
      </c>
      <c r="K19" s="141"/>
      <c r="L19" s="141"/>
      <c r="Q19" s="13" t="str" cm="1">
        <f t="array" ref="Q19">IFERROR(INDEX(Alias_Coordinadores, SMALL(IF((Coordinadores[GERENCIA] = VLOOKUP(Nombre_Gerente, Gerentes[], 2, FALSE)) * (Alias_Coordinadores &lt;&gt; ""), ROW(Alias_Coordinadores)-MIN(ROW(Alias_Coordinadores))+1), ROWS($B$2:B8))), "")</f>
        <v/>
      </c>
      <c r="S19" s="13" t="str" cm="1">
        <f t="array" ref="S19">IFERROR(INDEX(Alias_Promotores, SMALL(IF((Promotores[GERENCIA] = VLOOKUP(Nombre_Gerente, Gerentes[], 2, FALSE)) * (Alias_Promotores &lt;&gt; ""), ROW(Alias_Promotores) - MIN(ROW(Alias_Promotores)) + 1), ROWS($B$2:B78))), "")</f>
        <v/>
      </c>
    </row>
    <row r="20" spans="1:19" x14ac:dyDescent="0.25">
      <c r="A20" s="133" t="s">
        <v>139</v>
      </c>
      <c r="B20" s="134">
        <v>20934</v>
      </c>
      <c r="C20" s="135" t="s">
        <v>209</v>
      </c>
      <c r="D2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0" s="137" t="s">
        <v>47</v>
      </c>
      <c r="F20" s="137" t="s">
        <v>262</v>
      </c>
      <c r="G20" s="138">
        <v>9384</v>
      </c>
      <c r="H20" s="105">
        <v>399</v>
      </c>
      <c r="I20" s="139"/>
      <c r="J20" s="140" t="s">
        <v>152</v>
      </c>
      <c r="K20" s="141"/>
      <c r="L20" s="141"/>
      <c r="Q20" s="13" t="str" cm="1">
        <f t="array" ref="Q20">IFERROR(INDEX(Alias_Coordinadores, SMALL(IF((Coordinadores[GERENCIA] = VLOOKUP(Nombre_Gerente, Gerentes[], 2, FALSE)) * (Alias_Coordinadores &lt;&gt; ""), ROW(Alias_Coordinadores)-MIN(ROW(Alias_Coordinadores))+1), ROWS($B$2:B8))), "")</f>
        <v/>
      </c>
      <c r="S20" s="13" t="str" cm="1">
        <f t="array" ref="S20">IFERROR(INDEX(Alias_Promotores, SMALL(IF((Promotores[GERENCIA] = VLOOKUP(Nombre_Gerente, Gerentes[], 2, FALSE)) * (Alias_Promotores &lt;&gt; ""), ROW(Alias_Promotores) - MIN(ROW(Alias_Promotores)) + 1), ROWS($B$2:B79))), "")</f>
        <v/>
      </c>
    </row>
    <row r="21" spans="1:19" x14ac:dyDescent="0.25">
      <c r="A21" s="133" t="s">
        <v>139</v>
      </c>
      <c r="B21" s="134">
        <v>20938</v>
      </c>
      <c r="C21" s="135" t="s">
        <v>210</v>
      </c>
      <c r="D2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1" s="137" t="s">
        <v>47</v>
      </c>
      <c r="F21" s="137" t="s">
        <v>264</v>
      </c>
      <c r="G21" s="138">
        <v>9044</v>
      </c>
      <c r="H21" s="105">
        <v>349</v>
      </c>
      <c r="I21" s="139"/>
      <c r="J21" s="140" t="s">
        <v>152</v>
      </c>
      <c r="K21" s="141"/>
      <c r="L21" s="141"/>
      <c r="Q21" s="13" t="str" cm="1">
        <f t="array" ref="Q21">IFERROR(INDEX(Alias_Coordinadores, SMALL(IF((Coordinadores[GERENCIA] = VLOOKUP(Nombre_Gerente, Gerentes[], 2, FALSE)) * (Alias_Coordinadores &lt;&gt; ""), ROW(Alias_Coordinadores)-MIN(ROW(Alias_Coordinadores))+1), ROWS($B$2:B8))), "")</f>
        <v/>
      </c>
      <c r="S21" s="13" t="str" cm="1">
        <f t="array" ref="S21">IFERROR(INDEX(Alias_Promotores, SMALL(IF((Promotores[GERENCIA] = VLOOKUP(Nombre_Gerente, Gerentes[], 2, FALSE)) * (Alias_Promotores &lt;&gt; ""), ROW(Alias_Promotores) - MIN(ROW(Alias_Promotores)) + 1), ROWS($B$2:B80))), "")</f>
        <v/>
      </c>
    </row>
    <row r="22" spans="1:19" x14ac:dyDescent="0.25">
      <c r="A22" s="133" t="s">
        <v>139</v>
      </c>
      <c r="B22" s="134">
        <v>20945</v>
      </c>
      <c r="C22" s="135" t="s">
        <v>211</v>
      </c>
      <c r="D2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2" s="137" t="s">
        <v>47</v>
      </c>
      <c r="F22" s="137" t="s">
        <v>259</v>
      </c>
      <c r="G22" s="138">
        <v>9371</v>
      </c>
      <c r="H22" s="105">
        <v>399</v>
      </c>
      <c r="I22" s="139"/>
      <c r="J22" s="140" t="s">
        <v>152</v>
      </c>
      <c r="K22" s="141"/>
      <c r="L22" s="141"/>
    </row>
    <row r="23" spans="1:19" x14ac:dyDescent="0.25">
      <c r="A23" s="133" t="s">
        <v>139</v>
      </c>
      <c r="B23" s="134">
        <v>50339</v>
      </c>
      <c r="C23" s="135" t="s">
        <v>212</v>
      </c>
      <c r="D2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3" s="137" t="s">
        <v>47</v>
      </c>
      <c r="F23" s="137" t="s">
        <v>265</v>
      </c>
      <c r="G23" s="138">
        <v>100</v>
      </c>
      <c r="H23" s="105">
        <v>700</v>
      </c>
      <c r="I23" s="139"/>
      <c r="J23" s="140" t="s">
        <v>152</v>
      </c>
      <c r="K23" s="141"/>
      <c r="L23" s="141"/>
    </row>
    <row r="24" spans="1:19" x14ac:dyDescent="0.25">
      <c r="A24" s="133" t="s">
        <v>139</v>
      </c>
      <c r="B24" s="134">
        <v>20957</v>
      </c>
      <c r="C24" s="135" t="s">
        <v>213</v>
      </c>
      <c r="D2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4" s="137" t="s">
        <v>47</v>
      </c>
      <c r="F24" s="137" t="s">
        <v>262</v>
      </c>
      <c r="G24" s="138">
        <v>9384</v>
      </c>
      <c r="H24" s="105">
        <v>299</v>
      </c>
      <c r="I24" s="139"/>
      <c r="J24" s="140" t="s">
        <v>152</v>
      </c>
      <c r="K24" s="141"/>
      <c r="L24" s="141"/>
    </row>
    <row r="25" spans="1:19" x14ac:dyDescent="0.25">
      <c r="A25" s="133" t="s">
        <v>139</v>
      </c>
      <c r="B25" s="134">
        <v>20925</v>
      </c>
      <c r="C25" s="135" t="s">
        <v>214</v>
      </c>
      <c r="D2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5" s="137" t="s">
        <v>47</v>
      </c>
      <c r="F25" s="137" t="s">
        <v>259</v>
      </c>
      <c r="G25" s="138">
        <v>9382</v>
      </c>
      <c r="H25" s="105">
        <v>700</v>
      </c>
      <c r="I25" s="139"/>
      <c r="J25" s="140" t="s">
        <v>151</v>
      </c>
      <c r="K25" s="141"/>
      <c r="L25" s="141"/>
      <c r="Q25" s="13" t="str" cm="1">
        <f t="array" ref="Q25">IFERROR(INDEX(Alias_Coordinadores, SMALL(IF((Coordinadores[GERENCIA] = VLOOKUP(Nombre_Gerente, Gerentes[], 2, FALSE)) * (Alias_Coordinadores &lt;&gt; ""), ROW(Alias_Coordinadores)-MIN(ROW(Alias_Coordinadores))+1), ROWS($B$2:B8))), "")</f>
        <v/>
      </c>
    </row>
    <row r="26" spans="1:19" x14ac:dyDescent="0.25">
      <c r="A26" s="133" t="s">
        <v>139</v>
      </c>
      <c r="B26" s="134">
        <v>20929</v>
      </c>
      <c r="C26" s="135" t="s">
        <v>215</v>
      </c>
      <c r="D2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6" s="137" t="s">
        <v>47</v>
      </c>
      <c r="F26" s="137" t="s">
        <v>266</v>
      </c>
      <c r="G26" s="138">
        <v>9384</v>
      </c>
      <c r="H26" s="105">
        <v>349</v>
      </c>
      <c r="I26" s="139"/>
      <c r="J26" s="140" t="s">
        <v>151</v>
      </c>
      <c r="K26" s="141"/>
      <c r="L26" s="141"/>
    </row>
    <row r="27" spans="1:19" x14ac:dyDescent="0.25">
      <c r="A27" s="133" t="s">
        <v>139</v>
      </c>
      <c r="B27" s="134">
        <v>20951</v>
      </c>
      <c r="C27" s="135" t="s">
        <v>216</v>
      </c>
      <c r="D2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7" s="137" t="s">
        <v>47</v>
      </c>
      <c r="F27" s="137" t="s">
        <v>267</v>
      </c>
      <c r="G27" s="138">
        <v>9374</v>
      </c>
      <c r="H27" s="105">
        <v>299</v>
      </c>
      <c r="I27" s="139"/>
      <c r="J27" s="140" t="s">
        <v>151</v>
      </c>
      <c r="K27" s="141"/>
      <c r="L27" s="141"/>
    </row>
    <row r="28" spans="1:19" x14ac:dyDescent="0.25">
      <c r="A28" s="133" t="s">
        <v>139</v>
      </c>
      <c r="B28" s="134">
        <v>20952</v>
      </c>
      <c r="C28" s="135" t="s">
        <v>217</v>
      </c>
      <c r="D2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28" s="137" t="s">
        <v>47</v>
      </c>
      <c r="F28" s="137" t="s">
        <v>267</v>
      </c>
      <c r="G28" s="138">
        <v>9374</v>
      </c>
      <c r="H28" s="105">
        <v>299</v>
      </c>
      <c r="I28" s="139"/>
      <c r="J28" s="140" t="s">
        <v>151</v>
      </c>
      <c r="K28" s="141"/>
      <c r="L28" s="141"/>
    </row>
    <row r="29" spans="1:19" x14ac:dyDescent="0.25">
      <c r="A29" s="133" t="s">
        <v>139</v>
      </c>
      <c r="B29" s="134">
        <v>20956</v>
      </c>
      <c r="C29" s="135" t="s">
        <v>218</v>
      </c>
      <c r="D2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29" s="137" t="s">
        <v>47</v>
      </c>
      <c r="F29" s="137" t="s">
        <v>257</v>
      </c>
      <c r="G29" s="138">
        <v>501</v>
      </c>
      <c r="H29" s="105">
        <v>300</v>
      </c>
      <c r="I29" s="139"/>
      <c r="J29" s="140" t="s">
        <v>142</v>
      </c>
      <c r="K29" s="141"/>
      <c r="L29" s="141"/>
    </row>
    <row r="30" spans="1:19" x14ac:dyDescent="0.25">
      <c r="A30" s="133" t="s">
        <v>139</v>
      </c>
      <c r="B30" s="134">
        <v>20904</v>
      </c>
      <c r="C30" s="135" t="s">
        <v>219</v>
      </c>
      <c r="D3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0" s="137" t="s">
        <v>47</v>
      </c>
      <c r="F30" s="137" t="s">
        <v>263</v>
      </c>
      <c r="G30" s="138">
        <v>9345</v>
      </c>
      <c r="H30" s="105">
        <v>500</v>
      </c>
      <c r="I30" s="139"/>
      <c r="J30" s="140" t="s">
        <v>142</v>
      </c>
      <c r="K30" s="141"/>
      <c r="L30" s="141"/>
    </row>
    <row r="31" spans="1:19" x14ac:dyDescent="0.25">
      <c r="A31" s="133" t="s">
        <v>139</v>
      </c>
      <c r="B31" s="134">
        <v>20914</v>
      </c>
      <c r="C31" s="135" t="s">
        <v>220</v>
      </c>
      <c r="D3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1" s="137" t="s">
        <v>47</v>
      </c>
      <c r="F31" s="137" t="s">
        <v>263</v>
      </c>
      <c r="G31" s="138">
        <v>501</v>
      </c>
      <c r="H31" s="105">
        <v>750</v>
      </c>
      <c r="I31" s="139"/>
      <c r="J31" s="140" t="s">
        <v>142</v>
      </c>
      <c r="K31" s="141"/>
      <c r="L31" s="141"/>
    </row>
    <row r="32" spans="1:19" x14ac:dyDescent="0.25">
      <c r="A32" s="133" t="s">
        <v>139</v>
      </c>
      <c r="B32" s="134">
        <v>20922</v>
      </c>
      <c r="C32" s="135" t="s">
        <v>221</v>
      </c>
      <c r="D3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2" s="137" t="s">
        <v>47</v>
      </c>
      <c r="F32" s="137" t="s">
        <v>263</v>
      </c>
      <c r="G32" s="138">
        <v>501</v>
      </c>
      <c r="H32" s="105">
        <v>350</v>
      </c>
      <c r="I32" s="139"/>
      <c r="J32" s="140" t="s">
        <v>142</v>
      </c>
      <c r="K32" s="141"/>
      <c r="L32" s="141"/>
    </row>
    <row r="33" spans="1:12" x14ac:dyDescent="0.25">
      <c r="A33" s="133" t="s">
        <v>139</v>
      </c>
      <c r="B33" s="134">
        <v>20905</v>
      </c>
      <c r="C33" s="135" t="s">
        <v>222</v>
      </c>
      <c r="D3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3" s="137" t="s">
        <v>47</v>
      </c>
      <c r="F33" s="137" t="s">
        <v>263</v>
      </c>
      <c r="G33" s="138">
        <v>501</v>
      </c>
      <c r="H33" s="105">
        <v>500</v>
      </c>
      <c r="I33" s="139"/>
      <c r="J33" s="140" t="s">
        <v>154</v>
      </c>
      <c r="K33" s="141"/>
      <c r="L33" s="141"/>
    </row>
    <row r="34" spans="1:12" x14ac:dyDescent="0.25">
      <c r="A34" s="133" t="s">
        <v>139</v>
      </c>
      <c r="B34" s="134">
        <v>20906</v>
      </c>
      <c r="C34" s="135" t="s">
        <v>223</v>
      </c>
      <c r="D3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4" s="137" t="s">
        <v>47</v>
      </c>
      <c r="F34" s="137" t="s">
        <v>263</v>
      </c>
      <c r="G34" s="138">
        <v>501</v>
      </c>
      <c r="H34" s="105">
        <v>349</v>
      </c>
      <c r="I34" s="139"/>
      <c r="J34" s="140" t="s">
        <v>154</v>
      </c>
      <c r="K34" s="141"/>
      <c r="L34" s="141"/>
    </row>
    <row r="35" spans="1:12" x14ac:dyDescent="0.25">
      <c r="A35" s="133" t="s">
        <v>139</v>
      </c>
      <c r="B35" s="134">
        <v>20931</v>
      </c>
      <c r="C35" s="135" t="s">
        <v>224</v>
      </c>
      <c r="D3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5" s="137" t="s">
        <v>47</v>
      </c>
      <c r="F35" s="137" t="s">
        <v>264</v>
      </c>
      <c r="G35" s="138">
        <v>9393</v>
      </c>
      <c r="H35" s="105">
        <v>400</v>
      </c>
      <c r="I35" s="139"/>
      <c r="J35" s="140" t="s">
        <v>154</v>
      </c>
      <c r="K35" s="141"/>
      <c r="L35" s="141"/>
    </row>
    <row r="36" spans="1:12" x14ac:dyDescent="0.25">
      <c r="A36" s="133" t="s">
        <v>139</v>
      </c>
      <c r="B36" s="134">
        <v>20941</v>
      </c>
      <c r="C36" s="135" t="s">
        <v>225</v>
      </c>
      <c r="D3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6" s="137" t="s">
        <v>47</v>
      </c>
      <c r="F36" s="137" t="s">
        <v>268</v>
      </c>
      <c r="G36" s="138">
        <v>9377</v>
      </c>
      <c r="H36" s="105">
        <v>300</v>
      </c>
      <c r="I36" s="139"/>
      <c r="J36" s="140" t="s">
        <v>154</v>
      </c>
      <c r="K36" s="141"/>
      <c r="L36" s="141"/>
    </row>
    <row r="37" spans="1:12" x14ac:dyDescent="0.25">
      <c r="A37" s="133" t="s">
        <v>139</v>
      </c>
      <c r="B37" s="134">
        <v>20942</v>
      </c>
      <c r="C37" s="135" t="s">
        <v>225</v>
      </c>
      <c r="D3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7" s="137" t="s">
        <v>47</v>
      </c>
      <c r="F37" s="137" t="s">
        <v>263</v>
      </c>
      <c r="G37" s="138">
        <v>501</v>
      </c>
      <c r="H37" s="105">
        <v>400</v>
      </c>
      <c r="I37" s="139"/>
      <c r="J37" s="140" t="s">
        <v>154</v>
      </c>
      <c r="K37" s="141"/>
      <c r="L37" s="141"/>
    </row>
    <row r="38" spans="1:12" x14ac:dyDescent="0.25">
      <c r="A38" s="133" t="s">
        <v>139</v>
      </c>
      <c r="B38" s="134">
        <v>20953</v>
      </c>
      <c r="C38" s="135" t="s">
        <v>226</v>
      </c>
      <c r="D3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38" s="137" t="s">
        <v>47</v>
      </c>
      <c r="F38" s="137" t="s">
        <v>269</v>
      </c>
      <c r="G38" s="138">
        <v>9390</v>
      </c>
      <c r="H38" s="105">
        <v>300</v>
      </c>
      <c r="I38" s="139"/>
      <c r="J38" s="140" t="s">
        <v>154</v>
      </c>
      <c r="K38" s="141"/>
      <c r="L38" s="141"/>
    </row>
    <row r="39" spans="1:12" x14ac:dyDescent="0.25">
      <c r="A39" s="133" t="s">
        <v>139</v>
      </c>
      <c r="B39" s="134">
        <v>20921</v>
      </c>
      <c r="C39" s="135" t="s">
        <v>227</v>
      </c>
      <c r="D3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39" s="137" t="s">
        <v>47</v>
      </c>
      <c r="F39" s="137" t="s">
        <v>263</v>
      </c>
      <c r="G39" s="138">
        <v>501</v>
      </c>
      <c r="H39" s="105">
        <v>350</v>
      </c>
      <c r="I39" s="139"/>
      <c r="J39" s="140" t="s">
        <v>154</v>
      </c>
      <c r="K39" s="141"/>
      <c r="L39" s="141"/>
    </row>
    <row r="40" spans="1:12" x14ac:dyDescent="0.25">
      <c r="A40" s="133" t="s">
        <v>137</v>
      </c>
      <c r="B40" s="134">
        <v>20895</v>
      </c>
      <c r="C40" s="135" t="s">
        <v>228</v>
      </c>
      <c r="D4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0" s="137" t="s">
        <v>47</v>
      </c>
      <c r="F40" s="137" t="s">
        <v>257</v>
      </c>
      <c r="G40" s="138">
        <v>9394</v>
      </c>
      <c r="H40" s="105">
        <v>399</v>
      </c>
      <c r="I40" s="139" t="s">
        <v>270</v>
      </c>
      <c r="J40" s="140" t="s">
        <v>130</v>
      </c>
      <c r="K40" s="141"/>
      <c r="L40" s="141"/>
    </row>
    <row r="41" spans="1:12" x14ac:dyDescent="0.25">
      <c r="A41" s="133" t="s">
        <v>137</v>
      </c>
      <c r="B41" s="134">
        <v>20896</v>
      </c>
      <c r="C41" s="135" t="s">
        <v>229</v>
      </c>
      <c r="D4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1" s="137" t="s">
        <v>47</v>
      </c>
      <c r="F41" s="137" t="s">
        <v>271</v>
      </c>
      <c r="G41" s="138">
        <v>9379</v>
      </c>
      <c r="H41" s="105">
        <v>399</v>
      </c>
      <c r="I41" s="139" t="s">
        <v>270</v>
      </c>
      <c r="J41" s="140" t="s">
        <v>130</v>
      </c>
      <c r="K41" s="141"/>
      <c r="L41" s="141"/>
    </row>
    <row r="42" spans="1:12" x14ac:dyDescent="0.25">
      <c r="A42" s="133" t="s">
        <v>137</v>
      </c>
      <c r="B42" s="134">
        <v>20900</v>
      </c>
      <c r="C42" s="135" t="s">
        <v>230</v>
      </c>
      <c r="D4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2" s="137" t="s">
        <v>47</v>
      </c>
      <c r="F42" s="137" t="s">
        <v>267</v>
      </c>
      <c r="G42" s="138">
        <v>9273</v>
      </c>
      <c r="H42" s="105">
        <v>399</v>
      </c>
      <c r="I42" s="139" t="s">
        <v>270</v>
      </c>
      <c r="J42" s="140" t="s">
        <v>130</v>
      </c>
      <c r="K42" s="141"/>
      <c r="L42" s="141"/>
    </row>
    <row r="43" spans="1:12" x14ac:dyDescent="0.25">
      <c r="A43" s="133" t="s">
        <v>137</v>
      </c>
      <c r="B43" s="134">
        <v>20907</v>
      </c>
      <c r="C43" s="135" t="s">
        <v>231</v>
      </c>
      <c r="D4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3" s="137" t="s">
        <v>47</v>
      </c>
      <c r="F43" s="137" t="s">
        <v>272</v>
      </c>
      <c r="G43" s="138">
        <v>9386</v>
      </c>
      <c r="H43" s="105">
        <v>399</v>
      </c>
      <c r="I43" s="139" t="s">
        <v>273</v>
      </c>
      <c r="J43" s="140" t="s">
        <v>130</v>
      </c>
      <c r="K43" s="141"/>
      <c r="L43" s="141"/>
    </row>
    <row r="44" spans="1:12" x14ac:dyDescent="0.25">
      <c r="A44" s="133" t="s">
        <v>137</v>
      </c>
      <c r="B44" s="134">
        <v>20911</v>
      </c>
      <c r="C44" s="135" t="s">
        <v>232</v>
      </c>
      <c r="D4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4" s="137" t="s">
        <v>47</v>
      </c>
      <c r="F44" s="137" t="s">
        <v>257</v>
      </c>
      <c r="G44" s="138">
        <v>9187</v>
      </c>
      <c r="H44" s="105">
        <v>399</v>
      </c>
      <c r="I44" s="139" t="s">
        <v>273</v>
      </c>
      <c r="J44" s="140" t="s">
        <v>130</v>
      </c>
      <c r="K44" s="141"/>
      <c r="L44" s="141"/>
    </row>
    <row r="45" spans="1:12" x14ac:dyDescent="0.25">
      <c r="A45" s="133" t="s">
        <v>137</v>
      </c>
      <c r="B45" s="134">
        <v>20912</v>
      </c>
      <c r="C45" s="135" t="s">
        <v>233</v>
      </c>
      <c r="D4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5" s="137" t="s">
        <v>47</v>
      </c>
      <c r="F45" s="137" t="s">
        <v>257</v>
      </c>
      <c r="G45" s="138">
        <v>9187</v>
      </c>
      <c r="H45" s="105">
        <v>399</v>
      </c>
      <c r="I45" s="139" t="s">
        <v>273</v>
      </c>
      <c r="J45" s="140" t="s">
        <v>130</v>
      </c>
      <c r="K45" s="141"/>
      <c r="L45" s="141"/>
    </row>
    <row r="46" spans="1:12" x14ac:dyDescent="0.25">
      <c r="A46" s="133" t="s">
        <v>137</v>
      </c>
      <c r="B46" s="134">
        <v>20913</v>
      </c>
      <c r="C46" s="135" t="s">
        <v>234</v>
      </c>
      <c r="D4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6" s="137" t="s">
        <v>47</v>
      </c>
      <c r="F46" s="137" t="s">
        <v>274</v>
      </c>
      <c r="G46" s="138">
        <v>9382</v>
      </c>
      <c r="H46" s="105">
        <v>350</v>
      </c>
      <c r="I46" s="139" t="s">
        <v>275</v>
      </c>
      <c r="J46" s="140" t="s">
        <v>130</v>
      </c>
      <c r="K46" s="141"/>
      <c r="L46" s="141"/>
    </row>
    <row r="47" spans="1:12" x14ac:dyDescent="0.25">
      <c r="A47" s="133" t="s">
        <v>137</v>
      </c>
      <c r="B47" s="134">
        <v>20915</v>
      </c>
      <c r="C47" s="135" t="s">
        <v>235</v>
      </c>
      <c r="D4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7" s="137" t="s">
        <v>47</v>
      </c>
      <c r="F47" s="137" t="s">
        <v>274</v>
      </c>
      <c r="G47" s="138">
        <v>9380</v>
      </c>
      <c r="H47" s="105">
        <v>399</v>
      </c>
      <c r="I47" s="139" t="s">
        <v>275</v>
      </c>
      <c r="J47" s="140" t="s">
        <v>130</v>
      </c>
      <c r="K47" s="141"/>
      <c r="L47" s="141"/>
    </row>
    <row r="48" spans="1:12" x14ac:dyDescent="0.25">
      <c r="A48" s="133" t="s">
        <v>137</v>
      </c>
      <c r="B48" s="134">
        <v>20918</v>
      </c>
      <c r="C48" s="135" t="s">
        <v>236</v>
      </c>
      <c r="D4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48" s="137" t="s">
        <v>47</v>
      </c>
      <c r="F48" s="137" t="s">
        <v>267</v>
      </c>
      <c r="G48" s="138">
        <v>9272</v>
      </c>
      <c r="H48" s="105">
        <v>550</v>
      </c>
      <c r="I48" s="139" t="s">
        <v>275</v>
      </c>
      <c r="J48" s="140" t="s">
        <v>130</v>
      </c>
      <c r="K48" s="141"/>
      <c r="L48" s="141"/>
    </row>
    <row r="49" spans="1:12" x14ac:dyDescent="0.25">
      <c r="A49" s="133" t="s">
        <v>137</v>
      </c>
      <c r="B49" s="134">
        <v>20924</v>
      </c>
      <c r="C49" s="135" t="s">
        <v>237</v>
      </c>
      <c r="D4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49" s="137" t="s">
        <v>47</v>
      </c>
      <c r="F49" s="137" t="s">
        <v>276</v>
      </c>
      <c r="G49" s="138">
        <v>501</v>
      </c>
      <c r="H49" s="105">
        <v>300</v>
      </c>
      <c r="I49" s="139" t="s">
        <v>277</v>
      </c>
      <c r="J49" s="140" t="s">
        <v>131</v>
      </c>
      <c r="K49" s="141"/>
      <c r="L49" s="141"/>
    </row>
    <row r="50" spans="1:12" x14ac:dyDescent="0.25">
      <c r="A50" s="133" t="s">
        <v>137</v>
      </c>
      <c r="B50" s="134">
        <v>20926</v>
      </c>
      <c r="C50" s="135" t="s">
        <v>238</v>
      </c>
      <c r="D5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0" s="137" t="s">
        <v>47</v>
      </c>
      <c r="F50" s="137" t="s">
        <v>278</v>
      </c>
      <c r="G50" s="138">
        <v>9275</v>
      </c>
      <c r="H50" s="105">
        <v>350</v>
      </c>
      <c r="I50" s="139" t="s">
        <v>279</v>
      </c>
      <c r="J50" s="140" t="s">
        <v>131</v>
      </c>
      <c r="K50" s="141"/>
      <c r="L50" s="141"/>
    </row>
    <row r="51" spans="1:12" x14ac:dyDescent="0.25">
      <c r="A51" s="133" t="s">
        <v>137</v>
      </c>
      <c r="B51" s="134">
        <v>20927</v>
      </c>
      <c r="C51" s="135" t="s">
        <v>239</v>
      </c>
      <c r="D5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51" s="137" t="s">
        <v>47</v>
      </c>
      <c r="F51" s="137" t="s">
        <v>276</v>
      </c>
      <c r="G51" s="138">
        <v>501</v>
      </c>
      <c r="H51" s="105">
        <v>500</v>
      </c>
      <c r="I51" s="139" t="s">
        <v>279</v>
      </c>
      <c r="J51" s="140" t="s">
        <v>131</v>
      </c>
      <c r="K51" s="141"/>
      <c r="L51" s="141"/>
    </row>
    <row r="52" spans="1:12" x14ac:dyDescent="0.25">
      <c r="A52" s="133" t="s">
        <v>137</v>
      </c>
      <c r="B52" s="134">
        <v>20935</v>
      </c>
      <c r="C52" s="135" t="s">
        <v>238</v>
      </c>
      <c r="D5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2" s="137" t="s">
        <v>47</v>
      </c>
      <c r="F52" s="137" t="s">
        <v>274</v>
      </c>
      <c r="G52" s="138">
        <v>9388</v>
      </c>
      <c r="H52" s="105">
        <v>550</v>
      </c>
      <c r="I52" s="139" t="s">
        <v>280</v>
      </c>
      <c r="J52" s="140" t="s">
        <v>131</v>
      </c>
      <c r="K52" s="141"/>
      <c r="L52" s="141"/>
    </row>
    <row r="53" spans="1:12" x14ac:dyDescent="0.25">
      <c r="A53" s="133" t="s">
        <v>137</v>
      </c>
      <c r="B53" s="134">
        <v>20944</v>
      </c>
      <c r="C53" s="135" t="s">
        <v>240</v>
      </c>
      <c r="D5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3" s="137" t="s">
        <v>47</v>
      </c>
      <c r="F53" s="137" t="s">
        <v>274</v>
      </c>
      <c r="G53" s="138">
        <v>9380</v>
      </c>
      <c r="H53" s="105">
        <v>700</v>
      </c>
      <c r="I53" s="139" t="s">
        <v>280</v>
      </c>
      <c r="J53" s="140" t="s">
        <v>131</v>
      </c>
      <c r="K53" s="141"/>
      <c r="L53" s="141"/>
    </row>
    <row r="54" spans="1:12" x14ac:dyDescent="0.25">
      <c r="A54" s="133" t="s">
        <v>137</v>
      </c>
      <c r="B54" s="134">
        <v>20917</v>
      </c>
      <c r="C54" s="135" t="s">
        <v>241</v>
      </c>
      <c r="D5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54" s="137" t="s">
        <v>47</v>
      </c>
      <c r="F54" s="137" t="s">
        <v>272</v>
      </c>
      <c r="G54" s="138">
        <v>501</v>
      </c>
      <c r="H54" s="105">
        <v>350</v>
      </c>
      <c r="I54" s="139" t="s">
        <v>275</v>
      </c>
      <c r="J54" s="140" t="s">
        <v>132</v>
      </c>
      <c r="K54" s="141"/>
      <c r="L54" s="141"/>
    </row>
    <row r="55" spans="1:12" x14ac:dyDescent="0.25">
      <c r="A55" s="133" t="s">
        <v>137</v>
      </c>
      <c r="B55" s="134">
        <v>20933</v>
      </c>
      <c r="C55" s="135" t="s">
        <v>242</v>
      </c>
      <c r="D5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55" s="137" t="s">
        <v>47</v>
      </c>
      <c r="F55" s="137" t="s">
        <v>281</v>
      </c>
      <c r="G55" s="138">
        <v>501</v>
      </c>
      <c r="H55" s="105">
        <v>350</v>
      </c>
      <c r="I55" s="139" t="s">
        <v>279</v>
      </c>
      <c r="J55" s="140" t="s">
        <v>132</v>
      </c>
      <c r="K55" s="141"/>
      <c r="L55" s="141"/>
    </row>
    <row r="56" spans="1:12" x14ac:dyDescent="0.25">
      <c r="A56" s="133" t="s">
        <v>137</v>
      </c>
      <c r="B56" s="134">
        <v>20936</v>
      </c>
      <c r="C56" s="135" t="s">
        <v>243</v>
      </c>
      <c r="D5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56" s="137" t="s">
        <v>47</v>
      </c>
      <c r="F56" s="137" t="s">
        <v>272</v>
      </c>
      <c r="G56" s="138">
        <v>501</v>
      </c>
      <c r="H56" s="105">
        <v>399</v>
      </c>
      <c r="I56" s="139" t="s">
        <v>280</v>
      </c>
      <c r="J56" s="140" t="s">
        <v>132</v>
      </c>
      <c r="K56" s="141"/>
      <c r="L56" s="141"/>
    </row>
    <row r="57" spans="1:12" x14ac:dyDescent="0.25">
      <c r="A57" s="133" t="s">
        <v>137</v>
      </c>
      <c r="B57" s="134">
        <v>20937</v>
      </c>
      <c r="C57" s="135" t="s">
        <v>244</v>
      </c>
      <c r="D5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7" s="137" t="s">
        <v>47</v>
      </c>
      <c r="F57" s="137" t="s">
        <v>274</v>
      </c>
      <c r="G57" s="138">
        <v>9380</v>
      </c>
      <c r="H57" s="105">
        <v>400</v>
      </c>
      <c r="I57" s="139" t="s">
        <v>280</v>
      </c>
      <c r="J57" s="140" t="s">
        <v>132</v>
      </c>
      <c r="K57" s="141"/>
      <c r="L57" s="141"/>
    </row>
    <row r="58" spans="1:12" x14ac:dyDescent="0.25">
      <c r="A58" s="133" t="s">
        <v>137</v>
      </c>
      <c r="B58" s="134">
        <v>20955</v>
      </c>
      <c r="C58" s="135" t="s">
        <v>245</v>
      </c>
      <c r="D5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8" s="137" t="s">
        <v>47</v>
      </c>
      <c r="F58" s="137" t="s">
        <v>262</v>
      </c>
      <c r="G58" s="138">
        <v>9384</v>
      </c>
      <c r="H58" s="105">
        <v>399</v>
      </c>
      <c r="I58" s="139" t="s">
        <v>258</v>
      </c>
      <c r="J58" s="140" t="s">
        <v>132</v>
      </c>
      <c r="K58" s="141"/>
      <c r="L58" s="141"/>
    </row>
    <row r="59" spans="1:12" x14ac:dyDescent="0.25">
      <c r="A59" s="133" t="s">
        <v>137</v>
      </c>
      <c r="B59" s="134">
        <v>20949</v>
      </c>
      <c r="C59" s="135" t="s">
        <v>246</v>
      </c>
      <c r="D5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59" s="137" t="s">
        <v>47</v>
      </c>
      <c r="F59" s="137" t="s">
        <v>272</v>
      </c>
      <c r="G59" s="138">
        <v>9386</v>
      </c>
      <c r="H59" s="105">
        <v>450</v>
      </c>
      <c r="I59" s="139" t="s">
        <v>258</v>
      </c>
      <c r="J59" s="140" t="s">
        <v>132</v>
      </c>
      <c r="K59" s="141"/>
      <c r="L59" s="141"/>
    </row>
    <row r="60" spans="1:12" x14ac:dyDescent="0.25">
      <c r="A60" s="133" t="s">
        <v>137</v>
      </c>
      <c r="B60" s="134">
        <v>20894</v>
      </c>
      <c r="C60" s="135" t="s">
        <v>247</v>
      </c>
      <c r="D60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0" s="137" t="s">
        <v>47</v>
      </c>
      <c r="F60" s="137" t="s">
        <v>274</v>
      </c>
      <c r="G60" s="138">
        <v>9380</v>
      </c>
      <c r="H60" s="105">
        <v>350</v>
      </c>
      <c r="I60" s="139" t="s">
        <v>270</v>
      </c>
      <c r="J60" s="140" t="s">
        <v>133</v>
      </c>
      <c r="K60" s="141"/>
      <c r="L60" s="141"/>
    </row>
    <row r="61" spans="1:12" x14ac:dyDescent="0.25">
      <c r="A61" s="133" t="s">
        <v>137</v>
      </c>
      <c r="B61" s="134">
        <v>20897</v>
      </c>
      <c r="C61" s="135" t="s">
        <v>248</v>
      </c>
      <c r="D61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1" s="137" t="s">
        <v>47</v>
      </c>
      <c r="F61" s="137" t="s">
        <v>257</v>
      </c>
      <c r="G61" s="138">
        <v>9182</v>
      </c>
      <c r="H61" s="105">
        <v>499</v>
      </c>
      <c r="I61" s="139" t="s">
        <v>270</v>
      </c>
      <c r="J61" s="140" t="s">
        <v>133</v>
      </c>
      <c r="K61" s="141"/>
      <c r="L61" s="141"/>
    </row>
    <row r="62" spans="1:12" x14ac:dyDescent="0.25">
      <c r="A62" s="133" t="s">
        <v>137</v>
      </c>
      <c r="B62" s="134">
        <v>20916</v>
      </c>
      <c r="C62" s="135" t="s">
        <v>249</v>
      </c>
      <c r="D62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2" s="137" t="s">
        <v>47</v>
      </c>
      <c r="F62" s="137" t="s">
        <v>274</v>
      </c>
      <c r="G62" s="138">
        <v>9380</v>
      </c>
      <c r="H62" s="105">
        <v>299</v>
      </c>
      <c r="I62" s="139" t="s">
        <v>275</v>
      </c>
      <c r="J62" s="140" t="s">
        <v>133</v>
      </c>
      <c r="K62" s="141"/>
      <c r="L62" s="141"/>
    </row>
    <row r="63" spans="1:12" x14ac:dyDescent="0.25">
      <c r="A63" s="133" t="s">
        <v>137</v>
      </c>
      <c r="B63" s="134">
        <v>20920</v>
      </c>
      <c r="C63" s="135" t="s">
        <v>250</v>
      </c>
      <c r="D63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3" s="137" t="s">
        <v>47</v>
      </c>
      <c r="F63" s="137" t="s">
        <v>282</v>
      </c>
      <c r="G63" s="138">
        <v>9212</v>
      </c>
      <c r="H63" s="105">
        <v>299</v>
      </c>
      <c r="I63" s="139" t="s">
        <v>275</v>
      </c>
      <c r="J63" s="140" t="s">
        <v>133</v>
      </c>
      <c r="K63" s="141"/>
      <c r="L63" s="141"/>
    </row>
    <row r="64" spans="1:12" x14ac:dyDescent="0.25">
      <c r="A64" s="133" t="s">
        <v>137</v>
      </c>
      <c r="B64" s="134">
        <v>20928</v>
      </c>
      <c r="C64" s="135" t="s">
        <v>251</v>
      </c>
      <c r="D64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64" s="137" t="s">
        <v>47</v>
      </c>
      <c r="F64" s="137" t="s">
        <v>283</v>
      </c>
      <c r="G64" s="138">
        <v>501</v>
      </c>
      <c r="H64" s="105">
        <v>349</v>
      </c>
      <c r="I64" s="139" t="s">
        <v>279</v>
      </c>
      <c r="J64" s="140" t="s">
        <v>133</v>
      </c>
      <c r="K64" s="141"/>
      <c r="L64" s="141"/>
    </row>
    <row r="65" spans="1:12" x14ac:dyDescent="0.25">
      <c r="A65" s="133" t="s">
        <v>137</v>
      </c>
      <c r="B65" s="134">
        <v>20939</v>
      </c>
      <c r="C65" s="135" t="s">
        <v>252</v>
      </c>
      <c r="D65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65" s="137" t="s">
        <v>47</v>
      </c>
      <c r="F65" s="137" t="s">
        <v>271</v>
      </c>
      <c r="G65" s="138">
        <v>501</v>
      </c>
      <c r="H65" s="105">
        <v>350</v>
      </c>
      <c r="I65" s="139" t="s">
        <v>280</v>
      </c>
      <c r="J65" s="140" t="s">
        <v>133</v>
      </c>
      <c r="K65" s="141"/>
      <c r="L65" s="141"/>
    </row>
    <row r="66" spans="1:12" x14ac:dyDescent="0.25">
      <c r="A66" s="133" t="s">
        <v>137</v>
      </c>
      <c r="B66" s="134">
        <v>20940</v>
      </c>
      <c r="C66" s="135" t="s">
        <v>253</v>
      </c>
      <c r="D66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6" s="137" t="s">
        <v>47</v>
      </c>
      <c r="F66" s="137" t="s">
        <v>257</v>
      </c>
      <c r="G66" s="138">
        <v>9394</v>
      </c>
      <c r="H66" s="105">
        <v>400</v>
      </c>
      <c r="I66" s="139" t="s">
        <v>280</v>
      </c>
      <c r="J66" s="140" t="s">
        <v>133</v>
      </c>
      <c r="K66" s="141"/>
      <c r="L66" s="141"/>
    </row>
    <row r="67" spans="1:12" x14ac:dyDescent="0.25">
      <c r="A67" s="133" t="s">
        <v>137</v>
      </c>
      <c r="B67" s="134">
        <v>20948</v>
      </c>
      <c r="C67" s="135" t="s">
        <v>254</v>
      </c>
      <c r="D67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7" s="137" t="s">
        <v>47</v>
      </c>
      <c r="F67" s="137" t="s">
        <v>274</v>
      </c>
      <c r="G67" s="138">
        <v>9358</v>
      </c>
      <c r="H67" s="105">
        <v>350</v>
      </c>
      <c r="I67" s="139" t="s">
        <v>258</v>
      </c>
      <c r="J67" s="140" t="s">
        <v>133</v>
      </c>
      <c r="K67" s="141"/>
      <c r="L67" s="141"/>
    </row>
    <row r="68" spans="1:12" x14ac:dyDescent="0.25">
      <c r="A68" s="133" t="s">
        <v>137</v>
      </c>
      <c r="B68" s="134">
        <v>20954</v>
      </c>
      <c r="C68" s="135" t="s">
        <v>255</v>
      </c>
      <c r="D68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8" s="137" t="s">
        <v>47</v>
      </c>
      <c r="F68" s="137" t="s">
        <v>274</v>
      </c>
      <c r="G68" s="138">
        <v>9382</v>
      </c>
      <c r="H68" s="105">
        <v>349</v>
      </c>
      <c r="I68" s="139" t="s">
        <v>258</v>
      </c>
      <c r="J68" s="140" t="s">
        <v>133</v>
      </c>
      <c r="K68" s="141"/>
      <c r="L68" s="141"/>
    </row>
    <row r="69" spans="1:12" x14ac:dyDescent="0.25">
      <c r="A69" s="133" t="s">
        <v>137</v>
      </c>
      <c r="B69" s="134">
        <v>18207</v>
      </c>
      <c r="C69" s="135" t="s">
        <v>256</v>
      </c>
      <c r="D69" s="136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120</v>
      </c>
      <c r="E69" s="137" t="s">
        <v>47</v>
      </c>
      <c r="F69" s="137" t="s">
        <v>257</v>
      </c>
      <c r="G69" s="138">
        <v>9208</v>
      </c>
      <c r="H69" s="105">
        <v>349</v>
      </c>
      <c r="I69" s="139" t="s">
        <v>275</v>
      </c>
      <c r="J69" s="140" t="s">
        <v>133</v>
      </c>
      <c r="K69" s="141"/>
      <c r="L69" s="141"/>
    </row>
    <row r="70" spans="1:12" x14ac:dyDescent="0.25">
      <c r="A70" s="100" t="s">
        <v>50</v>
      </c>
      <c r="B70" s="101"/>
      <c r="C70" s="102"/>
      <c r="D70" s="103">
        <f>SUBTOTAL(109,Tabla_Gerente[COMISION])</f>
        <v>5640</v>
      </c>
      <c r="E70" s="101"/>
      <c r="F70" s="101"/>
      <c r="G70" s="101"/>
      <c r="H70" s="104"/>
      <c r="I70" s="101"/>
      <c r="J70" s="101"/>
      <c r="K70" s="92"/>
      <c r="L70" s="92"/>
    </row>
    <row r="71" spans="1:12" x14ac:dyDescent="0.25">
      <c r="A71" s="25" t="s">
        <v>13</v>
      </c>
      <c r="D71" s="39">
        <f>Sueldo_Base_Gerente</f>
        <v>1000</v>
      </c>
      <c r="E71" s="16"/>
      <c r="F71" s="15"/>
      <c r="H71" s="15"/>
      <c r="J71" s="24"/>
    </row>
    <row r="72" spans="1:12" ht="16.5" thickBot="1" x14ac:dyDescent="0.3">
      <c r="A72" s="33" t="s">
        <v>45</v>
      </c>
      <c r="B72" s="38">
        <f>IF(Total_Registros_Gerente &gt;= Premios!K5,
    VLOOKUP(Total_Registros_Gerente, Premios_Gerente[], 1, TRUE),
    0
)</f>
        <v>60</v>
      </c>
      <c r="C72" s="34"/>
      <c r="D72" s="85">
        <f>IF(Premio_Gerente &gt; 0, VLOOKUP(Premio_Gerente, Premios_Gerente[], 2, FALSE), 0)</f>
        <v>3000</v>
      </c>
      <c r="E72" s="16"/>
      <c r="F72" s="15"/>
      <c r="H72" s="15"/>
      <c r="J72" s="24"/>
    </row>
    <row r="73" spans="1:12" x14ac:dyDescent="0.25">
      <c r="A73" s="25" t="s">
        <v>46</v>
      </c>
      <c r="B73" s="18"/>
      <c r="D73" s="40">
        <f>Tabla_Gerente[[#Totals],[COMISION]] + Pago_Sueldo_Base_Gerente + Pago_Premio_Gerente</f>
        <v>9640</v>
      </c>
      <c r="E73" s="16"/>
      <c r="F73" s="15"/>
      <c r="H73" s="15"/>
      <c r="J73" s="24"/>
    </row>
    <row r="74" spans="1:12" x14ac:dyDescent="0.25">
      <c r="A74" s="27" t="s">
        <v>124</v>
      </c>
      <c r="B74" s="18"/>
      <c r="C74" s="29"/>
      <c r="D74" s="39">
        <f>_xlfn.IFNA(SUMIFS(Descuentos[DESCUENTO], Descuentos[COLABORADOR], Nombre_Gerente, Descuentos[PUESTO], Puesto_Gerente), 0)</f>
        <v>0</v>
      </c>
      <c r="E74" s="16"/>
      <c r="F74" s="15"/>
      <c r="H74" s="15"/>
      <c r="I74" s="18"/>
      <c r="K74" s="22"/>
    </row>
    <row r="75" spans="1:12" ht="16.5" thickBot="1" x14ac:dyDescent="0.3">
      <c r="A75" s="33" t="s">
        <v>24</v>
      </c>
      <c r="B75" s="34"/>
      <c r="C75" s="34"/>
      <c r="D75" s="86">
        <f>(Pago_Subtotal_Gerente * 0.05) * -1</f>
        <v>-482</v>
      </c>
      <c r="E75" s="16"/>
      <c r="F75" s="15"/>
      <c r="H75" s="15"/>
    </row>
    <row r="76" spans="1:12" ht="16.5" thickBot="1" x14ac:dyDescent="0.3">
      <c r="A76" s="35"/>
      <c r="C76" s="29"/>
      <c r="D76" s="28"/>
      <c r="E76" s="16"/>
      <c r="F76" s="15"/>
    </row>
    <row r="77" spans="1:12" ht="16.5" thickBot="1" x14ac:dyDescent="0.3">
      <c r="A77" s="33" t="s">
        <v>49</v>
      </c>
      <c r="B77" s="34"/>
      <c r="C77" s="50"/>
      <c r="D77" s="87">
        <f>Pago_Subtotal_Gerente + Descuento_Gerente + Deduccion_Gerente</f>
        <v>9158</v>
      </c>
      <c r="E77" s="16"/>
      <c r="F77" s="15"/>
    </row>
    <row r="78" spans="1:12" x14ac:dyDescent="0.25">
      <c r="A78" s="25"/>
      <c r="C78" s="59"/>
      <c r="D78" s="16"/>
      <c r="E78" s="16"/>
      <c r="F78" s="15"/>
    </row>
    <row r="79" spans="1:12" x14ac:dyDescent="0.25">
      <c r="C79" s="29"/>
      <c r="D79" s="28"/>
      <c r="E79" s="26"/>
      <c r="F79" s="26"/>
    </row>
    <row r="80" spans="1:12" ht="16.5" thickBot="1" x14ac:dyDescent="0.3">
      <c r="C80" s="37" t="s">
        <v>25</v>
      </c>
      <c r="D80" s="120" t="str" cm="1">
        <f t="array" ref="D80">NumeroATexto(Pago_Neto_Gerente)</f>
        <v>NUEVE MIL CIENTO CINCUENTA Y OCHO PESOS 00/100</v>
      </c>
      <c r="E80" s="120"/>
      <c r="F80" s="120"/>
      <c r="G80" s="120"/>
      <c r="H80" s="120"/>
      <c r="I80" s="120"/>
    </row>
    <row r="81" spans="3:9" x14ac:dyDescent="0.25">
      <c r="C81" s="27"/>
      <c r="D81" s="26"/>
      <c r="E81" s="16"/>
      <c r="F81" s="15"/>
    </row>
    <row r="82" spans="3:9" x14ac:dyDescent="0.25">
      <c r="C82" s="29"/>
      <c r="D82" s="28"/>
    </row>
    <row r="83" spans="3:9" ht="16.5" thickBot="1" x14ac:dyDescent="0.3">
      <c r="C83" s="33" t="s">
        <v>26</v>
      </c>
      <c r="D83" s="121"/>
      <c r="E83" s="121"/>
      <c r="F83" s="121"/>
      <c r="G83" s="121"/>
      <c r="H83" s="121"/>
      <c r="I83" s="121"/>
    </row>
  </sheetData>
  <sheetProtection formatCells="0" formatColumns="0" formatRows="0" insertColumns="0" insertRows="0" insertHyperlinks="0" deleteColumns="0" deleteRows="0" sort="0" autoFilter="0"/>
  <mergeCells count="4">
    <mergeCell ref="B1:D1"/>
    <mergeCell ref="B2:D2"/>
    <mergeCell ref="D80:I80"/>
    <mergeCell ref="D83:I83"/>
  </mergeCells>
  <phoneticPr fontId="6" type="noConversion"/>
  <conditionalFormatting sqref="D9:D69">
    <cfRule type="cellIs" dxfId="80" priority="10" operator="equal">
      <formula>0</formula>
    </cfRule>
  </conditionalFormatting>
  <conditionalFormatting sqref="G9:G69">
    <cfRule type="cellIs" dxfId="79" priority="1" operator="equal">
      <formula>505</formula>
    </cfRule>
    <cfRule type="cellIs" dxfId="78" priority="4" operator="equal">
      <formula>501</formula>
    </cfRule>
    <cfRule type="containsBlanks" dxfId="77" priority="19">
      <formula>LEN(TRIM(G9))=0</formula>
    </cfRule>
  </conditionalFormatting>
  <conditionalFormatting sqref="A9:L69">
    <cfRule type="expression" dxfId="76" priority="2">
      <formula>$G9 = 503</formula>
    </cfRule>
  </conditionalFormatting>
  <conditionalFormatting sqref="B9:B69">
    <cfRule type="duplicateValues" dxfId="75" priority="491"/>
  </conditionalFormatting>
  <dataValidations count="7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showInputMessage="1" showErrorMessage="1" sqref="A9:A69" xr:uid="{B11C5B97-822A-4ACE-8B21-BF74863453FD}">
      <formula1>Coordinadores_Activos</formula1>
    </dataValidation>
    <dataValidation type="list" showInputMessage="1" showErrorMessage="1" sqref="E9:E69" xr:uid="{2077F9E4-A8C1-432D-9C47-2CA7B799A19A}">
      <formula1>Nombres_Planteles</formula1>
    </dataValidation>
    <dataValidation type="custom" allowBlank="1" showInputMessage="1" showErrorMessage="1" sqref="G9:G69" xr:uid="{8FB231F2-0366-4A1F-88BC-7081A2D30338}">
      <formula1>G9&lt;&gt;500</formula1>
    </dataValidation>
    <dataValidation type="list" showInputMessage="1" showErrorMessage="1" sqref="J9:J69" xr:uid="{D1E7D980-1B2C-4E70-B725-CD0172F3ACB6}">
      <formula1>Promotores_Activos</formula1>
    </dataValidation>
    <dataValidation type="date" allowBlank="1" showInputMessage="1" showErrorMessage="1" sqref="I9:I69" xr:uid="{DE9432D2-4250-4043-BF09-441879C5BAAD}">
      <formula1>#REF!</formula1>
      <formula2>#REF!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Tabs">
                <anchor moveWithCells="1">
                  <from>
                    <xdr:col>13</xdr:col>
                    <xdr:colOff>114300</xdr:colOff>
                    <xdr:row>0</xdr:row>
                    <xdr:rowOff>57150</xdr:rowOff>
                  </from>
                  <to>
                    <xdr:col>14</xdr:col>
                    <xdr:colOff>742950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umPagoNetoGerencia">
                <anchor moveWithCells="1">
                  <from>
                    <xdr:col>13</xdr:col>
                    <xdr:colOff>104775</xdr:colOff>
                    <xdr:row>5</xdr:row>
                    <xdr:rowOff>47625</xdr:rowOff>
                  </from>
                  <to>
                    <xdr:col>14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FF1065-F168-4E77-8C83-C9A97067E64A}">
          <x14:formula1>
            <xm:f>Planteles!$A$4:$A$15</xm:f>
          </x14:formula1>
          <xm:sqref>K9:K69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89E-19BA-4C30-BD4E-FE203BD49AD1}">
  <sheetPr codeName="Sheet8">
    <tabColor rgb="FF0070C0"/>
  </sheetPr>
  <dimension ref="A1:P59"/>
  <sheetViews>
    <sheetView workbookViewId="0">
      <selection activeCell="A9" sqref="A9:K39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4" style="13" bestFit="1" customWidth="1"/>
    <col min="4" max="4" width="16.42578125" style="13" bestFit="1" customWidth="1"/>
    <col min="5" max="5" width="14.140625" style="13" bestFit="1" customWidth="1"/>
    <col min="6" max="6" width="18.425781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15.140625" style="13" bestFit="1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8" t="s">
        <v>138</v>
      </c>
      <c r="C1" s="118"/>
      <c r="D1" s="118"/>
      <c r="F1" s="43" t="s">
        <v>120</v>
      </c>
      <c r="G1" s="46" t="s">
        <v>6</v>
      </c>
      <c r="I1" s="31" t="s">
        <v>59</v>
      </c>
      <c r="J1" s="34">
        <f>Total_Registros_Gerente</f>
        <v>61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9"/>
      <c r="C2" s="119"/>
      <c r="D2" s="119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>EUNICE RAMOS</v>
      </c>
    </row>
    <row r="3" spans="1:16" ht="16.5" thickBot="1" x14ac:dyDescent="0.3">
      <c r="A3" s="43" t="s">
        <v>29</v>
      </c>
      <c r="B3" s="56">
        <v>45736</v>
      </c>
      <c r="C3" s="45" t="s">
        <v>30</v>
      </c>
      <c r="D3" s="57">
        <v>45743</v>
      </c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>FATIMA HERNANDEZ</v>
      </c>
    </row>
    <row r="4" spans="1:16" ht="16.5" thickBot="1" x14ac:dyDescent="0.3">
      <c r="A4" s="43" t="s">
        <v>17</v>
      </c>
      <c r="B4" s="108" cm="1">
        <f t="array" ref="B4">IF(COUNTA(Tabla_Coordinador28[GRUPO]) = 0, 0,
   COUNTIFS(Tabla_Coordinador28[GRUPO], "&lt;&gt;",
            Tabla_Coordinador28[GRUPO], "&lt;&gt;503",
            Tabla_Coordinador28[GRUPO], "&lt;&gt;500",
            Tabla_Coordinador28[PAGO], "&gt;=299")
   - SUMPRODUCT(COUNTIF(Tabla_Gerente[CREDENCIAL], Tabla_Coordinador28[CREDENCIAL]) - 1))</f>
        <v>31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>LIZBETH RAMOS</v>
      </c>
    </row>
    <row r="5" spans="1:16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>MARIANA PACHECO (P)</v>
      </c>
    </row>
    <row r="6" spans="1:16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>MIGUEL RODRIGUEZ</v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24" t="s">
        <v>152</v>
      </c>
      <c r="B9" s="125">
        <v>18590</v>
      </c>
      <c r="C9" s="125" t="s">
        <v>198</v>
      </c>
      <c r="D9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9" s="125" t="s">
        <v>47</v>
      </c>
      <c r="F9" s="125" t="s">
        <v>257</v>
      </c>
      <c r="G9" s="127">
        <v>9231</v>
      </c>
      <c r="H9" s="117">
        <f>IFERROR(VLOOKUP(Tabla_Coordinador28[[#This Row],[CREDENCIAL]], Tabla_Gerente[[CREDENCIAL]:[PAGO]], 7, FALSE), 0)</f>
        <v>399</v>
      </c>
      <c r="I9" s="128">
        <v>45742</v>
      </c>
      <c r="J9" s="129"/>
      <c r="K9" s="12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124" t="s">
        <v>152</v>
      </c>
      <c r="B10" s="125">
        <v>20898</v>
      </c>
      <c r="C10" s="125" t="s">
        <v>199</v>
      </c>
      <c r="D10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0" s="125" t="s">
        <v>47</v>
      </c>
      <c r="F10" s="125" t="s">
        <v>259</v>
      </c>
      <c r="G10" s="127">
        <v>9380</v>
      </c>
      <c r="H10" s="117">
        <f>IFERROR(VLOOKUP(Tabla_Coordinador28[[#This Row],[CREDENCIAL]], Tabla_Gerente[[CREDENCIAL]:[PAGO]], 7, FALSE), 0)</f>
        <v>399</v>
      </c>
      <c r="I10" s="128"/>
      <c r="J10" s="129"/>
      <c r="K10" s="129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ROWS($B$2:B40))), "")</f>
        <v/>
      </c>
    </row>
    <row r="11" spans="1:16" x14ac:dyDescent="0.25">
      <c r="A11" s="124" t="s">
        <v>152</v>
      </c>
      <c r="B11" s="125">
        <v>20899</v>
      </c>
      <c r="C11" s="125" t="s">
        <v>200</v>
      </c>
      <c r="D11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1" s="125" t="s">
        <v>47</v>
      </c>
      <c r="F11" s="125" t="s">
        <v>259</v>
      </c>
      <c r="G11" s="127">
        <v>9380</v>
      </c>
      <c r="H11" s="117">
        <f>IFERROR(VLOOKUP(Tabla_Coordinador28[[#This Row],[CREDENCIAL]], Tabla_Gerente[[CREDENCIAL]:[PAGO]], 7, FALSE), 0)</f>
        <v>399</v>
      </c>
      <c r="I11" s="128"/>
      <c r="J11" s="129"/>
      <c r="K11" s="129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ROWS($B$2:B41))), "")</f>
        <v/>
      </c>
    </row>
    <row r="12" spans="1:16" x14ac:dyDescent="0.25">
      <c r="A12" s="124" t="s">
        <v>152</v>
      </c>
      <c r="B12" s="125">
        <v>20901</v>
      </c>
      <c r="C12" s="125" t="s">
        <v>201</v>
      </c>
      <c r="D12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2" s="125" t="s">
        <v>47</v>
      </c>
      <c r="F12" s="125" t="s">
        <v>260</v>
      </c>
      <c r="G12" s="127">
        <v>9391</v>
      </c>
      <c r="H12" s="117">
        <f>IFERROR(VLOOKUP(Tabla_Coordinador28[[#This Row],[CREDENCIAL]], Tabla_Gerente[[CREDENCIAL]:[PAGO]], 7, FALSE), 0)</f>
        <v>399</v>
      </c>
      <c r="I12" s="128"/>
      <c r="J12" s="129"/>
      <c r="K12" s="129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ROWS($B$2:B42))), "")</f>
        <v/>
      </c>
    </row>
    <row r="13" spans="1:16" x14ac:dyDescent="0.25">
      <c r="A13" s="124" t="s">
        <v>152</v>
      </c>
      <c r="B13" s="125">
        <v>20902</v>
      </c>
      <c r="C13" s="125" t="s">
        <v>202</v>
      </c>
      <c r="D13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3" s="125" t="s">
        <v>47</v>
      </c>
      <c r="F13" s="125" t="s">
        <v>260</v>
      </c>
      <c r="G13" s="127">
        <v>9391</v>
      </c>
      <c r="H13" s="117">
        <f>IFERROR(VLOOKUP(Tabla_Coordinador28[[#This Row],[CREDENCIAL]], Tabla_Gerente[[CREDENCIAL]:[PAGO]], 7, FALSE), 0)</f>
        <v>399</v>
      </c>
      <c r="I13" s="128"/>
      <c r="J13" s="129"/>
      <c r="K13" s="129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ROWS($B$2:B43))), "")</f>
        <v/>
      </c>
    </row>
    <row r="14" spans="1:16" x14ac:dyDescent="0.25">
      <c r="A14" s="124" t="s">
        <v>152</v>
      </c>
      <c r="B14" s="125">
        <v>20909</v>
      </c>
      <c r="C14" s="125" t="s">
        <v>203</v>
      </c>
      <c r="D14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4" s="125" t="s">
        <v>47</v>
      </c>
      <c r="F14" s="125" t="s">
        <v>261</v>
      </c>
      <c r="G14" s="127">
        <v>9378</v>
      </c>
      <c r="H14" s="117">
        <f>IFERROR(VLOOKUP(Tabla_Coordinador28[[#This Row],[CREDENCIAL]], Tabla_Gerente[[CREDENCIAL]:[PAGO]], 7, FALSE), 0)</f>
        <v>350</v>
      </c>
      <c r="I14" s="128"/>
      <c r="J14" s="129"/>
      <c r="K14" s="129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ROWS($B$2:B44))), "")</f>
        <v/>
      </c>
    </row>
    <row r="15" spans="1:16" x14ac:dyDescent="0.25">
      <c r="A15" s="124" t="s">
        <v>152</v>
      </c>
      <c r="B15" s="125">
        <v>20910</v>
      </c>
      <c r="C15" s="125" t="s">
        <v>204</v>
      </c>
      <c r="D15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5" s="125" t="s">
        <v>47</v>
      </c>
      <c r="F15" s="125" t="s">
        <v>259</v>
      </c>
      <c r="G15" s="127">
        <v>9376</v>
      </c>
      <c r="H15" s="117">
        <f>IFERROR(VLOOKUP(Tabla_Coordinador28[[#This Row],[CREDENCIAL]], Tabla_Gerente[[CREDENCIAL]:[PAGO]], 7, FALSE), 0)</f>
        <v>349</v>
      </c>
      <c r="I15" s="128"/>
      <c r="J15" s="129"/>
      <c r="K15" s="129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ROWS($B$2:B45))), "")</f>
        <v/>
      </c>
    </row>
    <row r="16" spans="1:16" x14ac:dyDescent="0.25">
      <c r="A16" s="124" t="s">
        <v>152</v>
      </c>
      <c r="B16" s="125">
        <v>20919</v>
      </c>
      <c r="C16" s="125" t="s">
        <v>205</v>
      </c>
      <c r="D16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6" s="125" t="s">
        <v>47</v>
      </c>
      <c r="F16" s="125" t="s">
        <v>262</v>
      </c>
      <c r="G16" s="127">
        <v>9388</v>
      </c>
      <c r="H16" s="117">
        <f>IFERROR(VLOOKUP(Tabla_Coordinador28[[#This Row],[CREDENCIAL]], Tabla_Gerente[[CREDENCIAL]:[PAGO]], 7, FALSE), 0)</f>
        <v>399</v>
      </c>
      <c r="I16" s="128"/>
      <c r="J16" s="129"/>
      <c r="K16" s="129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ROWS($B$2:B46))), "")</f>
        <v/>
      </c>
    </row>
    <row r="17" spans="1:16" x14ac:dyDescent="0.25">
      <c r="A17" s="124" t="s">
        <v>152</v>
      </c>
      <c r="B17" s="125">
        <v>20923</v>
      </c>
      <c r="C17" s="125" t="s">
        <v>206</v>
      </c>
      <c r="D17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7" s="125" t="s">
        <v>47</v>
      </c>
      <c r="F17" s="125" t="s">
        <v>259</v>
      </c>
      <c r="G17" s="127">
        <v>9377</v>
      </c>
      <c r="H17" s="117">
        <f>IFERROR(VLOOKUP(Tabla_Coordinador28[[#This Row],[CREDENCIAL]], Tabla_Gerente[[CREDENCIAL]:[PAGO]], 7, FALSE), 0)</f>
        <v>399</v>
      </c>
      <c r="I17" s="128"/>
      <c r="J17" s="129"/>
      <c r="K17" s="129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ROWS($B$2:B47))), "")</f>
        <v/>
      </c>
    </row>
    <row r="18" spans="1:16" x14ac:dyDescent="0.25">
      <c r="A18" s="124" t="s">
        <v>152</v>
      </c>
      <c r="B18" s="125">
        <v>20930</v>
      </c>
      <c r="C18" s="125" t="s">
        <v>207</v>
      </c>
      <c r="D18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8" s="125" t="s">
        <v>47</v>
      </c>
      <c r="F18" s="125" t="s">
        <v>263</v>
      </c>
      <c r="G18" s="127">
        <v>9389</v>
      </c>
      <c r="H18" s="117">
        <f>IFERROR(VLOOKUP(Tabla_Coordinador28[[#This Row],[CREDENCIAL]], Tabla_Gerente[[CREDENCIAL]:[PAGO]], 7, FALSE), 0)</f>
        <v>399</v>
      </c>
      <c r="I18" s="128"/>
      <c r="J18" s="129"/>
      <c r="K18" s="129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ROWS($B$2:B48))), "")</f>
        <v/>
      </c>
    </row>
    <row r="19" spans="1:16" x14ac:dyDescent="0.25">
      <c r="A19" s="124" t="s">
        <v>152</v>
      </c>
      <c r="B19" s="125">
        <v>20932</v>
      </c>
      <c r="C19" s="125" t="s">
        <v>208</v>
      </c>
      <c r="D19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19" s="125" t="s">
        <v>47</v>
      </c>
      <c r="F19" s="125" t="s">
        <v>264</v>
      </c>
      <c r="G19" s="127">
        <v>9187</v>
      </c>
      <c r="H19" s="117">
        <f>IFERROR(VLOOKUP(Tabla_Coordinador28[[#This Row],[CREDENCIAL]], Tabla_Gerente[[CREDENCIAL]:[PAGO]], 7, FALSE), 0)</f>
        <v>399</v>
      </c>
      <c r="I19" s="128"/>
      <c r="J19" s="129"/>
      <c r="K19" s="129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ROWS($B$2:B49))), "")</f>
        <v/>
      </c>
    </row>
    <row r="20" spans="1:16" x14ac:dyDescent="0.25">
      <c r="A20" s="124" t="s">
        <v>152</v>
      </c>
      <c r="B20" s="125">
        <v>20934</v>
      </c>
      <c r="C20" s="125" t="s">
        <v>209</v>
      </c>
      <c r="D20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0" s="125" t="s">
        <v>47</v>
      </c>
      <c r="F20" s="125" t="s">
        <v>262</v>
      </c>
      <c r="G20" s="127">
        <v>9384</v>
      </c>
      <c r="H20" s="117">
        <f>IFERROR(VLOOKUP(Tabla_Coordinador28[[#This Row],[CREDENCIAL]], Tabla_Gerente[[CREDENCIAL]:[PAGO]], 7, FALSE), 0)</f>
        <v>399</v>
      </c>
      <c r="I20" s="128"/>
      <c r="J20" s="129"/>
      <c r="K20" s="129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ROWS($B$2:B50))), "")</f>
        <v/>
      </c>
    </row>
    <row r="21" spans="1:16" x14ac:dyDescent="0.25">
      <c r="A21" s="124" t="s">
        <v>152</v>
      </c>
      <c r="B21" s="125">
        <v>20938</v>
      </c>
      <c r="C21" s="125" t="s">
        <v>210</v>
      </c>
      <c r="D21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1" s="125" t="s">
        <v>47</v>
      </c>
      <c r="F21" s="125" t="s">
        <v>264</v>
      </c>
      <c r="G21" s="127">
        <v>9044</v>
      </c>
      <c r="H21" s="117">
        <f>IFERROR(VLOOKUP(Tabla_Coordinador28[[#This Row],[CREDENCIAL]], Tabla_Gerente[[CREDENCIAL]:[PAGO]], 7, FALSE), 0)</f>
        <v>349</v>
      </c>
      <c r="I21" s="128"/>
      <c r="J21" s="129"/>
      <c r="K21" s="129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ROWS($B$2:B51))), "")</f>
        <v/>
      </c>
    </row>
    <row r="22" spans="1:16" x14ac:dyDescent="0.25">
      <c r="A22" s="124" t="s">
        <v>152</v>
      </c>
      <c r="B22" s="125">
        <v>20945</v>
      </c>
      <c r="C22" s="125" t="s">
        <v>211</v>
      </c>
      <c r="D22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2" s="125" t="s">
        <v>47</v>
      </c>
      <c r="F22" s="125" t="s">
        <v>259</v>
      </c>
      <c r="G22" s="127">
        <v>9371</v>
      </c>
      <c r="H22" s="117">
        <f>IFERROR(VLOOKUP(Tabla_Coordinador28[[#This Row],[CREDENCIAL]], Tabla_Gerente[[CREDENCIAL]:[PAGO]], 7, FALSE), 0)</f>
        <v>399</v>
      </c>
      <c r="I22" s="128"/>
      <c r="J22" s="129"/>
      <c r="K22" s="129"/>
    </row>
    <row r="23" spans="1:16" x14ac:dyDescent="0.25">
      <c r="A23" s="124" t="s">
        <v>152</v>
      </c>
      <c r="B23" s="125">
        <v>50339</v>
      </c>
      <c r="C23" s="125" t="s">
        <v>212</v>
      </c>
      <c r="D23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3" s="125" t="s">
        <v>47</v>
      </c>
      <c r="F23" s="125" t="s">
        <v>265</v>
      </c>
      <c r="G23" s="127">
        <v>100</v>
      </c>
      <c r="H23" s="117">
        <f>IFERROR(VLOOKUP(Tabla_Coordinador28[[#This Row],[CREDENCIAL]], Tabla_Gerente[[CREDENCIAL]:[PAGO]], 7, FALSE), 0)</f>
        <v>700</v>
      </c>
      <c r="I23" s="128"/>
      <c r="J23" s="129"/>
      <c r="K23" s="129"/>
    </row>
    <row r="24" spans="1:16" x14ac:dyDescent="0.25">
      <c r="A24" s="124" t="s">
        <v>152</v>
      </c>
      <c r="B24" s="125">
        <v>20957</v>
      </c>
      <c r="C24" s="125" t="s">
        <v>213</v>
      </c>
      <c r="D24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4" s="125" t="s">
        <v>47</v>
      </c>
      <c r="F24" s="125" t="s">
        <v>262</v>
      </c>
      <c r="G24" s="127">
        <v>9384</v>
      </c>
      <c r="H24" s="117">
        <f>IFERROR(VLOOKUP(Tabla_Coordinador28[[#This Row],[CREDENCIAL]], Tabla_Gerente[[CREDENCIAL]:[PAGO]], 7, FALSE), 0)</f>
        <v>299</v>
      </c>
      <c r="I24" s="128"/>
      <c r="J24" s="129"/>
      <c r="K24" s="129"/>
    </row>
    <row r="25" spans="1:16" x14ac:dyDescent="0.25">
      <c r="A25" s="124" t="s">
        <v>154</v>
      </c>
      <c r="B25" s="125">
        <v>20905</v>
      </c>
      <c r="C25" s="125" t="s">
        <v>222</v>
      </c>
      <c r="D25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25" s="125" t="s">
        <v>47</v>
      </c>
      <c r="F25" s="125" t="s">
        <v>263</v>
      </c>
      <c r="G25" s="127">
        <v>501</v>
      </c>
      <c r="H25" s="117">
        <f>IFERROR(VLOOKUP(Tabla_Coordinador28[[#This Row],[CREDENCIAL]], Tabla_Gerente[[CREDENCIAL]:[PAGO]], 7, FALSE), 0)</f>
        <v>500</v>
      </c>
      <c r="I25" s="128"/>
      <c r="J25" s="129"/>
      <c r="K25" s="129"/>
    </row>
    <row r="26" spans="1:16" x14ac:dyDescent="0.25">
      <c r="A26" s="124" t="s">
        <v>154</v>
      </c>
      <c r="B26" s="125">
        <v>20906</v>
      </c>
      <c r="C26" s="125" t="s">
        <v>223</v>
      </c>
      <c r="D26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26" s="125" t="s">
        <v>47</v>
      </c>
      <c r="F26" s="125" t="s">
        <v>263</v>
      </c>
      <c r="G26" s="127">
        <v>501</v>
      </c>
      <c r="H26" s="117">
        <f>IFERROR(VLOOKUP(Tabla_Coordinador28[[#This Row],[CREDENCIAL]], Tabla_Gerente[[CREDENCIAL]:[PAGO]], 7, FALSE), 0)</f>
        <v>349</v>
      </c>
      <c r="I26" s="128"/>
      <c r="J26" s="129"/>
      <c r="K26" s="129"/>
    </row>
    <row r="27" spans="1:16" x14ac:dyDescent="0.25">
      <c r="A27" s="124" t="s">
        <v>154</v>
      </c>
      <c r="B27" s="125">
        <v>20931</v>
      </c>
      <c r="C27" s="125" t="s">
        <v>224</v>
      </c>
      <c r="D27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7" s="125" t="s">
        <v>47</v>
      </c>
      <c r="F27" s="125" t="s">
        <v>264</v>
      </c>
      <c r="G27" s="127">
        <v>9393</v>
      </c>
      <c r="H27" s="117">
        <f>IFERROR(VLOOKUP(Tabla_Coordinador28[[#This Row],[CREDENCIAL]], Tabla_Gerente[[CREDENCIAL]:[PAGO]], 7, FALSE), 0)</f>
        <v>400</v>
      </c>
      <c r="I27" s="128"/>
      <c r="J27" s="129"/>
      <c r="K27" s="129"/>
    </row>
    <row r="28" spans="1:16" x14ac:dyDescent="0.25">
      <c r="A28" s="124" t="s">
        <v>154</v>
      </c>
      <c r="B28" s="125">
        <v>20941</v>
      </c>
      <c r="C28" s="125" t="s">
        <v>225</v>
      </c>
      <c r="D28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28" s="125" t="s">
        <v>47</v>
      </c>
      <c r="F28" s="125" t="s">
        <v>268</v>
      </c>
      <c r="G28" s="127">
        <v>9377</v>
      </c>
      <c r="H28" s="117">
        <f>IFERROR(VLOOKUP(Tabla_Coordinador28[[#This Row],[CREDENCIAL]], Tabla_Gerente[[CREDENCIAL]:[PAGO]], 7, FALSE), 0)</f>
        <v>300</v>
      </c>
      <c r="I28" s="128"/>
      <c r="J28" s="129"/>
      <c r="K28" s="129"/>
    </row>
    <row r="29" spans="1:16" x14ac:dyDescent="0.25">
      <c r="A29" s="124" t="s">
        <v>154</v>
      </c>
      <c r="B29" s="125">
        <v>20942</v>
      </c>
      <c r="C29" s="125" t="s">
        <v>225</v>
      </c>
      <c r="D29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29" s="125" t="s">
        <v>47</v>
      </c>
      <c r="F29" s="125" t="s">
        <v>263</v>
      </c>
      <c r="G29" s="127">
        <v>501</v>
      </c>
      <c r="H29" s="117">
        <f>IFERROR(VLOOKUP(Tabla_Coordinador28[[#This Row],[CREDENCIAL]], Tabla_Gerente[[CREDENCIAL]:[PAGO]], 7, FALSE), 0)</f>
        <v>400</v>
      </c>
      <c r="I29" s="128"/>
      <c r="J29" s="129"/>
      <c r="K29" s="129"/>
    </row>
    <row r="30" spans="1:16" x14ac:dyDescent="0.25">
      <c r="A30" s="124" t="s">
        <v>154</v>
      </c>
      <c r="B30" s="125">
        <v>20953</v>
      </c>
      <c r="C30" s="125" t="s">
        <v>226</v>
      </c>
      <c r="D30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0" s="125" t="s">
        <v>47</v>
      </c>
      <c r="F30" s="125" t="s">
        <v>269</v>
      </c>
      <c r="G30" s="127">
        <v>9390</v>
      </c>
      <c r="H30" s="117">
        <f>IFERROR(VLOOKUP(Tabla_Coordinador28[[#This Row],[CREDENCIAL]], Tabla_Gerente[[CREDENCIAL]:[PAGO]], 7, FALSE), 0)</f>
        <v>300</v>
      </c>
      <c r="I30" s="128"/>
      <c r="J30" s="129"/>
      <c r="K30" s="129"/>
    </row>
    <row r="31" spans="1:16" x14ac:dyDescent="0.25">
      <c r="A31" s="124" t="s">
        <v>154</v>
      </c>
      <c r="B31" s="125">
        <v>20921</v>
      </c>
      <c r="C31" s="125" t="s">
        <v>227</v>
      </c>
      <c r="D31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31" s="125" t="s">
        <v>47</v>
      </c>
      <c r="F31" s="125" t="s">
        <v>263</v>
      </c>
      <c r="G31" s="127">
        <v>501</v>
      </c>
      <c r="H31" s="117">
        <f>IFERROR(VLOOKUP(Tabla_Coordinador28[[#This Row],[CREDENCIAL]], Tabla_Gerente[[CREDENCIAL]:[PAGO]], 7, FALSE), 0)</f>
        <v>350</v>
      </c>
      <c r="I31" s="128"/>
      <c r="J31" s="129"/>
      <c r="K31" s="129"/>
    </row>
    <row r="32" spans="1:16" x14ac:dyDescent="0.25">
      <c r="A32" s="124" t="s">
        <v>151</v>
      </c>
      <c r="B32" s="125">
        <v>20925</v>
      </c>
      <c r="C32" s="125" t="s">
        <v>214</v>
      </c>
      <c r="D32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2" s="125" t="s">
        <v>47</v>
      </c>
      <c r="F32" s="125" t="s">
        <v>259</v>
      </c>
      <c r="G32" s="127">
        <v>9382</v>
      </c>
      <c r="H32" s="117">
        <f>IFERROR(VLOOKUP(Tabla_Coordinador28[[#This Row],[CREDENCIAL]], Tabla_Gerente[[CREDENCIAL]:[PAGO]], 7, FALSE), 0)</f>
        <v>700</v>
      </c>
      <c r="I32" s="128"/>
      <c r="J32" s="129"/>
      <c r="K32" s="129"/>
    </row>
    <row r="33" spans="1:11" x14ac:dyDescent="0.25">
      <c r="A33" s="124" t="s">
        <v>151</v>
      </c>
      <c r="B33" s="125">
        <v>20929</v>
      </c>
      <c r="C33" s="125" t="s">
        <v>215</v>
      </c>
      <c r="D33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3" s="125" t="s">
        <v>47</v>
      </c>
      <c r="F33" s="125" t="s">
        <v>266</v>
      </c>
      <c r="G33" s="127">
        <v>9384</v>
      </c>
      <c r="H33" s="117">
        <f>IFERROR(VLOOKUP(Tabla_Coordinador28[[#This Row],[CREDENCIAL]], Tabla_Gerente[[CREDENCIAL]:[PAGO]], 7, FALSE), 0)</f>
        <v>349</v>
      </c>
      <c r="I33" s="128"/>
      <c r="J33" s="129"/>
      <c r="K33" s="129"/>
    </row>
    <row r="34" spans="1:11" x14ac:dyDescent="0.25">
      <c r="A34" s="124" t="s">
        <v>151</v>
      </c>
      <c r="B34" s="125">
        <v>20951</v>
      </c>
      <c r="C34" s="125" t="s">
        <v>216</v>
      </c>
      <c r="D34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4" s="125" t="s">
        <v>47</v>
      </c>
      <c r="F34" s="125" t="s">
        <v>267</v>
      </c>
      <c r="G34" s="127">
        <v>9374</v>
      </c>
      <c r="H34" s="117">
        <f>IFERROR(VLOOKUP(Tabla_Coordinador28[[#This Row],[CREDENCIAL]], Tabla_Gerente[[CREDENCIAL]:[PAGO]], 7, FALSE), 0)</f>
        <v>299</v>
      </c>
      <c r="I34" s="128"/>
      <c r="J34" s="129"/>
      <c r="K34" s="129"/>
    </row>
    <row r="35" spans="1:11" x14ac:dyDescent="0.25">
      <c r="A35" s="124" t="s">
        <v>151</v>
      </c>
      <c r="B35" s="125">
        <v>20952</v>
      </c>
      <c r="C35" s="125" t="s">
        <v>217</v>
      </c>
      <c r="D35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5" s="125" t="s">
        <v>47</v>
      </c>
      <c r="F35" s="125" t="s">
        <v>267</v>
      </c>
      <c r="G35" s="127">
        <v>9374</v>
      </c>
      <c r="H35" s="117">
        <f>IFERROR(VLOOKUP(Tabla_Coordinador28[[#This Row],[CREDENCIAL]], Tabla_Gerente[[CREDENCIAL]:[PAGO]], 7, FALSE), 0)</f>
        <v>299</v>
      </c>
      <c r="I35" s="128"/>
      <c r="J35" s="129"/>
      <c r="K35" s="129"/>
    </row>
    <row r="36" spans="1:11" x14ac:dyDescent="0.25">
      <c r="A36" s="124" t="s">
        <v>142</v>
      </c>
      <c r="B36" s="125">
        <v>20956</v>
      </c>
      <c r="C36" s="125" t="s">
        <v>218</v>
      </c>
      <c r="D36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36" s="125" t="s">
        <v>47</v>
      </c>
      <c r="F36" s="125" t="s">
        <v>257</v>
      </c>
      <c r="G36" s="127">
        <v>501</v>
      </c>
      <c r="H36" s="117">
        <f>IFERROR(VLOOKUP(Tabla_Coordinador28[[#This Row],[CREDENCIAL]], Tabla_Gerente[[CREDENCIAL]:[PAGO]], 7, FALSE), 0)</f>
        <v>300</v>
      </c>
      <c r="I36" s="128"/>
      <c r="J36" s="129"/>
      <c r="K36" s="129"/>
    </row>
    <row r="37" spans="1:11" x14ac:dyDescent="0.25">
      <c r="A37" s="124" t="s">
        <v>142</v>
      </c>
      <c r="B37" s="125">
        <v>20904</v>
      </c>
      <c r="C37" s="125" t="s">
        <v>219</v>
      </c>
      <c r="D37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140</v>
      </c>
      <c r="E37" s="125" t="s">
        <v>47</v>
      </c>
      <c r="F37" s="125" t="s">
        <v>263</v>
      </c>
      <c r="G37" s="127">
        <v>9345</v>
      </c>
      <c r="H37" s="117">
        <f>IFERROR(VLOOKUP(Tabla_Coordinador28[[#This Row],[CREDENCIAL]], Tabla_Gerente[[CREDENCIAL]:[PAGO]], 7, FALSE), 0)</f>
        <v>500</v>
      </c>
      <c r="I37" s="128"/>
      <c r="J37" s="129"/>
      <c r="K37" s="129"/>
    </row>
    <row r="38" spans="1:11" x14ac:dyDescent="0.25">
      <c r="A38" s="124" t="s">
        <v>142</v>
      </c>
      <c r="B38" s="125">
        <v>20914</v>
      </c>
      <c r="C38" s="125" t="s">
        <v>220</v>
      </c>
      <c r="D38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38" s="125" t="s">
        <v>47</v>
      </c>
      <c r="F38" s="125" t="s">
        <v>263</v>
      </c>
      <c r="G38" s="127">
        <v>501</v>
      </c>
      <c r="H38" s="117">
        <f>IFERROR(VLOOKUP(Tabla_Coordinador28[[#This Row],[CREDENCIAL]], Tabla_Gerente[[CREDENCIAL]:[PAGO]], 7, FALSE), 0)</f>
        <v>750</v>
      </c>
      <c r="I38" s="128"/>
      <c r="J38" s="129"/>
      <c r="K38" s="129"/>
    </row>
    <row r="39" spans="1:11" x14ac:dyDescent="0.25">
      <c r="A39" s="124" t="s">
        <v>142</v>
      </c>
      <c r="B39" s="125">
        <v>20922</v>
      </c>
      <c r="C39" s="125" t="s">
        <v>221</v>
      </c>
      <c r="D39" s="126">
        <f>IF(
    OR(
        Tabla_Coordinador28[[#This Row],[GRUPO]] = 501,
        Tabla_Coordinador28[[#This Row],[GRUPO]] = 505,
        Tabla_Coordinador28[[#This Row],[GRUPO]] = 503,
        Tabla_Coordinador28[[#This Row],[GRUPO]] = "",
        Tabla_Coordinador28[[#This Row],[GRUPO]] = 500,
        Tabla_Coordinador28[[#This Row],[PAGO]] &lt; 299,
        COUNTIF(Tabla_Coordinador28[CREDENCIAL], Tabla_Coordinador28[[#This Row],[CREDENCIAL]]) &gt; 1,
        COUNTIF(Tabla_Gerente[CREDENCIAL], Tabla_Coordinador28[[#This Row],[CREDENCIAL]]) &gt; 1
    ),
    0,
    VLOOKUP(
        Total_Registros_Coordinador,
        Tabulador_Coordinador[],
        3,
        TRUE
    )
)</f>
        <v>0</v>
      </c>
      <c r="E39" s="125" t="s">
        <v>47</v>
      </c>
      <c r="F39" s="125" t="s">
        <v>263</v>
      </c>
      <c r="G39" s="127">
        <v>501</v>
      </c>
      <c r="H39" s="117">
        <f>IFERROR(VLOOKUP(Tabla_Coordinador28[[#This Row],[CREDENCIAL]], Tabla_Gerente[[CREDENCIAL]:[PAGO]], 7, FALSE), 0)</f>
        <v>350</v>
      </c>
      <c r="I39" s="128"/>
      <c r="J39" s="129"/>
      <c r="K39" s="129"/>
    </row>
    <row r="40" spans="1:11" x14ac:dyDescent="0.25">
      <c r="A40" s="124" t="s">
        <v>50</v>
      </c>
      <c r="B40" s="125"/>
      <c r="C40" s="125"/>
      <c r="D40" s="126">
        <f>SUBTOTAL(109,Tabla_Coordinador28[COMISION])</f>
        <v>3360</v>
      </c>
      <c r="E40" s="125"/>
      <c r="F40" s="125"/>
      <c r="G40" s="127"/>
      <c r="H40" s="130"/>
      <c r="I40" s="128"/>
      <c r="J40" s="129"/>
      <c r="K40" s="129"/>
    </row>
    <row r="41" spans="1:11" x14ac:dyDescent="0.25">
      <c r="A41" s="27"/>
      <c r="B41" s="14"/>
      <c r="C41" s="15"/>
      <c r="D41" s="54"/>
      <c r="E41" s="14"/>
      <c r="F41" s="14"/>
      <c r="G41" s="14"/>
      <c r="H41" s="55"/>
      <c r="I41" s="16"/>
      <c r="J41" s="16"/>
      <c r="K41" s="16"/>
    </row>
    <row r="42" spans="1:11" x14ac:dyDescent="0.25">
      <c r="A42" s="27" t="s">
        <v>13</v>
      </c>
      <c r="D42" s="26">
        <f>Sueldo_Base_Coordinador</f>
        <v>500</v>
      </c>
      <c r="E42" s="16"/>
      <c r="F42" s="15"/>
      <c r="H42" s="15"/>
      <c r="J42" s="24"/>
    </row>
    <row r="43" spans="1:11" ht="16.5" thickBot="1" x14ac:dyDescent="0.3">
      <c r="A43" s="37" t="s">
        <v>45</v>
      </c>
      <c r="B43" s="38">
        <f>IF(Total_Registros_Coordinador &gt;= Premios!H5,
    VLOOKUP(Total_Registros_Coordinador, Premios_Coordinador[], 1, TRUE),
    0
)</f>
        <v>30</v>
      </c>
      <c r="C43" s="34"/>
      <c r="D43" s="36">
        <f>IF(Premio_Coordinador &gt; 0, VLOOKUP(Premio_Coordinador, Premios_Coordinador[], 2, FALSE), 0)</f>
        <v>2500</v>
      </c>
      <c r="E43" s="16"/>
      <c r="F43" s="15"/>
      <c r="H43" s="15"/>
      <c r="J43" s="24"/>
    </row>
    <row r="44" spans="1:11" x14ac:dyDescent="0.25">
      <c r="A44" s="27" t="s">
        <v>46</v>
      </c>
      <c r="B44" s="18"/>
      <c r="D44" s="28">
        <f>Tabla_Coordinador28[[#Totals],[COMISION]] + Pago_Sueldo_Base_Coordinador + Pago_Premio_Coordinador</f>
        <v>6360</v>
      </c>
      <c r="E44" s="16"/>
      <c r="F44" s="15"/>
      <c r="H44" s="15"/>
      <c r="J44" s="24"/>
    </row>
    <row r="45" spans="1:11" x14ac:dyDescent="0.25">
      <c r="A45" s="27" t="s">
        <v>124</v>
      </c>
      <c r="B45" s="18"/>
      <c r="C45" s="29"/>
      <c r="D45" s="40">
        <f>_xlfn.IFNA(SUMIFS(Descuentos[DESCUENTO], Descuentos[COLABORADOR], Nombre_Coordinador, Descuentos[PUESTO], Puesto_Coordinador), 0)</f>
        <v>0</v>
      </c>
      <c r="E45" s="16"/>
      <c r="F45" s="15"/>
      <c r="H45" s="15"/>
      <c r="J45" s="22"/>
      <c r="K45" s="22"/>
    </row>
    <row r="46" spans="1:11" ht="16.5" thickBot="1" x14ac:dyDescent="0.3">
      <c r="A46" s="37" t="s">
        <v>24</v>
      </c>
      <c r="B46" s="34"/>
      <c r="C46" s="34"/>
      <c r="D46" s="49">
        <f>(Pago_Subtotal_Coordinador * 0.05) * -1</f>
        <v>-318</v>
      </c>
      <c r="E46" s="16"/>
      <c r="F46" s="15"/>
      <c r="H46" s="15"/>
    </row>
    <row r="47" spans="1:11" ht="16.5" thickBot="1" x14ac:dyDescent="0.3">
      <c r="A47" s="42"/>
      <c r="C47" s="29"/>
      <c r="D47" s="28"/>
      <c r="E47" s="16"/>
      <c r="F47" s="15"/>
    </row>
    <row r="48" spans="1:11" ht="16.5" thickBot="1" x14ac:dyDescent="0.3">
      <c r="A48" s="37" t="s">
        <v>49</v>
      </c>
      <c r="B48" s="34"/>
      <c r="C48" s="50"/>
      <c r="D48" s="30">
        <f>Pago_Subtotal_Coordinador + Descuento_Coordinador + Deduccion_Coordinador</f>
        <v>6042</v>
      </c>
      <c r="E48" s="16"/>
      <c r="F48" s="15"/>
    </row>
    <row r="49" spans="3:9" x14ac:dyDescent="0.25">
      <c r="C49" s="29"/>
      <c r="D49" s="28"/>
      <c r="E49" s="26"/>
      <c r="F49" s="26"/>
    </row>
    <row r="50" spans="3:9" x14ac:dyDescent="0.25">
      <c r="C50" s="29"/>
      <c r="D50" s="28"/>
      <c r="E50" s="26"/>
      <c r="F50" s="26"/>
      <c r="I50" s="13"/>
    </row>
    <row r="51" spans="3:9" ht="16.5" thickBot="1" x14ac:dyDescent="0.3">
      <c r="C51" s="37" t="s">
        <v>25</v>
      </c>
      <c r="D51" s="120" t="str" cm="1">
        <f t="array" ref="D51">NumeroATexto(Pago_Neto_Coordinador)</f>
        <v>SEIS MIL CUARENTA Y DOS PESOS 00/100</v>
      </c>
      <c r="E51" s="120"/>
      <c r="F51" s="120"/>
      <c r="G51" s="120"/>
      <c r="H51" s="120"/>
      <c r="I51" s="120"/>
    </row>
    <row r="52" spans="3:9" x14ac:dyDescent="0.25">
      <c r="C52" s="27"/>
      <c r="D52" s="26"/>
      <c r="E52" s="16"/>
      <c r="F52" s="15"/>
      <c r="I52" s="13"/>
    </row>
    <row r="53" spans="3:9" x14ac:dyDescent="0.25">
      <c r="C53" s="29"/>
      <c r="D53" s="28"/>
      <c r="I53" s="13"/>
    </row>
    <row r="54" spans="3:9" ht="16.5" thickBot="1" x14ac:dyDescent="0.3">
      <c r="C54" s="33" t="s">
        <v>26</v>
      </c>
      <c r="D54" s="121"/>
      <c r="E54" s="121"/>
      <c r="F54" s="121"/>
      <c r="G54" s="121"/>
      <c r="H54" s="121"/>
      <c r="I54" s="121"/>
    </row>
    <row r="55" spans="3:9" x14ac:dyDescent="0.25">
      <c r="I55" s="13"/>
    </row>
    <row r="56" spans="3:9" x14ac:dyDescent="0.25">
      <c r="I56" s="13"/>
    </row>
    <row r="57" spans="3:9" x14ac:dyDescent="0.25">
      <c r="I57" s="13"/>
    </row>
    <row r="58" spans="3:9" x14ac:dyDescent="0.25">
      <c r="I58" s="13"/>
    </row>
    <row r="59" spans="3:9" x14ac:dyDescent="0.25">
      <c r="I59" s="13"/>
    </row>
  </sheetData>
  <mergeCells count="4">
    <mergeCell ref="B1:D1"/>
    <mergeCell ref="B2:D2"/>
    <mergeCell ref="D51:I51"/>
    <mergeCell ref="D54:I54"/>
  </mergeCells>
  <conditionalFormatting sqref="D9:D39">
    <cfRule type="cellIs" dxfId="74" priority="4" operator="equal">
      <formula>0</formula>
    </cfRule>
    <cfRule type="cellIs" dxfId="73" priority="6" operator="equal">
      <formula>$G9=501</formula>
    </cfRule>
  </conditionalFormatting>
  <conditionalFormatting sqref="G9:G39">
    <cfRule type="cellIs" dxfId="72" priority="1" operator="equal">
      <formula>505</formula>
    </cfRule>
    <cfRule type="cellIs" dxfId="71" priority="3" operator="equal">
      <formula>501</formula>
    </cfRule>
    <cfRule type="containsBlanks" dxfId="70" priority="5">
      <formula>LEN(TRIM(G9))=0</formula>
    </cfRule>
  </conditionalFormatting>
  <conditionalFormatting sqref="A9:K39">
    <cfRule type="expression" dxfId="69" priority="2">
      <formula>$G9 = 503</formula>
    </cfRule>
  </conditionalFormatting>
  <conditionalFormatting sqref="B9:B39">
    <cfRule type="duplicateValues" dxfId="67" priority="494"/>
  </conditionalFormatting>
  <dataValidations count="5">
    <dataValidation type="list" showInputMessage="1" showErrorMessage="1" sqref="A9:A39" xr:uid="{6F1480CE-EA7E-4763-897D-429D7F987A3B}">
      <formula1>Promotores_de_Coordinacion_Activos</formula1>
    </dataValidation>
    <dataValidation type="date" allowBlank="1" showInputMessage="1" showErrorMessage="1" sqref="I9:I39" xr:uid="{60F349C8-2801-4482-9C79-AF0EE6C3CDAB}">
      <formula1>B2</formula1>
      <formula2>D2</formula2>
    </dataValidation>
    <dataValidation type="custom" allowBlank="1" showInputMessage="1" showErrorMessage="1" sqref="G9:G39" xr:uid="{B233D48E-8E43-499C-ABEA-697E252281AD}">
      <formula1>G9&lt;&gt;500</formula1>
    </dataValidation>
    <dataValidation type="list" allowBlank="1" showInputMessage="1" showErrorMessage="1" sqref="E9:E39" xr:uid="{4A18DBD5-D37A-4E84-85BF-41A4BAF2A7D5}">
      <formula1>Nombres_Planteles</formula1>
    </dataValidation>
    <dataValidation type="list" allowBlank="1" showInputMessage="1" showErrorMessage="1" sqref="B1" xr:uid="{A998C825-2182-46B5-9237-D2C2F05D24DC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D5FDFDF-59FA-4DAD-A5EC-E57FE9F1A3DF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DFF9E5-1601-4FCC-AEA7-3CBB6C2B2D1C}">
          <x14:formula1>
            <xm:f>Planteles!$A$4:$A$15</xm:f>
          </x14:formula1>
          <xm:sqref>J9:J39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8E018-30F9-4242-8A40-9C205D0D5364}">
  <sheetPr codeName="Sheet14">
    <tabColor rgb="FF00B050"/>
    <pageSetUpPr fitToPage="1"/>
  </sheetPr>
  <dimension ref="A1:K29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8.42578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149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COUNTIFS(Tabla_Promotor33[GRUPO], "&lt;&gt;",
          Tabla_Promotor33[GRUPO], "&lt;&gt;503",
          Tabla_Promotor33[GRUPO], "&lt;&gt;500")</f>
        <v>7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154</v>
      </c>
      <c r="B9" s="125">
        <v>20905</v>
      </c>
      <c r="C9" s="125" t="s">
        <v>222</v>
      </c>
      <c r="D9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350</v>
      </c>
      <c r="E9" s="125" t="s">
        <v>47</v>
      </c>
      <c r="F9" s="125" t="s">
        <v>263</v>
      </c>
      <c r="G9" s="127">
        <v>501</v>
      </c>
      <c r="H9" s="131">
        <f>IFERROR(VLOOKUP(Tabla_Promotor33[[#This Row],[CREDENCIAL]], Tabla_Gerente[[CREDENCIAL]:[PAGO]], 7, FALSE), 0)</f>
        <v>500</v>
      </c>
      <c r="I9" s="132"/>
      <c r="J9" s="129"/>
      <c r="K9" s="129"/>
    </row>
    <row r="10" spans="1:11" x14ac:dyDescent="0.25">
      <c r="A10" s="124" t="s">
        <v>154</v>
      </c>
      <c r="B10" s="125">
        <v>20906</v>
      </c>
      <c r="C10" s="125" t="s">
        <v>223</v>
      </c>
      <c r="D10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199</v>
      </c>
      <c r="E10" s="125" t="s">
        <v>47</v>
      </c>
      <c r="F10" s="125" t="s">
        <v>263</v>
      </c>
      <c r="G10" s="127">
        <v>501</v>
      </c>
      <c r="H10" s="131">
        <f>IFERROR(VLOOKUP(Tabla_Promotor33[[#This Row],[CREDENCIAL]], Tabla_Gerente[[CREDENCIAL]:[PAGO]], 7, FALSE), 0)</f>
        <v>349</v>
      </c>
      <c r="I10" s="132"/>
      <c r="J10" s="129"/>
      <c r="K10" s="129"/>
    </row>
    <row r="11" spans="1:11" x14ac:dyDescent="0.25">
      <c r="A11" s="124" t="s">
        <v>154</v>
      </c>
      <c r="B11" s="125">
        <v>20931</v>
      </c>
      <c r="C11" s="125" t="s">
        <v>224</v>
      </c>
      <c r="D11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250</v>
      </c>
      <c r="E11" s="125" t="s">
        <v>47</v>
      </c>
      <c r="F11" s="125" t="s">
        <v>264</v>
      </c>
      <c r="G11" s="127">
        <v>9393</v>
      </c>
      <c r="H11" s="131">
        <f>IFERROR(VLOOKUP(Tabla_Promotor33[[#This Row],[CREDENCIAL]], Tabla_Gerente[[CREDENCIAL]:[PAGO]], 7, FALSE), 0)</f>
        <v>400</v>
      </c>
      <c r="I11" s="132"/>
      <c r="J11" s="129"/>
      <c r="K11" s="129"/>
    </row>
    <row r="12" spans="1:11" x14ac:dyDescent="0.25">
      <c r="A12" s="124" t="s">
        <v>154</v>
      </c>
      <c r="B12" s="125">
        <v>20941</v>
      </c>
      <c r="C12" s="125" t="s">
        <v>225</v>
      </c>
      <c r="D12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150</v>
      </c>
      <c r="E12" s="125" t="s">
        <v>47</v>
      </c>
      <c r="F12" s="125" t="s">
        <v>268</v>
      </c>
      <c r="G12" s="127">
        <v>9377</v>
      </c>
      <c r="H12" s="131">
        <f>IFERROR(VLOOKUP(Tabla_Promotor33[[#This Row],[CREDENCIAL]], Tabla_Gerente[[CREDENCIAL]:[PAGO]], 7, FALSE), 0)</f>
        <v>300</v>
      </c>
      <c r="I12" s="132"/>
      <c r="J12" s="129"/>
      <c r="K12" s="129"/>
    </row>
    <row r="13" spans="1:11" x14ac:dyDescent="0.25">
      <c r="A13" s="124" t="s">
        <v>154</v>
      </c>
      <c r="B13" s="125">
        <v>20942</v>
      </c>
      <c r="C13" s="125" t="s">
        <v>225</v>
      </c>
      <c r="D13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250</v>
      </c>
      <c r="E13" s="125" t="s">
        <v>47</v>
      </c>
      <c r="F13" s="125" t="s">
        <v>263</v>
      </c>
      <c r="G13" s="127">
        <v>501</v>
      </c>
      <c r="H13" s="131">
        <f>IFERROR(VLOOKUP(Tabla_Promotor33[[#This Row],[CREDENCIAL]], Tabla_Gerente[[CREDENCIAL]:[PAGO]], 7, FALSE), 0)</f>
        <v>400</v>
      </c>
      <c r="I13" s="132"/>
      <c r="J13" s="129"/>
      <c r="K13" s="129"/>
    </row>
    <row r="14" spans="1:11" x14ac:dyDescent="0.25">
      <c r="A14" s="124" t="s">
        <v>154</v>
      </c>
      <c r="B14" s="125">
        <v>20953</v>
      </c>
      <c r="C14" s="125" t="s">
        <v>226</v>
      </c>
      <c r="D14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150</v>
      </c>
      <c r="E14" s="125" t="s">
        <v>47</v>
      </c>
      <c r="F14" s="125" t="s">
        <v>269</v>
      </c>
      <c r="G14" s="127">
        <v>9390</v>
      </c>
      <c r="H14" s="131">
        <f>IFERROR(VLOOKUP(Tabla_Promotor33[[#This Row],[CREDENCIAL]], Tabla_Gerente[[CREDENCIAL]:[PAGO]], 7, FALSE), 0)</f>
        <v>300</v>
      </c>
      <c r="I14" s="132"/>
      <c r="J14" s="129"/>
      <c r="K14" s="129"/>
    </row>
    <row r="15" spans="1:11" x14ac:dyDescent="0.25">
      <c r="A15" s="124" t="s">
        <v>154</v>
      </c>
      <c r="B15" s="125">
        <v>20921</v>
      </c>
      <c r="C15" s="125" t="s">
        <v>227</v>
      </c>
      <c r="D15" s="126">
        <f>IF(
    OR(
        Tabla_Promotor33[[#This Row],[GRUPO]] = "",
        Tabla_Promotor33[[#This Row],[GRUPO]] = 500,
        COUNTIF(Tabla_Promotor33[CREDENCIAL], Tabla_Promotor33[[#This Row],[CREDENCIAL]]) &gt; 1,
        COUNTIF(Tabla_Gerente[CREDENCIAL], Tabla_Promotor33[[#This Row],[CREDENCIAL]]) &gt; 1,
    ),
    0,
    IF(
        Tabla_Promotor33[[#This Row],[GRUPO]] = 503,
        Tabla_Promotor33[[#This Row],[PAGO]],
        IF(
            Tabla_Promotor33[[#This Row],[PAGO]] &gt;= 299,
            Tabla_Promotor33[[#This Row],[PAGO]] - 150,
            0
        )
    )
)</f>
        <v>200</v>
      </c>
      <c r="E15" s="125" t="s">
        <v>47</v>
      </c>
      <c r="F15" s="125" t="s">
        <v>263</v>
      </c>
      <c r="G15" s="127">
        <v>501</v>
      </c>
      <c r="H15" s="131">
        <f>IFERROR(VLOOKUP(Tabla_Promotor33[[#This Row],[CREDENCIAL]], Tabla_Gerente[[CREDENCIAL]:[PAGO]], 7, FALSE), 0)</f>
        <v>350</v>
      </c>
      <c r="I15" s="132"/>
      <c r="J15" s="129"/>
      <c r="K15" s="129"/>
    </row>
    <row r="16" spans="1:11" x14ac:dyDescent="0.25">
      <c r="A16" s="124" t="s">
        <v>50</v>
      </c>
      <c r="B16" s="125"/>
      <c r="C16" s="125"/>
      <c r="D16" s="126">
        <f>SUBTOTAL(109,Tabla_Promotor33[COMISION])</f>
        <v>1549</v>
      </c>
      <c r="E16" s="125"/>
      <c r="F16" s="125"/>
      <c r="G16" s="127"/>
      <c r="H16" s="131"/>
      <c r="I16" s="132"/>
      <c r="J16" s="129"/>
      <c r="K16" s="129"/>
    </row>
    <row r="17" spans="1:11" x14ac:dyDescent="0.25">
      <c r="A17" s="25"/>
      <c r="B17" s="14"/>
      <c r="C17" s="15"/>
      <c r="D17" s="54"/>
      <c r="E17" s="14"/>
      <c r="F17" s="14"/>
      <c r="G17" s="27"/>
      <c r="H17" s="55"/>
      <c r="I17" s="14"/>
      <c r="J17" s="16"/>
      <c r="K17" s="16"/>
    </row>
    <row r="18" spans="1:11" x14ac:dyDescent="0.25">
      <c r="A18" s="25" t="s">
        <v>13</v>
      </c>
      <c r="D18" s="74">
        <f>_xlfn.IFNA(VLOOKUP(Nombre_Promotor,Sueldos_Base[],2,FALSE),0)</f>
        <v>0</v>
      </c>
      <c r="E18" s="16"/>
      <c r="F18" s="15"/>
      <c r="H18" s="15"/>
      <c r="J18" s="24"/>
    </row>
    <row r="19" spans="1:11" ht="16.5" thickBot="1" x14ac:dyDescent="0.3">
      <c r="A19" s="37" t="s">
        <v>45</v>
      </c>
      <c r="B19" s="38">
        <f>IF(Total_Registros_Promotor &lt; Premios!A5, 0,
   VLOOKUP(Total_Registros_Promotor, Premios_Promotor[], 1, TRUE))</f>
        <v>6</v>
      </c>
      <c r="C19" s="34"/>
      <c r="D19" s="36">
        <f>IF(Premio_Promotor &gt; 0,
   VLOOKUP(Premio_Promotor, Premios_Promotor[],
      VLOOKUP(Total_Registros_Gerente, Tabulador_Premio_Promotor_Total_Gerencia[], 2, TRUE),
   FALSE),
   0)</f>
        <v>800</v>
      </c>
      <c r="E19" s="16"/>
      <c r="F19" s="15"/>
      <c r="H19" s="15"/>
      <c r="J19" s="24"/>
    </row>
    <row r="20" spans="1:11" x14ac:dyDescent="0.25">
      <c r="A20" s="27" t="s">
        <v>46</v>
      </c>
      <c r="B20" s="18"/>
      <c r="D20" s="28">
        <f>Tabla_Promotor33[[#Totals],[COMISION]] + Pago_Sueldo_Base_Promotor + Pago_Premio_Promotor</f>
        <v>2349</v>
      </c>
      <c r="E20" s="16"/>
      <c r="F20" s="15"/>
      <c r="H20" s="15"/>
      <c r="J20" s="24"/>
    </row>
    <row r="21" spans="1:11" x14ac:dyDescent="0.25">
      <c r="A21" s="27" t="s">
        <v>124</v>
      </c>
      <c r="B21" s="18"/>
      <c r="C21" s="29"/>
      <c r="D21" s="39">
        <f>_xlfn.IFNA(SUMIFS(Descuentos[DESCUENTO], Descuentos[COLABORADOR], Nombre_Promotor, Descuentos[PUESTO], Puesto_Promotor), 0)</f>
        <v>0</v>
      </c>
      <c r="E21" s="16" t="s">
        <v>127</v>
      </c>
      <c r="F21" s="15"/>
      <c r="H21" s="15"/>
      <c r="I21" s="18"/>
      <c r="J21" s="22"/>
      <c r="K21" s="22"/>
    </row>
    <row r="22" spans="1:11" ht="16.5" thickBot="1" x14ac:dyDescent="0.3">
      <c r="A22" s="35"/>
      <c r="C22" s="29"/>
      <c r="D22" s="28"/>
      <c r="E22" s="16"/>
      <c r="F22" s="15"/>
    </row>
    <row r="23" spans="1:11" ht="16.5" thickBot="1" x14ac:dyDescent="0.3">
      <c r="A23" s="37" t="s">
        <v>49</v>
      </c>
      <c r="B23" s="34"/>
      <c r="C23" s="50"/>
      <c r="D23" s="30">
        <f>Pago_Subtotal_Promotor + Descuento_Promotor</f>
        <v>2349</v>
      </c>
      <c r="E23" s="16"/>
      <c r="F23" s="15"/>
    </row>
    <row r="24" spans="1:11" x14ac:dyDescent="0.25">
      <c r="C24" s="29"/>
      <c r="D24" s="28"/>
      <c r="E24" s="26"/>
      <c r="F24" s="26"/>
    </row>
    <row r="25" spans="1:11" x14ac:dyDescent="0.25">
      <c r="C25" s="29"/>
      <c r="D25" s="28"/>
      <c r="E25" s="26"/>
      <c r="F25" s="26"/>
    </row>
    <row r="26" spans="1:11" ht="16.5" thickBot="1" x14ac:dyDescent="0.3">
      <c r="C26" s="37" t="s">
        <v>25</v>
      </c>
      <c r="D26" s="120" t="str" cm="1">
        <f t="array" ref="D26">NumeroATexto(Pago_Neto_Promotor)</f>
        <v>DOS MIL TRESCIENTOS CUARENTA Y NUEVE PESOS 00/100</v>
      </c>
      <c r="E26" s="120"/>
      <c r="F26" s="120"/>
      <c r="G26" s="120"/>
      <c r="H26" s="120"/>
      <c r="I26" s="120"/>
    </row>
    <row r="27" spans="1:11" x14ac:dyDescent="0.25">
      <c r="C27" s="27"/>
      <c r="D27" s="26"/>
      <c r="E27" s="16"/>
      <c r="F27" s="15"/>
    </row>
    <row r="28" spans="1:11" x14ac:dyDescent="0.25">
      <c r="C28" s="29"/>
      <c r="D28" s="28"/>
    </row>
    <row r="29" spans="1:11" ht="16.5" thickBot="1" x14ac:dyDescent="0.3">
      <c r="C29" s="33" t="s">
        <v>26</v>
      </c>
      <c r="D29" s="121"/>
      <c r="E29" s="121"/>
      <c r="F29" s="121"/>
      <c r="G29" s="121"/>
      <c r="H29" s="121"/>
      <c r="I29" s="121"/>
    </row>
  </sheetData>
  <mergeCells count="4">
    <mergeCell ref="B1:D1"/>
    <mergeCell ref="B2:D2"/>
    <mergeCell ref="D26:I26"/>
    <mergeCell ref="D29:I29"/>
  </mergeCells>
  <conditionalFormatting sqref="D9:D15">
    <cfRule type="expression" dxfId="66" priority="1">
      <formula>$G9=501</formula>
    </cfRule>
    <cfRule type="cellIs" dxfId="65" priority="4" operator="equal">
      <formula>0</formula>
    </cfRule>
  </conditionalFormatting>
  <conditionalFormatting sqref="G9:G15">
    <cfRule type="cellIs" dxfId="64" priority="2" operator="equal">
      <formula>503</formula>
    </cfRule>
    <cfRule type="cellIs" dxfId="63" priority="3" operator="equal">
      <formula>501</formula>
    </cfRule>
  </conditionalFormatting>
  <conditionalFormatting sqref="B9:B15">
    <cfRule type="duplicateValues" dxfId="61" priority="509"/>
  </conditionalFormatting>
  <dataValidations count="4">
    <dataValidation type="date" allowBlank="1" showInputMessage="1" showErrorMessage="1" sqref="I9:I15" xr:uid="{C2FE25A2-D239-4C9A-9642-32F5263C14EE}">
      <formula1>B2</formula1>
      <formula2>D2</formula2>
    </dataValidation>
    <dataValidation type="custom" allowBlank="1" showInputMessage="1" showErrorMessage="1" sqref="G9:G15" xr:uid="{046FD72F-D50B-4C34-B8E1-C065AD506AC0}">
      <formula1>G9&lt;&gt;500</formula1>
    </dataValidation>
    <dataValidation type="list" allowBlank="1" showInputMessage="1" showErrorMessage="1" sqref="E9:E15" xr:uid="{EA1D0D66-DC98-4B83-8703-29E8A6E7A313}">
      <formula1>Nombres_Planteles</formula1>
    </dataValidation>
    <dataValidation type="list" allowBlank="1" showInputMessage="1" showErrorMessage="1" sqref="B1" xr:uid="{9708FB5C-9D03-4184-9019-ECF0AC7626BC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18376DA-4BC2-4248-92B8-315408D0961D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040F3-045A-4923-957D-3069EFDC8633}">
          <x14:formula1>
            <xm:f>Planteles!$A$4:$A$15</xm:f>
          </x14:formula1>
          <xm:sqref>J9:J15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3AA6-948D-4A90-878B-ED8766556515}">
  <sheetPr codeName="Sheet13">
    <tabColor rgb="FF00B050"/>
    <pageSetUpPr fitToPage="1"/>
  </sheetPr>
  <dimension ref="A1:K26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5.42578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134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COUNTIFS(Tabla_Promotor32[GRUPO], "&lt;&gt;",
          Tabla_Promotor32[GRUPO], "&lt;&gt;503",
          Tabla_Promotor32[GRUPO], "&lt;&gt;500")</f>
        <v>4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142</v>
      </c>
      <c r="B9" s="125">
        <v>20956</v>
      </c>
      <c r="C9" s="125" t="s">
        <v>218</v>
      </c>
      <c r="D9" s="126">
        <f>IF(
    OR(
        Tabla_Promotor32[[#This Row],[GRUPO]] = "",
        Tabla_Promotor32[[#This Row],[GRUPO]] = 500,
        COUNTIF(Tabla_Promotor32[CREDENCIAL], Tabla_Promotor32[[#This Row],[CREDENCIAL]]) &gt; 1,
        COUNTIF(Tabla_Gerente[CREDENCIAL], Tabla_Promotor32[[#This Row],[CREDENCIAL]]) &gt; 1,
    ),
    0,
    IF(
        Tabla_Promotor32[[#This Row],[GRUPO]] = 503,
        Tabla_Promotor32[[#This Row],[PAGO]],
        IF(
            Tabla_Promotor32[[#This Row],[PAGO]] &gt;= 299,
            Tabla_Promotor32[[#This Row],[PAGO]] - 150,
            0
        )
    )
)</f>
        <v>150</v>
      </c>
      <c r="E9" s="125" t="s">
        <v>47</v>
      </c>
      <c r="F9" s="125" t="s">
        <v>257</v>
      </c>
      <c r="G9" s="127">
        <v>501</v>
      </c>
      <c r="H9" s="131">
        <f>IFERROR(VLOOKUP(Tabla_Promotor32[[#This Row],[CREDENCIAL]], Tabla_Gerente[[CREDENCIAL]:[PAGO]], 7, FALSE), 0)</f>
        <v>300</v>
      </c>
      <c r="I9" s="132"/>
      <c r="J9" s="129"/>
      <c r="K9" s="129"/>
    </row>
    <row r="10" spans="1:11" x14ac:dyDescent="0.25">
      <c r="A10" s="124" t="s">
        <v>142</v>
      </c>
      <c r="B10" s="125">
        <v>20904</v>
      </c>
      <c r="C10" s="125" t="s">
        <v>219</v>
      </c>
      <c r="D10" s="126">
        <f>IF(
    OR(
        Tabla_Promotor32[[#This Row],[GRUPO]] = "",
        Tabla_Promotor32[[#This Row],[GRUPO]] = 500,
        COUNTIF(Tabla_Promotor32[CREDENCIAL], Tabla_Promotor32[[#This Row],[CREDENCIAL]]) &gt; 1,
        COUNTIF(Tabla_Gerente[CREDENCIAL], Tabla_Promotor32[[#This Row],[CREDENCIAL]]) &gt; 1,
    ),
    0,
    IF(
        Tabla_Promotor32[[#This Row],[GRUPO]] = 503,
        Tabla_Promotor32[[#This Row],[PAGO]],
        IF(
            Tabla_Promotor32[[#This Row],[PAGO]] &gt;= 299,
            Tabla_Promotor32[[#This Row],[PAGO]] - 150,
            0
        )
    )
)</f>
        <v>350</v>
      </c>
      <c r="E10" s="125" t="s">
        <v>47</v>
      </c>
      <c r="F10" s="125" t="s">
        <v>263</v>
      </c>
      <c r="G10" s="127">
        <v>9345</v>
      </c>
      <c r="H10" s="131">
        <f>IFERROR(VLOOKUP(Tabla_Promotor32[[#This Row],[CREDENCIAL]], Tabla_Gerente[[CREDENCIAL]:[PAGO]], 7, FALSE), 0)</f>
        <v>500</v>
      </c>
      <c r="I10" s="132"/>
      <c r="J10" s="129"/>
      <c r="K10" s="129"/>
    </row>
    <row r="11" spans="1:11" x14ac:dyDescent="0.25">
      <c r="A11" s="124" t="s">
        <v>142</v>
      </c>
      <c r="B11" s="125">
        <v>20914</v>
      </c>
      <c r="C11" s="125" t="s">
        <v>220</v>
      </c>
      <c r="D11" s="126">
        <f>IF(
    OR(
        Tabla_Promotor32[[#This Row],[GRUPO]] = "",
        Tabla_Promotor32[[#This Row],[GRUPO]] = 500,
        COUNTIF(Tabla_Promotor32[CREDENCIAL], Tabla_Promotor32[[#This Row],[CREDENCIAL]]) &gt; 1,
        COUNTIF(Tabla_Gerente[CREDENCIAL], Tabla_Promotor32[[#This Row],[CREDENCIAL]]) &gt; 1,
    ),
    0,
    IF(
        Tabla_Promotor32[[#This Row],[GRUPO]] = 503,
        Tabla_Promotor32[[#This Row],[PAGO]],
        IF(
            Tabla_Promotor32[[#This Row],[PAGO]] &gt;= 299,
            Tabla_Promotor32[[#This Row],[PAGO]] - 150,
            0
        )
    )
)</f>
        <v>600</v>
      </c>
      <c r="E11" s="125" t="s">
        <v>47</v>
      </c>
      <c r="F11" s="125" t="s">
        <v>263</v>
      </c>
      <c r="G11" s="127">
        <v>501</v>
      </c>
      <c r="H11" s="131">
        <f>IFERROR(VLOOKUP(Tabla_Promotor32[[#This Row],[CREDENCIAL]], Tabla_Gerente[[CREDENCIAL]:[PAGO]], 7, FALSE), 0)</f>
        <v>750</v>
      </c>
      <c r="I11" s="132"/>
      <c r="J11" s="129"/>
      <c r="K11" s="129"/>
    </row>
    <row r="12" spans="1:11" x14ac:dyDescent="0.25">
      <c r="A12" s="124" t="s">
        <v>142</v>
      </c>
      <c r="B12" s="125">
        <v>20922</v>
      </c>
      <c r="C12" s="125" t="s">
        <v>221</v>
      </c>
      <c r="D12" s="126">
        <f>IF(
    OR(
        Tabla_Promotor32[[#This Row],[GRUPO]] = "",
        Tabla_Promotor32[[#This Row],[GRUPO]] = 500,
        COUNTIF(Tabla_Promotor32[CREDENCIAL], Tabla_Promotor32[[#This Row],[CREDENCIAL]]) &gt; 1,
        COUNTIF(Tabla_Gerente[CREDENCIAL], Tabla_Promotor32[[#This Row],[CREDENCIAL]]) &gt; 1,
    ),
    0,
    IF(
        Tabla_Promotor32[[#This Row],[GRUPO]] = 503,
        Tabla_Promotor32[[#This Row],[PAGO]],
        IF(
            Tabla_Promotor32[[#This Row],[PAGO]] &gt;= 299,
            Tabla_Promotor32[[#This Row],[PAGO]] - 150,
            0
        )
    )
)</f>
        <v>200</v>
      </c>
      <c r="E12" s="125" t="s">
        <v>47</v>
      </c>
      <c r="F12" s="125" t="s">
        <v>263</v>
      </c>
      <c r="G12" s="127">
        <v>501</v>
      </c>
      <c r="H12" s="131">
        <f>IFERROR(VLOOKUP(Tabla_Promotor32[[#This Row],[CREDENCIAL]], Tabla_Gerente[[CREDENCIAL]:[PAGO]], 7, FALSE), 0)</f>
        <v>350</v>
      </c>
      <c r="I12" s="132"/>
      <c r="J12" s="129"/>
      <c r="K12" s="129"/>
    </row>
    <row r="13" spans="1:11" x14ac:dyDescent="0.25">
      <c r="A13" s="124" t="s">
        <v>50</v>
      </c>
      <c r="B13" s="125"/>
      <c r="C13" s="125"/>
      <c r="D13" s="126">
        <f>SUBTOTAL(109,Tabla_Promotor32[COMISION])</f>
        <v>1300</v>
      </c>
      <c r="E13" s="125"/>
      <c r="F13" s="125"/>
      <c r="G13" s="127"/>
      <c r="H13" s="131"/>
      <c r="I13" s="132"/>
      <c r="J13" s="129"/>
      <c r="K13" s="129"/>
    </row>
    <row r="14" spans="1:11" x14ac:dyDescent="0.25">
      <c r="A14" s="25"/>
      <c r="B14" s="14"/>
      <c r="C14" s="15"/>
      <c r="D14" s="54"/>
      <c r="E14" s="14"/>
      <c r="F14" s="14"/>
      <c r="G14" s="27"/>
      <c r="H14" s="55"/>
      <c r="I14" s="14"/>
      <c r="J14" s="16"/>
      <c r="K14" s="16"/>
    </row>
    <row r="15" spans="1:11" x14ac:dyDescent="0.25">
      <c r="A15" s="25" t="s">
        <v>13</v>
      </c>
      <c r="D15" s="74">
        <f>_xlfn.IFNA(VLOOKUP(Nombre_Promotor,Sueldos_Base[],2,FALSE),0)</f>
        <v>0</v>
      </c>
      <c r="E15" s="16"/>
      <c r="F15" s="15"/>
      <c r="H15" s="15"/>
      <c r="J15" s="24"/>
    </row>
    <row r="16" spans="1:11" ht="16.5" thickBot="1" x14ac:dyDescent="0.3">
      <c r="A16" s="37" t="s">
        <v>45</v>
      </c>
      <c r="B16" s="38">
        <f>IF(Total_Registros_Promotor &lt; Premios!A5, 0,
   VLOOKUP(Total_Registros_Promotor, Premios_Promotor[], 1, TRUE))</f>
        <v>4</v>
      </c>
      <c r="C16" s="34"/>
      <c r="D16" s="36">
        <f>IF(Premio_Promotor &gt; 0,
   VLOOKUP(Premio_Promotor, Premios_Promotor[],
      VLOOKUP(Total_Registros_Gerente, Tabulador_Premio_Promotor_Total_Gerencia[], 2, TRUE),
   FALSE),
   0)</f>
        <v>500</v>
      </c>
      <c r="E16" s="16"/>
      <c r="F16" s="15"/>
      <c r="H16" s="15"/>
      <c r="J16" s="24"/>
    </row>
    <row r="17" spans="1:11" x14ac:dyDescent="0.25">
      <c r="A17" s="27" t="s">
        <v>46</v>
      </c>
      <c r="B17" s="18"/>
      <c r="D17" s="28">
        <f>Tabla_Promotor32[[#Totals],[COMISION]] + Pago_Sueldo_Base_Promotor + Pago_Premio_Promotor</f>
        <v>1800</v>
      </c>
      <c r="E17" s="16"/>
      <c r="F17" s="15"/>
      <c r="H17" s="15"/>
      <c r="J17" s="24"/>
    </row>
    <row r="18" spans="1:11" x14ac:dyDescent="0.25">
      <c r="A18" s="27" t="s">
        <v>124</v>
      </c>
      <c r="B18" s="18"/>
      <c r="C18" s="29"/>
      <c r="D18" s="39">
        <f>_xlfn.IFNA(SUMIFS(Descuentos[DESCUENTO], Descuentos[COLABORADOR], Nombre_Promotor, Descuentos[PUESTO], Puesto_Promotor), 0)</f>
        <v>0</v>
      </c>
      <c r="E18" s="16" t="s">
        <v>127</v>
      </c>
      <c r="F18" s="15"/>
      <c r="H18" s="15"/>
      <c r="I18" s="18"/>
      <c r="J18" s="22"/>
      <c r="K18" s="22"/>
    </row>
    <row r="19" spans="1:11" ht="16.5" thickBot="1" x14ac:dyDescent="0.3">
      <c r="A19" s="35"/>
      <c r="C19" s="29"/>
      <c r="D19" s="28"/>
      <c r="E19" s="16"/>
      <c r="F19" s="15"/>
    </row>
    <row r="20" spans="1:11" ht="16.5" thickBot="1" x14ac:dyDescent="0.3">
      <c r="A20" s="37" t="s">
        <v>49</v>
      </c>
      <c r="B20" s="34"/>
      <c r="C20" s="50"/>
      <c r="D20" s="30">
        <f>Pago_Subtotal_Promotor + Descuento_Promotor</f>
        <v>1800</v>
      </c>
      <c r="E20" s="16"/>
      <c r="F20" s="15"/>
    </row>
    <row r="21" spans="1:11" x14ac:dyDescent="0.25">
      <c r="C21" s="29"/>
      <c r="D21" s="28"/>
      <c r="E21" s="26"/>
      <c r="F21" s="26"/>
    </row>
    <row r="22" spans="1:11" x14ac:dyDescent="0.25">
      <c r="C22" s="29"/>
      <c r="D22" s="28"/>
      <c r="E22" s="26"/>
      <c r="F22" s="26"/>
    </row>
    <row r="23" spans="1:11" ht="16.5" thickBot="1" x14ac:dyDescent="0.3">
      <c r="C23" s="37" t="s">
        <v>25</v>
      </c>
      <c r="D23" s="120" t="str" cm="1">
        <f t="array" ref="D23">NumeroATexto(Pago_Neto_Promotor)</f>
        <v>MIL OCHOCIENTOS PESOS 00/100</v>
      </c>
      <c r="E23" s="120"/>
      <c r="F23" s="120"/>
      <c r="G23" s="120"/>
      <c r="H23" s="120"/>
      <c r="I23" s="120"/>
    </row>
    <row r="24" spans="1:11" x14ac:dyDescent="0.25">
      <c r="C24" s="27"/>
      <c r="D24" s="26"/>
      <c r="E24" s="16"/>
      <c r="F24" s="15"/>
    </row>
    <row r="25" spans="1:11" x14ac:dyDescent="0.25">
      <c r="C25" s="29"/>
      <c r="D25" s="28"/>
    </row>
    <row r="26" spans="1:11" ht="16.5" thickBot="1" x14ac:dyDescent="0.3">
      <c r="C26" s="33" t="s">
        <v>26</v>
      </c>
      <c r="D26" s="121"/>
      <c r="E26" s="121"/>
      <c r="F26" s="121"/>
      <c r="G26" s="121"/>
      <c r="H26" s="121"/>
      <c r="I26" s="121"/>
    </row>
  </sheetData>
  <mergeCells count="4">
    <mergeCell ref="B1:D1"/>
    <mergeCell ref="B2:D2"/>
    <mergeCell ref="D23:I23"/>
    <mergeCell ref="D26:I26"/>
  </mergeCells>
  <conditionalFormatting sqref="D9:D12">
    <cfRule type="expression" dxfId="60" priority="1">
      <formula>$G9=501</formula>
    </cfRule>
    <cfRule type="cellIs" dxfId="59" priority="4" operator="equal">
      <formula>0</formula>
    </cfRule>
  </conditionalFormatting>
  <conditionalFormatting sqref="G9:G12">
    <cfRule type="cellIs" dxfId="58" priority="2" operator="equal">
      <formula>503</formula>
    </cfRule>
    <cfRule type="cellIs" dxfId="57" priority="3" operator="equal">
      <formula>501</formula>
    </cfRule>
  </conditionalFormatting>
  <conditionalFormatting sqref="B9:B12">
    <cfRule type="duplicateValues" dxfId="55" priority="506"/>
  </conditionalFormatting>
  <dataValidations count="4">
    <dataValidation type="date" allowBlank="1" showInputMessage="1" showErrorMessage="1" sqref="I9:I12" xr:uid="{AAC61F62-CAF1-4228-BB34-E3E293A1E1B1}">
      <formula1>B2</formula1>
      <formula2>D2</formula2>
    </dataValidation>
    <dataValidation type="custom" allowBlank="1" showInputMessage="1" showErrorMessage="1" sqref="G9:G12" xr:uid="{D3ECC682-0956-40CF-BC5A-76898C966CA2}">
      <formula1>G9&lt;&gt;500</formula1>
    </dataValidation>
    <dataValidation type="list" allowBlank="1" showInputMessage="1" showErrorMessage="1" sqref="E9:E12" xr:uid="{0C799852-6182-48EB-AACF-638FF51024A6}">
      <formula1>Nombres_Planteles</formula1>
    </dataValidation>
    <dataValidation type="list" allowBlank="1" showInputMessage="1" showErrorMessage="1" sqref="B1" xr:uid="{A94C8DA5-9C91-4208-8CCF-A8CBA3B7CAF0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07D5-77F3-4A5F-B951-7570AC4D2C15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421A68-C958-4D0D-B81A-F016A9E32C73}">
          <x14:formula1>
            <xm:f>Planteles!$A$4:$A$15</xm:f>
          </x14:formula1>
          <xm:sqref>J9:J12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6848-1B81-4C8D-A9FE-A598129ED55F}">
  <sheetPr codeName="Sheet12">
    <tabColor rgb="FF00B050"/>
    <pageSetUpPr fitToPage="1"/>
  </sheetPr>
  <dimension ref="A1:K26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5.5703125" style="13" bestFit="1" customWidth="1"/>
    <col min="4" max="4" width="16.42578125" style="13" bestFit="1" customWidth="1"/>
    <col min="5" max="5" width="14.140625" style="13" bestFit="1" customWidth="1"/>
    <col min="6" max="6" width="15.710937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148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COUNTIFS(Tabla_Promotor31[GRUPO], "&lt;&gt;",
          Tabla_Promotor31[GRUPO], "&lt;&gt;503",
          Tabla_Promotor31[GRUPO], "&lt;&gt;500")</f>
        <v>4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151</v>
      </c>
      <c r="B9" s="125">
        <v>20925</v>
      </c>
      <c r="C9" s="125" t="s">
        <v>214</v>
      </c>
      <c r="D9" s="126">
        <f>IF(
    OR(
        Tabla_Promotor31[[#This Row],[GRUPO]] = "",
        Tabla_Promotor31[[#This Row],[GRUPO]] = 500,
        COUNTIF(Tabla_Promotor31[CREDENCIAL], Tabla_Promotor31[[#This Row],[CREDENCIAL]]) &gt; 1,
        COUNTIF(Tabla_Gerente[CREDENCIAL], Tabla_Promotor31[[#This Row],[CREDENCIAL]]) &gt; 1,
    ),
    0,
    IF(
        Tabla_Promotor31[[#This Row],[GRUPO]] = 503,
        Tabla_Promotor31[[#This Row],[PAGO]],
        IF(
            Tabla_Promotor31[[#This Row],[PAGO]] &gt;= 299,
            Tabla_Promotor31[[#This Row],[PAGO]] - 150,
            0
        )
    )
)</f>
        <v>550</v>
      </c>
      <c r="E9" s="125" t="s">
        <v>47</v>
      </c>
      <c r="F9" s="125" t="s">
        <v>259</v>
      </c>
      <c r="G9" s="127">
        <v>9382</v>
      </c>
      <c r="H9" s="131">
        <f>IFERROR(VLOOKUP(Tabla_Promotor31[[#This Row],[CREDENCIAL]], Tabla_Gerente[[CREDENCIAL]:[PAGO]], 7, FALSE), 0)</f>
        <v>700</v>
      </c>
      <c r="I9" s="132"/>
      <c r="J9" s="129"/>
      <c r="K9" s="129"/>
    </row>
    <row r="10" spans="1:11" x14ac:dyDescent="0.25">
      <c r="A10" s="124" t="s">
        <v>151</v>
      </c>
      <c r="B10" s="125">
        <v>20929</v>
      </c>
      <c r="C10" s="125" t="s">
        <v>215</v>
      </c>
      <c r="D10" s="126">
        <f>IF(
    OR(
        Tabla_Promotor31[[#This Row],[GRUPO]] = "",
        Tabla_Promotor31[[#This Row],[GRUPO]] = 500,
        COUNTIF(Tabla_Promotor31[CREDENCIAL], Tabla_Promotor31[[#This Row],[CREDENCIAL]]) &gt; 1,
        COUNTIF(Tabla_Gerente[CREDENCIAL], Tabla_Promotor31[[#This Row],[CREDENCIAL]]) &gt; 1,
    ),
    0,
    IF(
        Tabla_Promotor31[[#This Row],[GRUPO]] = 503,
        Tabla_Promotor31[[#This Row],[PAGO]],
        IF(
            Tabla_Promotor31[[#This Row],[PAGO]] &gt;= 299,
            Tabla_Promotor31[[#This Row],[PAGO]] - 150,
            0
        )
    )
)</f>
        <v>199</v>
      </c>
      <c r="E10" s="125" t="s">
        <v>47</v>
      </c>
      <c r="F10" s="125" t="s">
        <v>266</v>
      </c>
      <c r="G10" s="127">
        <v>9384</v>
      </c>
      <c r="H10" s="131">
        <f>IFERROR(VLOOKUP(Tabla_Promotor31[[#This Row],[CREDENCIAL]], Tabla_Gerente[[CREDENCIAL]:[PAGO]], 7, FALSE), 0)</f>
        <v>349</v>
      </c>
      <c r="I10" s="132"/>
      <c r="J10" s="129"/>
      <c r="K10" s="129"/>
    </row>
    <row r="11" spans="1:11" x14ac:dyDescent="0.25">
      <c r="A11" s="124" t="s">
        <v>151</v>
      </c>
      <c r="B11" s="125">
        <v>20951</v>
      </c>
      <c r="C11" s="125" t="s">
        <v>216</v>
      </c>
      <c r="D11" s="126">
        <f>IF(
    OR(
        Tabla_Promotor31[[#This Row],[GRUPO]] = "",
        Tabla_Promotor31[[#This Row],[GRUPO]] = 500,
        COUNTIF(Tabla_Promotor31[CREDENCIAL], Tabla_Promotor31[[#This Row],[CREDENCIAL]]) &gt; 1,
        COUNTIF(Tabla_Gerente[CREDENCIAL], Tabla_Promotor31[[#This Row],[CREDENCIAL]]) &gt; 1,
    ),
    0,
    IF(
        Tabla_Promotor31[[#This Row],[GRUPO]] = 503,
        Tabla_Promotor31[[#This Row],[PAGO]],
        IF(
            Tabla_Promotor31[[#This Row],[PAGO]] &gt;= 299,
            Tabla_Promotor31[[#This Row],[PAGO]] - 150,
            0
        )
    )
)</f>
        <v>149</v>
      </c>
      <c r="E11" s="125" t="s">
        <v>47</v>
      </c>
      <c r="F11" s="125" t="s">
        <v>267</v>
      </c>
      <c r="G11" s="127">
        <v>9374</v>
      </c>
      <c r="H11" s="131">
        <f>IFERROR(VLOOKUP(Tabla_Promotor31[[#This Row],[CREDENCIAL]], Tabla_Gerente[[CREDENCIAL]:[PAGO]], 7, FALSE), 0)</f>
        <v>299</v>
      </c>
      <c r="I11" s="132"/>
      <c r="J11" s="129"/>
      <c r="K11" s="129"/>
    </row>
    <row r="12" spans="1:11" x14ac:dyDescent="0.25">
      <c r="A12" s="124" t="s">
        <v>151</v>
      </c>
      <c r="B12" s="125">
        <v>20952</v>
      </c>
      <c r="C12" s="125" t="s">
        <v>217</v>
      </c>
      <c r="D12" s="126">
        <f>IF(
    OR(
        Tabla_Promotor31[[#This Row],[GRUPO]] = "",
        Tabla_Promotor31[[#This Row],[GRUPO]] = 500,
        COUNTIF(Tabla_Promotor31[CREDENCIAL], Tabla_Promotor31[[#This Row],[CREDENCIAL]]) &gt; 1,
        COUNTIF(Tabla_Gerente[CREDENCIAL], Tabla_Promotor31[[#This Row],[CREDENCIAL]]) &gt; 1,
    ),
    0,
    IF(
        Tabla_Promotor31[[#This Row],[GRUPO]] = 503,
        Tabla_Promotor31[[#This Row],[PAGO]],
        IF(
            Tabla_Promotor31[[#This Row],[PAGO]] &gt;= 299,
            Tabla_Promotor31[[#This Row],[PAGO]] - 150,
            0
        )
    )
)</f>
        <v>149</v>
      </c>
      <c r="E12" s="125" t="s">
        <v>47</v>
      </c>
      <c r="F12" s="125" t="s">
        <v>267</v>
      </c>
      <c r="G12" s="127">
        <v>9374</v>
      </c>
      <c r="H12" s="131">
        <f>IFERROR(VLOOKUP(Tabla_Promotor31[[#This Row],[CREDENCIAL]], Tabla_Gerente[[CREDENCIAL]:[PAGO]], 7, FALSE), 0)</f>
        <v>299</v>
      </c>
      <c r="I12" s="132"/>
      <c r="J12" s="129"/>
      <c r="K12" s="129"/>
    </row>
    <row r="13" spans="1:11" x14ac:dyDescent="0.25">
      <c r="A13" s="124" t="s">
        <v>50</v>
      </c>
      <c r="B13" s="125"/>
      <c r="C13" s="125"/>
      <c r="D13" s="126">
        <f>SUBTOTAL(109,Tabla_Promotor31[COMISION])</f>
        <v>1047</v>
      </c>
      <c r="E13" s="125"/>
      <c r="F13" s="125"/>
      <c r="G13" s="127"/>
      <c r="H13" s="131"/>
      <c r="I13" s="132"/>
      <c r="J13" s="129"/>
      <c r="K13" s="129"/>
    </row>
    <row r="14" spans="1:11" x14ac:dyDescent="0.25">
      <c r="A14" s="25"/>
      <c r="B14" s="14"/>
      <c r="C14" s="15"/>
      <c r="D14" s="54"/>
      <c r="E14" s="14"/>
      <c r="F14" s="14"/>
      <c r="G14" s="27"/>
      <c r="H14" s="55"/>
      <c r="I14" s="14"/>
      <c r="J14" s="16"/>
      <c r="K14" s="16"/>
    </row>
    <row r="15" spans="1:11" x14ac:dyDescent="0.25">
      <c r="A15" s="25" t="s">
        <v>13</v>
      </c>
      <c r="D15" s="74">
        <f>_xlfn.IFNA(VLOOKUP(Nombre_Promotor,Sueldos_Base[],2,FALSE),0)</f>
        <v>0</v>
      </c>
      <c r="E15" s="16"/>
      <c r="F15" s="15"/>
      <c r="H15" s="15"/>
      <c r="J15" s="24"/>
    </row>
    <row r="16" spans="1:11" ht="16.5" thickBot="1" x14ac:dyDescent="0.3">
      <c r="A16" s="37" t="s">
        <v>45</v>
      </c>
      <c r="B16" s="38">
        <f>IF(Total_Registros_Promotor &lt; Premios!A5, 0,
   VLOOKUP(Total_Registros_Promotor, Premios_Promotor[], 1, TRUE))</f>
        <v>4</v>
      </c>
      <c r="C16" s="34"/>
      <c r="D16" s="36">
        <f>IF(Premio_Promotor &gt; 0,
   VLOOKUP(Premio_Promotor, Premios_Promotor[],
      VLOOKUP(Total_Registros_Gerente, Tabulador_Premio_Promotor_Total_Gerencia[], 2, TRUE),
   FALSE),
   0)</f>
        <v>500</v>
      </c>
      <c r="E16" s="16"/>
      <c r="F16" s="15"/>
      <c r="H16" s="15"/>
      <c r="J16" s="24"/>
    </row>
    <row r="17" spans="1:11" x14ac:dyDescent="0.25">
      <c r="A17" s="27" t="s">
        <v>46</v>
      </c>
      <c r="B17" s="18"/>
      <c r="D17" s="28">
        <f>Tabla_Promotor31[[#Totals],[COMISION]] + Pago_Sueldo_Base_Promotor + Pago_Premio_Promotor</f>
        <v>1547</v>
      </c>
      <c r="E17" s="16"/>
      <c r="F17" s="15"/>
      <c r="H17" s="15"/>
      <c r="J17" s="24"/>
    </row>
    <row r="18" spans="1:11" x14ac:dyDescent="0.25">
      <c r="A18" s="27" t="s">
        <v>124</v>
      </c>
      <c r="B18" s="18"/>
      <c r="C18" s="29"/>
      <c r="D18" s="39">
        <f>_xlfn.IFNA(SUMIFS(Descuentos[DESCUENTO], Descuentos[COLABORADOR], Nombre_Promotor, Descuentos[PUESTO], Puesto_Promotor), 0)</f>
        <v>0</v>
      </c>
      <c r="E18" s="16" t="s">
        <v>127</v>
      </c>
      <c r="F18" s="15"/>
      <c r="H18" s="15"/>
      <c r="I18" s="18"/>
      <c r="J18" s="22"/>
      <c r="K18" s="22"/>
    </row>
    <row r="19" spans="1:11" ht="16.5" thickBot="1" x14ac:dyDescent="0.3">
      <c r="A19" s="35"/>
      <c r="C19" s="29"/>
      <c r="D19" s="28"/>
      <c r="E19" s="16"/>
      <c r="F19" s="15"/>
    </row>
    <row r="20" spans="1:11" ht="16.5" thickBot="1" x14ac:dyDescent="0.3">
      <c r="A20" s="37" t="s">
        <v>49</v>
      </c>
      <c r="B20" s="34"/>
      <c r="C20" s="50"/>
      <c r="D20" s="30">
        <f>Pago_Subtotal_Promotor + Descuento_Promotor</f>
        <v>1547</v>
      </c>
      <c r="E20" s="16"/>
      <c r="F20" s="15"/>
    </row>
    <row r="21" spans="1:11" x14ac:dyDescent="0.25">
      <c r="C21" s="29"/>
      <c r="D21" s="28"/>
      <c r="E21" s="26"/>
      <c r="F21" s="26"/>
    </row>
    <row r="22" spans="1:11" x14ac:dyDescent="0.25">
      <c r="C22" s="29"/>
      <c r="D22" s="28"/>
      <c r="E22" s="26"/>
      <c r="F22" s="26"/>
    </row>
    <row r="23" spans="1:11" ht="16.5" thickBot="1" x14ac:dyDescent="0.3">
      <c r="C23" s="37" t="s">
        <v>25</v>
      </c>
      <c r="D23" s="120" t="str" cm="1">
        <f t="array" ref="D23">NumeroATexto(Pago_Neto_Promotor)</f>
        <v>MIL QUINIENTOS CUARENTA Y SIETE PESOS 00/100</v>
      </c>
      <c r="E23" s="120"/>
      <c r="F23" s="120"/>
      <c r="G23" s="120"/>
      <c r="H23" s="120"/>
      <c r="I23" s="120"/>
    </row>
    <row r="24" spans="1:11" x14ac:dyDescent="0.25">
      <c r="C24" s="27"/>
      <c r="D24" s="26"/>
      <c r="E24" s="16"/>
      <c r="F24" s="15"/>
    </row>
    <row r="25" spans="1:11" x14ac:dyDescent="0.25">
      <c r="C25" s="29"/>
      <c r="D25" s="28"/>
    </row>
    <row r="26" spans="1:11" ht="16.5" thickBot="1" x14ac:dyDescent="0.3">
      <c r="C26" s="33" t="s">
        <v>26</v>
      </c>
      <c r="D26" s="121"/>
      <c r="E26" s="121"/>
      <c r="F26" s="121"/>
      <c r="G26" s="121"/>
      <c r="H26" s="121"/>
      <c r="I26" s="121"/>
    </row>
  </sheetData>
  <mergeCells count="4">
    <mergeCell ref="B1:D1"/>
    <mergeCell ref="B2:D2"/>
    <mergeCell ref="D23:I23"/>
    <mergeCell ref="D26:I26"/>
  </mergeCells>
  <conditionalFormatting sqref="D9:D12">
    <cfRule type="expression" dxfId="54" priority="1">
      <formula>$G9=501</formula>
    </cfRule>
    <cfRule type="cellIs" dxfId="53" priority="4" operator="equal">
      <formula>0</formula>
    </cfRule>
  </conditionalFormatting>
  <conditionalFormatting sqref="G9:G12">
    <cfRule type="cellIs" dxfId="52" priority="2" operator="equal">
      <formula>503</formula>
    </cfRule>
    <cfRule type="cellIs" dxfId="51" priority="3" operator="equal">
      <formula>501</formula>
    </cfRule>
  </conditionalFormatting>
  <conditionalFormatting sqref="B9:B12">
    <cfRule type="duplicateValues" dxfId="49" priority="503"/>
  </conditionalFormatting>
  <dataValidations count="4">
    <dataValidation type="date" allowBlank="1" showInputMessage="1" showErrorMessage="1" sqref="I9:I12" xr:uid="{4FA7C1B4-FF80-4916-8122-161E4D9BB2BD}">
      <formula1>B2</formula1>
      <formula2>D2</formula2>
    </dataValidation>
    <dataValidation type="custom" allowBlank="1" showInputMessage="1" showErrorMessage="1" sqref="G9:G12" xr:uid="{6F5041CA-C06E-4E1A-B83B-96F287BE9A65}">
      <formula1>G9&lt;&gt;500</formula1>
    </dataValidation>
    <dataValidation type="list" allowBlank="1" showInputMessage="1" showErrorMessage="1" sqref="E9:E12" xr:uid="{DD6BAFEE-E48C-4836-BE32-DA1270BB771D}">
      <formula1>Nombres_Planteles</formula1>
    </dataValidation>
    <dataValidation type="list" allowBlank="1" showInputMessage="1" showErrorMessage="1" sqref="B1" xr:uid="{0316B074-B9A3-4DE6-A40A-3B1E0625DA2B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7A99C35-B9F6-4E57-A40A-A3A15F77EE12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988B1F-30CA-4E85-A875-A1826CE61A16}">
          <x14:formula1>
            <xm:f>Planteles!$A$4:$A$15</xm:f>
          </x14:formula1>
          <xm:sqref>J9:J12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E097-76E3-4F26-B2E9-272FE90FB447}">
  <sheetPr codeName="Sheet11">
    <tabColor rgb="FF00B050"/>
    <pageSetUpPr fitToPage="1"/>
  </sheetPr>
  <dimension ref="A1:K38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4" style="13" bestFit="1" customWidth="1"/>
    <col min="4" max="4" width="16.42578125" style="13" bestFit="1" customWidth="1"/>
    <col min="5" max="5" width="14.140625" style="13" bestFit="1" customWidth="1"/>
    <col min="6" max="6" width="18.425781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147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COUNTIFS(Tabla_Promotor30[GRUPO], "&lt;&gt;",
          Tabla_Promotor30[GRUPO], "&lt;&gt;503",
          Tabla_Promotor30[GRUPO], "&lt;&gt;500")</f>
        <v>16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152</v>
      </c>
      <c r="B9" s="125">
        <v>18590</v>
      </c>
      <c r="C9" s="125" t="s">
        <v>198</v>
      </c>
      <c r="D9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9" s="125" t="s">
        <v>47</v>
      </c>
      <c r="F9" s="125" t="s">
        <v>257</v>
      </c>
      <c r="G9" s="127">
        <v>9231</v>
      </c>
      <c r="H9" s="131">
        <f>IFERROR(VLOOKUP(Tabla_Promotor30[[#This Row],[CREDENCIAL]], Tabla_Gerente[[CREDENCIAL]:[PAGO]], 7, FALSE), 0)</f>
        <v>399</v>
      </c>
      <c r="I9" s="132">
        <v>45742</v>
      </c>
      <c r="J9" s="129"/>
      <c r="K9" s="129"/>
    </row>
    <row r="10" spans="1:11" x14ac:dyDescent="0.25">
      <c r="A10" s="124" t="s">
        <v>152</v>
      </c>
      <c r="B10" s="125">
        <v>20898</v>
      </c>
      <c r="C10" s="125" t="s">
        <v>199</v>
      </c>
      <c r="D10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0" s="125" t="s">
        <v>47</v>
      </c>
      <c r="F10" s="125" t="s">
        <v>259</v>
      </c>
      <c r="G10" s="127">
        <v>9380</v>
      </c>
      <c r="H10" s="131">
        <f>IFERROR(VLOOKUP(Tabla_Promotor30[[#This Row],[CREDENCIAL]], Tabla_Gerente[[CREDENCIAL]:[PAGO]], 7, FALSE), 0)</f>
        <v>399</v>
      </c>
      <c r="I10" s="132"/>
      <c r="J10" s="129"/>
      <c r="K10" s="129"/>
    </row>
    <row r="11" spans="1:11" x14ac:dyDescent="0.25">
      <c r="A11" s="124" t="s">
        <v>152</v>
      </c>
      <c r="B11" s="125">
        <v>20899</v>
      </c>
      <c r="C11" s="125" t="s">
        <v>200</v>
      </c>
      <c r="D11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1" s="125" t="s">
        <v>47</v>
      </c>
      <c r="F11" s="125" t="s">
        <v>259</v>
      </c>
      <c r="G11" s="127">
        <v>9380</v>
      </c>
      <c r="H11" s="131">
        <f>IFERROR(VLOOKUP(Tabla_Promotor30[[#This Row],[CREDENCIAL]], Tabla_Gerente[[CREDENCIAL]:[PAGO]], 7, FALSE), 0)</f>
        <v>399</v>
      </c>
      <c r="I11" s="132"/>
      <c r="J11" s="129"/>
      <c r="K11" s="129"/>
    </row>
    <row r="12" spans="1:11" x14ac:dyDescent="0.25">
      <c r="A12" s="124" t="s">
        <v>152</v>
      </c>
      <c r="B12" s="125">
        <v>20901</v>
      </c>
      <c r="C12" s="125" t="s">
        <v>201</v>
      </c>
      <c r="D12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2" s="125" t="s">
        <v>47</v>
      </c>
      <c r="F12" s="125" t="s">
        <v>260</v>
      </c>
      <c r="G12" s="127">
        <v>9391</v>
      </c>
      <c r="H12" s="131">
        <f>IFERROR(VLOOKUP(Tabla_Promotor30[[#This Row],[CREDENCIAL]], Tabla_Gerente[[CREDENCIAL]:[PAGO]], 7, FALSE), 0)</f>
        <v>399</v>
      </c>
      <c r="I12" s="132"/>
      <c r="J12" s="129"/>
      <c r="K12" s="129"/>
    </row>
    <row r="13" spans="1:11" x14ac:dyDescent="0.25">
      <c r="A13" s="124" t="s">
        <v>152</v>
      </c>
      <c r="B13" s="125">
        <v>20902</v>
      </c>
      <c r="C13" s="125" t="s">
        <v>202</v>
      </c>
      <c r="D13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3" s="125" t="s">
        <v>47</v>
      </c>
      <c r="F13" s="125" t="s">
        <v>260</v>
      </c>
      <c r="G13" s="127">
        <v>9391</v>
      </c>
      <c r="H13" s="131">
        <f>IFERROR(VLOOKUP(Tabla_Promotor30[[#This Row],[CREDENCIAL]], Tabla_Gerente[[CREDENCIAL]:[PAGO]], 7, FALSE), 0)</f>
        <v>399</v>
      </c>
      <c r="I13" s="132"/>
      <c r="J13" s="129"/>
      <c r="K13" s="129"/>
    </row>
    <row r="14" spans="1:11" x14ac:dyDescent="0.25">
      <c r="A14" s="124" t="s">
        <v>152</v>
      </c>
      <c r="B14" s="125">
        <v>20909</v>
      </c>
      <c r="C14" s="125" t="s">
        <v>203</v>
      </c>
      <c r="D14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200</v>
      </c>
      <c r="E14" s="125" t="s">
        <v>47</v>
      </c>
      <c r="F14" s="125" t="s">
        <v>261</v>
      </c>
      <c r="G14" s="127">
        <v>9378</v>
      </c>
      <c r="H14" s="131">
        <f>IFERROR(VLOOKUP(Tabla_Promotor30[[#This Row],[CREDENCIAL]], Tabla_Gerente[[CREDENCIAL]:[PAGO]], 7, FALSE), 0)</f>
        <v>350</v>
      </c>
      <c r="I14" s="132"/>
      <c r="J14" s="129"/>
      <c r="K14" s="129"/>
    </row>
    <row r="15" spans="1:11" x14ac:dyDescent="0.25">
      <c r="A15" s="124" t="s">
        <v>152</v>
      </c>
      <c r="B15" s="125">
        <v>20910</v>
      </c>
      <c r="C15" s="125" t="s">
        <v>204</v>
      </c>
      <c r="D15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199</v>
      </c>
      <c r="E15" s="125" t="s">
        <v>47</v>
      </c>
      <c r="F15" s="125" t="s">
        <v>259</v>
      </c>
      <c r="G15" s="127">
        <v>9376</v>
      </c>
      <c r="H15" s="131">
        <f>IFERROR(VLOOKUP(Tabla_Promotor30[[#This Row],[CREDENCIAL]], Tabla_Gerente[[CREDENCIAL]:[PAGO]], 7, FALSE), 0)</f>
        <v>349</v>
      </c>
      <c r="I15" s="132"/>
      <c r="J15" s="129"/>
      <c r="K15" s="129"/>
    </row>
    <row r="16" spans="1:11" x14ac:dyDescent="0.25">
      <c r="A16" s="124" t="s">
        <v>152</v>
      </c>
      <c r="B16" s="125">
        <v>20919</v>
      </c>
      <c r="C16" s="125" t="s">
        <v>205</v>
      </c>
      <c r="D16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6" s="125" t="s">
        <v>47</v>
      </c>
      <c r="F16" s="125" t="s">
        <v>262</v>
      </c>
      <c r="G16" s="127">
        <v>9388</v>
      </c>
      <c r="H16" s="131">
        <f>IFERROR(VLOOKUP(Tabla_Promotor30[[#This Row],[CREDENCIAL]], Tabla_Gerente[[CREDENCIAL]:[PAGO]], 7, FALSE), 0)</f>
        <v>399</v>
      </c>
      <c r="I16" s="132"/>
      <c r="J16" s="129"/>
      <c r="K16" s="129"/>
    </row>
    <row r="17" spans="1:11" x14ac:dyDescent="0.25">
      <c r="A17" s="124" t="s">
        <v>152</v>
      </c>
      <c r="B17" s="125">
        <v>20923</v>
      </c>
      <c r="C17" s="125" t="s">
        <v>206</v>
      </c>
      <c r="D17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7" s="125" t="s">
        <v>47</v>
      </c>
      <c r="F17" s="125" t="s">
        <v>259</v>
      </c>
      <c r="G17" s="127">
        <v>9377</v>
      </c>
      <c r="H17" s="131">
        <f>IFERROR(VLOOKUP(Tabla_Promotor30[[#This Row],[CREDENCIAL]], Tabla_Gerente[[CREDENCIAL]:[PAGO]], 7, FALSE), 0)</f>
        <v>399</v>
      </c>
      <c r="I17" s="132"/>
      <c r="J17" s="129"/>
      <c r="K17" s="129"/>
    </row>
    <row r="18" spans="1:11" x14ac:dyDescent="0.25">
      <c r="A18" s="124" t="s">
        <v>152</v>
      </c>
      <c r="B18" s="125">
        <v>20930</v>
      </c>
      <c r="C18" s="125" t="s">
        <v>207</v>
      </c>
      <c r="D18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8" s="125" t="s">
        <v>47</v>
      </c>
      <c r="F18" s="125" t="s">
        <v>263</v>
      </c>
      <c r="G18" s="127">
        <v>9389</v>
      </c>
      <c r="H18" s="131">
        <f>IFERROR(VLOOKUP(Tabla_Promotor30[[#This Row],[CREDENCIAL]], Tabla_Gerente[[CREDENCIAL]:[PAGO]], 7, FALSE), 0)</f>
        <v>399</v>
      </c>
      <c r="I18" s="132"/>
      <c r="J18" s="129"/>
      <c r="K18" s="129"/>
    </row>
    <row r="19" spans="1:11" x14ac:dyDescent="0.25">
      <c r="A19" s="124" t="s">
        <v>152</v>
      </c>
      <c r="B19" s="125">
        <v>20932</v>
      </c>
      <c r="C19" s="125" t="s">
        <v>208</v>
      </c>
      <c r="D19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19" s="125" t="s">
        <v>47</v>
      </c>
      <c r="F19" s="125" t="s">
        <v>264</v>
      </c>
      <c r="G19" s="127">
        <v>9187</v>
      </c>
      <c r="H19" s="131">
        <f>IFERROR(VLOOKUP(Tabla_Promotor30[[#This Row],[CREDENCIAL]], Tabla_Gerente[[CREDENCIAL]:[PAGO]], 7, FALSE), 0)</f>
        <v>399</v>
      </c>
      <c r="I19" s="132"/>
      <c r="J19" s="129"/>
      <c r="K19" s="129"/>
    </row>
    <row r="20" spans="1:11" x14ac:dyDescent="0.25">
      <c r="A20" s="124" t="s">
        <v>152</v>
      </c>
      <c r="B20" s="125">
        <v>20934</v>
      </c>
      <c r="C20" s="125" t="s">
        <v>209</v>
      </c>
      <c r="D20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20" s="125" t="s">
        <v>47</v>
      </c>
      <c r="F20" s="125" t="s">
        <v>262</v>
      </c>
      <c r="G20" s="127">
        <v>9384</v>
      </c>
      <c r="H20" s="131">
        <f>IFERROR(VLOOKUP(Tabla_Promotor30[[#This Row],[CREDENCIAL]], Tabla_Gerente[[CREDENCIAL]:[PAGO]], 7, FALSE), 0)</f>
        <v>399</v>
      </c>
      <c r="I20" s="132"/>
      <c r="J20" s="129"/>
      <c r="K20" s="129"/>
    </row>
    <row r="21" spans="1:11" x14ac:dyDescent="0.25">
      <c r="A21" s="124" t="s">
        <v>152</v>
      </c>
      <c r="B21" s="125">
        <v>20938</v>
      </c>
      <c r="C21" s="125" t="s">
        <v>210</v>
      </c>
      <c r="D21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199</v>
      </c>
      <c r="E21" s="125" t="s">
        <v>47</v>
      </c>
      <c r="F21" s="125" t="s">
        <v>264</v>
      </c>
      <c r="G21" s="127">
        <v>9044</v>
      </c>
      <c r="H21" s="131">
        <f>IFERROR(VLOOKUP(Tabla_Promotor30[[#This Row],[CREDENCIAL]], Tabla_Gerente[[CREDENCIAL]:[PAGO]], 7, FALSE), 0)</f>
        <v>349</v>
      </c>
      <c r="I21" s="132"/>
      <c r="J21" s="129"/>
      <c r="K21" s="129"/>
    </row>
    <row r="22" spans="1:11" x14ac:dyDescent="0.25">
      <c r="A22" s="124" t="s">
        <v>152</v>
      </c>
      <c r="B22" s="125">
        <v>20945</v>
      </c>
      <c r="C22" s="125" t="s">
        <v>211</v>
      </c>
      <c r="D22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249</v>
      </c>
      <c r="E22" s="125" t="s">
        <v>47</v>
      </c>
      <c r="F22" s="125" t="s">
        <v>259</v>
      </c>
      <c r="G22" s="127">
        <v>9371</v>
      </c>
      <c r="H22" s="131">
        <f>IFERROR(VLOOKUP(Tabla_Promotor30[[#This Row],[CREDENCIAL]], Tabla_Gerente[[CREDENCIAL]:[PAGO]], 7, FALSE), 0)</f>
        <v>399</v>
      </c>
      <c r="I22" s="132"/>
      <c r="J22" s="129"/>
      <c r="K22" s="129"/>
    </row>
    <row r="23" spans="1:11" x14ac:dyDescent="0.25">
      <c r="A23" s="124" t="s">
        <v>152</v>
      </c>
      <c r="B23" s="125">
        <v>50339</v>
      </c>
      <c r="C23" s="125" t="s">
        <v>212</v>
      </c>
      <c r="D23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550</v>
      </c>
      <c r="E23" s="125" t="s">
        <v>47</v>
      </c>
      <c r="F23" s="125" t="s">
        <v>265</v>
      </c>
      <c r="G23" s="127">
        <v>100</v>
      </c>
      <c r="H23" s="131">
        <f>IFERROR(VLOOKUP(Tabla_Promotor30[[#This Row],[CREDENCIAL]], Tabla_Gerente[[CREDENCIAL]:[PAGO]], 7, FALSE), 0)</f>
        <v>700</v>
      </c>
      <c r="I23" s="132"/>
      <c r="J23" s="129"/>
      <c r="K23" s="129"/>
    </row>
    <row r="24" spans="1:11" x14ac:dyDescent="0.25">
      <c r="A24" s="124" t="s">
        <v>152</v>
      </c>
      <c r="B24" s="125">
        <v>20957</v>
      </c>
      <c r="C24" s="125" t="s">
        <v>213</v>
      </c>
      <c r="D24" s="126">
        <f>IF(
    OR(
        Tabla_Promotor30[[#This Row],[GRUPO]] = "",
        Tabla_Promotor30[[#This Row],[GRUPO]] = 500,
        COUNTIF(Tabla_Promotor30[CREDENCIAL], Tabla_Promotor30[[#This Row],[CREDENCIAL]]) &gt; 1,
        COUNTIF(Tabla_Gerente[CREDENCIAL], Tabla_Promotor30[[#This Row],[CREDENCIAL]]) &gt; 1,
    ),
    0,
    IF(
        Tabla_Promotor30[[#This Row],[GRUPO]] = 503,
        Tabla_Promotor30[[#This Row],[PAGO]],
        IF(
            Tabla_Promotor30[[#This Row],[PAGO]] &gt;= 299,
            Tabla_Promotor30[[#This Row],[PAGO]] - 150,
            0
        )
    )
)</f>
        <v>149</v>
      </c>
      <c r="E24" s="125" t="s">
        <v>47</v>
      </c>
      <c r="F24" s="125" t="s">
        <v>262</v>
      </c>
      <c r="G24" s="127">
        <v>9384</v>
      </c>
      <c r="H24" s="131">
        <f>IFERROR(VLOOKUP(Tabla_Promotor30[[#This Row],[CREDENCIAL]], Tabla_Gerente[[CREDENCIAL]:[PAGO]], 7, FALSE), 0)</f>
        <v>299</v>
      </c>
      <c r="I24" s="132"/>
      <c r="J24" s="129"/>
      <c r="K24" s="129"/>
    </row>
    <row r="25" spans="1:11" x14ac:dyDescent="0.25">
      <c r="A25" s="124" t="s">
        <v>50</v>
      </c>
      <c r="B25" s="125"/>
      <c r="C25" s="125"/>
      <c r="D25" s="126">
        <f>SUBTOTAL(109,Tabla_Promotor30[COMISION])</f>
        <v>4036</v>
      </c>
      <c r="E25" s="125"/>
      <c r="F25" s="125"/>
      <c r="G25" s="127"/>
      <c r="H25" s="131"/>
      <c r="I25" s="132"/>
      <c r="J25" s="129"/>
      <c r="K25" s="129"/>
    </row>
    <row r="26" spans="1:11" x14ac:dyDescent="0.25">
      <c r="A26" s="25"/>
      <c r="B26" s="14"/>
      <c r="C26" s="15"/>
      <c r="D26" s="54"/>
      <c r="E26" s="14"/>
      <c r="F26" s="14"/>
      <c r="G26" s="27"/>
      <c r="H26" s="55"/>
      <c r="I26" s="14"/>
      <c r="J26" s="16"/>
      <c r="K26" s="16"/>
    </row>
    <row r="27" spans="1:11" x14ac:dyDescent="0.25">
      <c r="A27" s="25" t="s">
        <v>13</v>
      </c>
      <c r="D27" s="74">
        <f>_xlfn.IFNA(VLOOKUP(Nombre_Promotor,Sueldos_Base[],2,FALSE),0)</f>
        <v>0</v>
      </c>
      <c r="E27" s="16"/>
      <c r="F27" s="15"/>
      <c r="H27" s="15"/>
      <c r="J27" s="24"/>
    </row>
    <row r="28" spans="1:11" ht="16.5" thickBot="1" x14ac:dyDescent="0.3">
      <c r="A28" s="37" t="s">
        <v>45</v>
      </c>
      <c r="B28" s="38">
        <f>IF(Total_Registros_Promotor &lt; Premios!A5, 0,
   VLOOKUP(Total_Registros_Promotor, Premios_Promotor[], 1, TRUE))</f>
        <v>15</v>
      </c>
      <c r="C28" s="34"/>
      <c r="D28" s="36">
        <f>IF(Premio_Promotor &gt; 0,
   VLOOKUP(Premio_Promotor, Premios_Promotor[],
      VLOOKUP(Total_Registros_Gerente, Tabulador_Premio_Promotor_Total_Gerencia[], 2, TRUE),
   FALSE),
   0)</f>
        <v>2000</v>
      </c>
      <c r="E28" s="16"/>
      <c r="F28" s="15"/>
      <c r="H28" s="15"/>
      <c r="J28" s="24"/>
    </row>
    <row r="29" spans="1:11" x14ac:dyDescent="0.25">
      <c r="A29" s="27" t="s">
        <v>46</v>
      </c>
      <c r="B29" s="18"/>
      <c r="D29" s="28">
        <f>Tabla_Promotor30[[#Totals],[COMISION]] + Pago_Sueldo_Base_Promotor + Pago_Premio_Promotor</f>
        <v>6036</v>
      </c>
      <c r="E29" s="16"/>
      <c r="F29" s="15"/>
      <c r="H29" s="15"/>
      <c r="J29" s="24"/>
    </row>
    <row r="30" spans="1:11" x14ac:dyDescent="0.25">
      <c r="A30" s="27" t="s">
        <v>124</v>
      </c>
      <c r="B30" s="18"/>
      <c r="C30" s="29"/>
      <c r="D30" s="39">
        <f>_xlfn.IFNA(SUMIFS(Descuentos[DESCUENTO], Descuentos[COLABORADOR], Nombre_Promotor, Descuentos[PUESTO], Puesto_Promotor), 0)</f>
        <v>0</v>
      </c>
      <c r="E30" s="16" t="s">
        <v>127</v>
      </c>
      <c r="F30" s="15"/>
      <c r="H30" s="15"/>
      <c r="I30" s="18"/>
      <c r="J30" s="22"/>
      <c r="K30" s="22"/>
    </row>
    <row r="31" spans="1:11" ht="16.5" thickBot="1" x14ac:dyDescent="0.3">
      <c r="A31" s="35"/>
      <c r="C31" s="29"/>
      <c r="D31" s="28"/>
      <c r="E31" s="16"/>
      <c r="F31" s="15"/>
    </row>
    <row r="32" spans="1:11" ht="16.5" thickBot="1" x14ac:dyDescent="0.3">
      <c r="A32" s="37" t="s">
        <v>49</v>
      </c>
      <c r="B32" s="34"/>
      <c r="C32" s="50"/>
      <c r="D32" s="30">
        <f>Pago_Subtotal_Promotor + Descuento_Promotor</f>
        <v>6036</v>
      </c>
      <c r="E32" s="16"/>
      <c r="F32" s="15"/>
    </row>
    <row r="33" spans="3:9" x14ac:dyDescent="0.25">
      <c r="C33" s="29"/>
      <c r="D33" s="28"/>
      <c r="E33" s="26"/>
      <c r="F33" s="26"/>
    </row>
    <row r="34" spans="3:9" x14ac:dyDescent="0.25">
      <c r="C34" s="29"/>
      <c r="D34" s="28"/>
      <c r="E34" s="26"/>
      <c r="F34" s="26"/>
    </row>
    <row r="35" spans="3:9" ht="16.5" thickBot="1" x14ac:dyDescent="0.3">
      <c r="C35" s="37" t="s">
        <v>25</v>
      </c>
      <c r="D35" s="120" t="str" cm="1">
        <f t="array" ref="D35">NumeroATexto(Pago_Neto_Promotor)</f>
        <v>SEIS MIL TREINTA Y SEIS PESOS 00/100</v>
      </c>
      <c r="E35" s="120"/>
      <c r="F35" s="120"/>
      <c r="G35" s="120"/>
      <c r="H35" s="120"/>
      <c r="I35" s="120"/>
    </row>
    <row r="36" spans="3:9" x14ac:dyDescent="0.25">
      <c r="C36" s="27"/>
      <c r="D36" s="26"/>
      <c r="E36" s="16"/>
      <c r="F36" s="15"/>
    </row>
    <row r="37" spans="3:9" x14ac:dyDescent="0.25">
      <c r="C37" s="29"/>
      <c r="D37" s="28"/>
    </row>
    <row r="38" spans="3:9" ht="16.5" thickBot="1" x14ac:dyDescent="0.3">
      <c r="C38" s="33" t="s">
        <v>26</v>
      </c>
      <c r="D38" s="121"/>
      <c r="E38" s="121"/>
      <c r="F38" s="121"/>
      <c r="G38" s="121"/>
      <c r="H38" s="121"/>
      <c r="I38" s="121"/>
    </row>
  </sheetData>
  <mergeCells count="4">
    <mergeCell ref="B1:D1"/>
    <mergeCell ref="B2:D2"/>
    <mergeCell ref="D35:I35"/>
    <mergeCell ref="D38:I38"/>
  </mergeCells>
  <conditionalFormatting sqref="D9:D24">
    <cfRule type="expression" dxfId="48" priority="1">
      <formula>$G9=501</formula>
    </cfRule>
    <cfRule type="cellIs" dxfId="47" priority="4" operator="equal">
      <formula>0</formula>
    </cfRule>
  </conditionalFormatting>
  <conditionalFormatting sqref="G9:G24">
    <cfRule type="cellIs" dxfId="46" priority="2" operator="equal">
      <formula>503</formula>
    </cfRule>
    <cfRule type="cellIs" dxfId="45" priority="3" operator="equal">
      <formula>501</formula>
    </cfRule>
  </conditionalFormatting>
  <conditionalFormatting sqref="B9:B24">
    <cfRule type="duplicateValues" dxfId="43" priority="500"/>
  </conditionalFormatting>
  <dataValidations count="4">
    <dataValidation type="date" allowBlank="1" showInputMessage="1" showErrorMessage="1" sqref="I9:I24" xr:uid="{2D445E89-0C78-4E3F-9F3E-9A59CE5CCF63}">
      <formula1>B2</formula1>
      <formula2>D2</formula2>
    </dataValidation>
    <dataValidation type="custom" allowBlank="1" showInputMessage="1" showErrorMessage="1" sqref="G9:G24" xr:uid="{70932BA4-9860-4C20-82B2-C635BDF89906}">
      <formula1>G9&lt;&gt;500</formula1>
    </dataValidation>
    <dataValidation type="list" allowBlank="1" showInputMessage="1" showErrorMessage="1" sqref="E9:E24" xr:uid="{3C97B93D-C8DF-405E-BE62-C7B4634D2433}">
      <formula1>Nombres_Planteles</formula1>
    </dataValidation>
    <dataValidation type="list" allowBlank="1" showInputMessage="1" showErrorMessage="1" sqref="B1" xr:uid="{C43BCAFA-44EC-45DC-9654-002E05BD0B9D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F407D47-7FDE-4ACB-BEB3-4B9299C55B3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3AC986-630A-4170-9724-1B307C5F5B39}">
          <x14:formula1>
            <xm:f>Planteles!$A$4:$A$15</xm:f>
          </x14:formula1>
          <xm:sqref>J9:J24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78B9-08CE-43B7-A65D-7BF16A1A2AF3}">
  <sheetPr codeName="Sheet10">
    <tabColor rgb="FF0070C0"/>
  </sheetPr>
  <dimension ref="A1:P58"/>
  <sheetViews>
    <sheetView tabSelected="1" workbookViewId="0">
      <selection activeCell="A9" sqref="A9:K38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5.42578125" style="13" bestFit="1" customWidth="1"/>
    <col min="4" max="4" width="16.42578125" style="13" bestFit="1" customWidth="1"/>
    <col min="5" max="5" width="14.140625" style="13" bestFit="1" customWidth="1"/>
    <col min="6" max="6" width="21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15.140625" style="13" bestFit="1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8" t="s">
        <v>136</v>
      </c>
      <c r="C1" s="118"/>
      <c r="D1" s="118"/>
      <c r="F1" s="43" t="s">
        <v>120</v>
      </c>
      <c r="G1" s="46" t="s">
        <v>6</v>
      </c>
      <c r="I1" s="31" t="s">
        <v>59</v>
      </c>
      <c r="J1" s="34">
        <f>Total_Registros_Gerente</f>
        <v>61</v>
      </c>
      <c r="M1" s="83"/>
      <c r="N1" s="83"/>
      <c r="P1" s="81" t="s">
        <v>0</v>
      </c>
    </row>
    <row r="2" spans="1:16" ht="16.5" thickBot="1" x14ac:dyDescent="0.3">
      <c r="A2" s="43" t="s">
        <v>31</v>
      </c>
      <c r="B2" s="119"/>
      <c r="C2" s="119"/>
      <c r="D2" s="119"/>
      <c r="M2" s="83"/>
      <c r="N2" s="83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>DAMIAN BRAVO</v>
      </c>
    </row>
    <row r="3" spans="1:16" ht="16.5" thickBot="1" x14ac:dyDescent="0.3">
      <c r="A3" s="43" t="s">
        <v>29</v>
      </c>
      <c r="B3" s="56">
        <v>45736</v>
      </c>
      <c r="C3" s="45" t="s">
        <v>30</v>
      </c>
      <c r="D3" s="57">
        <v>45743</v>
      </c>
      <c r="F3" s="20"/>
      <c r="G3" s="21"/>
      <c r="I3" s="16"/>
      <c r="M3" s="83"/>
      <c r="N3" s="83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>EFRAIN CORTES</v>
      </c>
    </row>
    <row r="4" spans="1:16" ht="16.5" thickBot="1" x14ac:dyDescent="0.3">
      <c r="A4" s="43" t="s">
        <v>17</v>
      </c>
      <c r="B4" s="108" cm="1">
        <f t="array" ref="B4">IF(COUNTA(Tabla_Coordinador29[GRUPO]) = 0, 0,
   COUNTIFS(Tabla_Coordinador29[GRUPO], "&lt;&gt;",
            Tabla_Coordinador29[GRUPO], "&lt;&gt;503",
            Tabla_Coordinador29[GRUPO], "&lt;&gt;500",
            Tabla_Coordinador29[PAGO], "&gt;=299")
   - SUMPRODUCT(COUNTIF(Tabla_Gerente[CREDENCIAL], Tabla_Coordinador29[CREDENCIAL]) - 1))</f>
        <v>30</v>
      </c>
      <c r="C4" s="17"/>
      <c r="F4" s="18"/>
      <c r="G4" s="18"/>
      <c r="H4" s="17"/>
      <c r="I4" s="31" t="s">
        <v>48</v>
      </c>
      <c r="J4" s="79">
        <v>0</v>
      </c>
      <c r="K4" s="19"/>
      <c r="M4" s="83"/>
      <c r="N4" s="83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>ENRIQUE OJEDA</v>
      </c>
    </row>
    <row r="5" spans="1:16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>HUGO PACHECO</v>
      </c>
    </row>
    <row r="6" spans="1:16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  <c r="M6" s="82"/>
      <c r="N6" s="82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>OLIVIA PACHECO (P)</v>
      </c>
    </row>
    <row r="7" spans="1:16" x14ac:dyDescent="0.25">
      <c r="M7" s="82"/>
      <c r="N7" s="82"/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M8" s="82"/>
      <c r="N8" s="82"/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24" t="s">
        <v>132</v>
      </c>
      <c r="B9" s="125">
        <v>20917</v>
      </c>
      <c r="C9" s="125" t="s">
        <v>241</v>
      </c>
      <c r="D9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9" s="125" t="s">
        <v>47</v>
      </c>
      <c r="F9" s="125" t="s">
        <v>272</v>
      </c>
      <c r="G9" s="127">
        <v>501</v>
      </c>
      <c r="H9" s="117">
        <f>IFERROR(VLOOKUP(Tabla_Coordinador29[[#This Row],[CREDENCIAL]], Tabla_Gerente[[CREDENCIAL]:[PAGO]], 7, FALSE), 0)</f>
        <v>350</v>
      </c>
      <c r="I9" s="128">
        <v>45738</v>
      </c>
      <c r="J9" s="129"/>
      <c r="K9" s="129"/>
      <c r="M9" s="82"/>
      <c r="N9" s="82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124" t="s">
        <v>132</v>
      </c>
      <c r="B10" s="125">
        <v>20933</v>
      </c>
      <c r="C10" s="125" t="s">
        <v>242</v>
      </c>
      <c r="D10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10" s="125" t="s">
        <v>47</v>
      </c>
      <c r="F10" s="125" t="s">
        <v>281</v>
      </c>
      <c r="G10" s="127">
        <v>501</v>
      </c>
      <c r="H10" s="117">
        <f>IFERROR(VLOOKUP(Tabla_Coordinador29[[#This Row],[CREDENCIAL]], Tabla_Gerente[[CREDENCIAL]:[PAGO]], 7, FALSE), 0)</f>
        <v>350</v>
      </c>
      <c r="I10" s="128">
        <v>45740</v>
      </c>
      <c r="J10" s="129"/>
      <c r="K10" s="129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ROWS($B$2:B39))), "")</f>
        <v/>
      </c>
    </row>
    <row r="11" spans="1:16" x14ac:dyDescent="0.25">
      <c r="A11" s="124" t="s">
        <v>132</v>
      </c>
      <c r="B11" s="125">
        <v>20936</v>
      </c>
      <c r="C11" s="125" t="s">
        <v>243</v>
      </c>
      <c r="D11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11" s="125" t="s">
        <v>47</v>
      </c>
      <c r="F11" s="125" t="s">
        <v>272</v>
      </c>
      <c r="G11" s="127">
        <v>501</v>
      </c>
      <c r="H11" s="117">
        <f>IFERROR(VLOOKUP(Tabla_Coordinador29[[#This Row],[CREDENCIAL]], Tabla_Gerente[[CREDENCIAL]:[PAGO]], 7, FALSE), 0)</f>
        <v>399</v>
      </c>
      <c r="I11" s="128">
        <v>45741</v>
      </c>
      <c r="J11" s="129"/>
      <c r="K11" s="129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ROWS($B$2:B40))), "")</f>
        <v/>
      </c>
    </row>
    <row r="12" spans="1:16" x14ac:dyDescent="0.25">
      <c r="A12" s="124" t="s">
        <v>132</v>
      </c>
      <c r="B12" s="125">
        <v>20937</v>
      </c>
      <c r="C12" s="125" t="s">
        <v>244</v>
      </c>
      <c r="D12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2" s="125" t="s">
        <v>47</v>
      </c>
      <c r="F12" s="125" t="s">
        <v>274</v>
      </c>
      <c r="G12" s="127">
        <v>9380</v>
      </c>
      <c r="H12" s="117">
        <f>IFERROR(VLOOKUP(Tabla_Coordinador29[[#This Row],[CREDENCIAL]], Tabla_Gerente[[CREDENCIAL]:[PAGO]], 7, FALSE), 0)</f>
        <v>400</v>
      </c>
      <c r="I12" s="128">
        <v>45741</v>
      </c>
      <c r="J12" s="129"/>
      <c r="K12" s="129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ROWS($B$2:B41))), "")</f>
        <v/>
      </c>
    </row>
    <row r="13" spans="1:16" x14ac:dyDescent="0.25">
      <c r="A13" s="124" t="s">
        <v>132</v>
      </c>
      <c r="B13" s="125">
        <v>20955</v>
      </c>
      <c r="C13" s="125" t="s">
        <v>245</v>
      </c>
      <c r="D13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3" s="125" t="s">
        <v>47</v>
      </c>
      <c r="F13" s="125" t="s">
        <v>262</v>
      </c>
      <c r="G13" s="127">
        <v>9384</v>
      </c>
      <c r="H13" s="117">
        <f>IFERROR(VLOOKUP(Tabla_Coordinador29[[#This Row],[CREDENCIAL]], Tabla_Gerente[[CREDENCIAL]:[PAGO]], 7, FALSE), 0)</f>
        <v>399</v>
      </c>
      <c r="I13" s="128">
        <v>45742</v>
      </c>
      <c r="J13" s="129"/>
      <c r="K13" s="129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ROWS($B$2:B42))), "")</f>
        <v/>
      </c>
    </row>
    <row r="14" spans="1:16" x14ac:dyDescent="0.25">
      <c r="A14" s="124" t="s">
        <v>132</v>
      </c>
      <c r="B14" s="125">
        <v>20949</v>
      </c>
      <c r="C14" s="125" t="s">
        <v>246</v>
      </c>
      <c r="D14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4" s="125" t="s">
        <v>47</v>
      </c>
      <c r="F14" s="125" t="s">
        <v>272</v>
      </c>
      <c r="G14" s="127">
        <v>9386</v>
      </c>
      <c r="H14" s="117">
        <f>IFERROR(VLOOKUP(Tabla_Coordinador29[[#This Row],[CREDENCIAL]], Tabla_Gerente[[CREDENCIAL]:[PAGO]], 7, FALSE), 0)</f>
        <v>450</v>
      </c>
      <c r="I14" s="128">
        <v>45742</v>
      </c>
      <c r="J14" s="129"/>
      <c r="K14" s="129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ROWS($B$2:B43))), "")</f>
        <v/>
      </c>
    </row>
    <row r="15" spans="1:16" x14ac:dyDescent="0.25">
      <c r="A15" s="124" t="s">
        <v>133</v>
      </c>
      <c r="B15" s="125">
        <v>20894</v>
      </c>
      <c r="C15" s="125" t="s">
        <v>247</v>
      </c>
      <c r="D15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5" s="125" t="s">
        <v>47</v>
      </c>
      <c r="F15" s="125" t="s">
        <v>274</v>
      </c>
      <c r="G15" s="127">
        <v>9380</v>
      </c>
      <c r="H15" s="117">
        <f>IFERROR(VLOOKUP(Tabla_Coordinador29[[#This Row],[CREDENCIAL]], Tabla_Gerente[[CREDENCIAL]:[PAGO]], 7, FALSE), 0)</f>
        <v>350</v>
      </c>
      <c r="I15" s="128">
        <v>45736</v>
      </c>
      <c r="J15" s="129"/>
      <c r="K15" s="129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ROWS($B$2:B44))), "")</f>
        <v/>
      </c>
    </row>
    <row r="16" spans="1:16" x14ac:dyDescent="0.25">
      <c r="A16" s="124" t="s">
        <v>133</v>
      </c>
      <c r="B16" s="125">
        <v>20897</v>
      </c>
      <c r="C16" s="125" t="s">
        <v>248</v>
      </c>
      <c r="D16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6" s="125" t="s">
        <v>47</v>
      </c>
      <c r="F16" s="125" t="s">
        <v>257</v>
      </c>
      <c r="G16" s="127">
        <v>9182</v>
      </c>
      <c r="H16" s="117">
        <f>IFERROR(VLOOKUP(Tabla_Coordinador29[[#This Row],[CREDENCIAL]], Tabla_Gerente[[CREDENCIAL]:[PAGO]], 7, FALSE), 0)</f>
        <v>499</v>
      </c>
      <c r="I16" s="128">
        <v>45736</v>
      </c>
      <c r="J16" s="129"/>
      <c r="K16" s="129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ROWS($B$2:B45))), "")</f>
        <v/>
      </c>
    </row>
    <row r="17" spans="1:16" x14ac:dyDescent="0.25">
      <c r="A17" s="124" t="s">
        <v>133</v>
      </c>
      <c r="B17" s="125">
        <v>20916</v>
      </c>
      <c r="C17" s="125" t="s">
        <v>249</v>
      </c>
      <c r="D17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7" s="125" t="s">
        <v>47</v>
      </c>
      <c r="F17" s="125" t="s">
        <v>274</v>
      </c>
      <c r="G17" s="127">
        <v>9380</v>
      </c>
      <c r="H17" s="117">
        <f>IFERROR(VLOOKUP(Tabla_Coordinador29[[#This Row],[CREDENCIAL]], Tabla_Gerente[[CREDENCIAL]:[PAGO]], 7, FALSE), 0)</f>
        <v>299</v>
      </c>
      <c r="I17" s="128">
        <v>45738</v>
      </c>
      <c r="J17" s="129"/>
      <c r="K17" s="129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ROWS($B$2:B46))), "")</f>
        <v/>
      </c>
    </row>
    <row r="18" spans="1:16" x14ac:dyDescent="0.25">
      <c r="A18" s="124" t="s">
        <v>133</v>
      </c>
      <c r="B18" s="125">
        <v>20920</v>
      </c>
      <c r="C18" s="125" t="s">
        <v>250</v>
      </c>
      <c r="D18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18" s="125" t="s">
        <v>47</v>
      </c>
      <c r="F18" s="125" t="s">
        <v>282</v>
      </c>
      <c r="G18" s="127">
        <v>9212</v>
      </c>
      <c r="H18" s="117">
        <f>IFERROR(VLOOKUP(Tabla_Coordinador29[[#This Row],[CREDENCIAL]], Tabla_Gerente[[CREDENCIAL]:[PAGO]], 7, FALSE), 0)</f>
        <v>299</v>
      </c>
      <c r="I18" s="128">
        <v>45738</v>
      </c>
      <c r="J18" s="129"/>
      <c r="K18" s="129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ROWS($B$2:B47))), "")</f>
        <v/>
      </c>
    </row>
    <row r="19" spans="1:16" x14ac:dyDescent="0.25">
      <c r="A19" s="124" t="s">
        <v>133</v>
      </c>
      <c r="B19" s="125">
        <v>20928</v>
      </c>
      <c r="C19" s="125" t="s">
        <v>251</v>
      </c>
      <c r="D19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19" s="125" t="s">
        <v>47</v>
      </c>
      <c r="F19" s="125" t="s">
        <v>283</v>
      </c>
      <c r="G19" s="127">
        <v>501</v>
      </c>
      <c r="H19" s="117">
        <f>IFERROR(VLOOKUP(Tabla_Coordinador29[[#This Row],[CREDENCIAL]], Tabla_Gerente[[CREDENCIAL]:[PAGO]], 7, FALSE), 0)</f>
        <v>349</v>
      </c>
      <c r="I19" s="128">
        <v>45740</v>
      </c>
      <c r="J19" s="129"/>
      <c r="K19" s="129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ROWS($B$2:B48))), "")</f>
        <v/>
      </c>
    </row>
    <row r="20" spans="1:16" x14ac:dyDescent="0.25">
      <c r="A20" s="124" t="s">
        <v>133</v>
      </c>
      <c r="B20" s="125">
        <v>20939</v>
      </c>
      <c r="C20" s="125" t="s">
        <v>252</v>
      </c>
      <c r="D20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20" s="125" t="s">
        <v>47</v>
      </c>
      <c r="F20" s="125" t="s">
        <v>271</v>
      </c>
      <c r="G20" s="127">
        <v>501</v>
      </c>
      <c r="H20" s="117">
        <f>IFERROR(VLOOKUP(Tabla_Coordinador29[[#This Row],[CREDENCIAL]], Tabla_Gerente[[CREDENCIAL]:[PAGO]], 7, FALSE), 0)</f>
        <v>350</v>
      </c>
      <c r="I20" s="128">
        <v>45741</v>
      </c>
      <c r="J20" s="129"/>
      <c r="K20" s="129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ROWS($B$2:B49))), "")</f>
        <v/>
      </c>
    </row>
    <row r="21" spans="1:16" x14ac:dyDescent="0.25">
      <c r="A21" s="124" t="s">
        <v>133</v>
      </c>
      <c r="B21" s="125">
        <v>20940</v>
      </c>
      <c r="C21" s="125" t="s">
        <v>253</v>
      </c>
      <c r="D21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1" s="125" t="s">
        <v>47</v>
      </c>
      <c r="F21" s="125" t="s">
        <v>257</v>
      </c>
      <c r="G21" s="127">
        <v>9394</v>
      </c>
      <c r="H21" s="117">
        <f>IFERROR(VLOOKUP(Tabla_Coordinador29[[#This Row],[CREDENCIAL]], Tabla_Gerente[[CREDENCIAL]:[PAGO]], 7, FALSE), 0)</f>
        <v>400</v>
      </c>
      <c r="I21" s="128">
        <v>45741</v>
      </c>
      <c r="J21" s="129"/>
      <c r="K21" s="129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ROWS($B$2:B50))), "")</f>
        <v/>
      </c>
    </row>
    <row r="22" spans="1:16" x14ac:dyDescent="0.25">
      <c r="A22" s="124" t="s">
        <v>133</v>
      </c>
      <c r="B22" s="125">
        <v>20948</v>
      </c>
      <c r="C22" s="125" t="s">
        <v>254</v>
      </c>
      <c r="D22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2" s="125" t="s">
        <v>47</v>
      </c>
      <c r="F22" s="125" t="s">
        <v>274</v>
      </c>
      <c r="G22" s="127">
        <v>9358</v>
      </c>
      <c r="H22" s="117">
        <f>IFERROR(VLOOKUP(Tabla_Coordinador29[[#This Row],[CREDENCIAL]], Tabla_Gerente[[CREDENCIAL]:[PAGO]], 7, FALSE), 0)</f>
        <v>350</v>
      </c>
      <c r="I22" s="128">
        <v>45742</v>
      </c>
      <c r="J22" s="129"/>
      <c r="K22" s="129"/>
    </row>
    <row r="23" spans="1:16" x14ac:dyDescent="0.25">
      <c r="A23" s="124" t="s">
        <v>133</v>
      </c>
      <c r="B23" s="125">
        <v>20954</v>
      </c>
      <c r="C23" s="125" t="s">
        <v>255</v>
      </c>
      <c r="D23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3" s="125" t="s">
        <v>47</v>
      </c>
      <c r="F23" s="125" t="s">
        <v>274</v>
      </c>
      <c r="G23" s="127">
        <v>9382</v>
      </c>
      <c r="H23" s="117">
        <f>IFERROR(VLOOKUP(Tabla_Coordinador29[[#This Row],[CREDENCIAL]], Tabla_Gerente[[CREDENCIAL]:[PAGO]], 7, FALSE), 0)</f>
        <v>349</v>
      </c>
      <c r="I23" s="128">
        <v>45742</v>
      </c>
      <c r="J23" s="129"/>
      <c r="K23" s="129"/>
    </row>
    <row r="24" spans="1:16" x14ac:dyDescent="0.25">
      <c r="A24" s="124" t="s">
        <v>133</v>
      </c>
      <c r="B24" s="125">
        <v>18207</v>
      </c>
      <c r="C24" s="125" t="s">
        <v>256</v>
      </c>
      <c r="D24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4" s="125" t="s">
        <v>47</v>
      </c>
      <c r="F24" s="125" t="s">
        <v>257</v>
      </c>
      <c r="G24" s="127">
        <v>9208</v>
      </c>
      <c r="H24" s="117">
        <f>IFERROR(VLOOKUP(Tabla_Coordinador29[[#This Row],[CREDENCIAL]], Tabla_Gerente[[CREDENCIAL]:[PAGO]], 7, FALSE), 0)</f>
        <v>349</v>
      </c>
      <c r="I24" s="128">
        <v>45738</v>
      </c>
      <c r="J24" s="129"/>
      <c r="K24" s="129"/>
    </row>
    <row r="25" spans="1:16" x14ac:dyDescent="0.25">
      <c r="A25" s="124" t="s">
        <v>130</v>
      </c>
      <c r="B25" s="125">
        <v>20895</v>
      </c>
      <c r="C25" s="125" t="s">
        <v>228</v>
      </c>
      <c r="D25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5" s="125" t="s">
        <v>47</v>
      </c>
      <c r="F25" s="125" t="s">
        <v>257</v>
      </c>
      <c r="G25" s="127">
        <v>9394</v>
      </c>
      <c r="H25" s="117">
        <f>IFERROR(VLOOKUP(Tabla_Coordinador29[[#This Row],[CREDENCIAL]], Tabla_Gerente[[CREDENCIAL]:[PAGO]], 7, FALSE), 0)</f>
        <v>399</v>
      </c>
      <c r="I25" s="128">
        <v>45736</v>
      </c>
      <c r="J25" s="129"/>
      <c r="K25" s="129"/>
    </row>
    <row r="26" spans="1:16" x14ac:dyDescent="0.25">
      <c r="A26" s="124" t="s">
        <v>130</v>
      </c>
      <c r="B26" s="125">
        <v>20896</v>
      </c>
      <c r="C26" s="125" t="s">
        <v>229</v>
      </c>
      <c r="D26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6" s="125" t="s">
        <v>47</v>
      </c>
      <c r="F26" s="125" t="s">
        <v>271</v>
      </c>
      <c r="G26" s="127">
        <v>9379</v>
      </c>
      <c r="H26" s="117">
        <f>IFERROR(VLOOKUP(Tabla_Coordinador29[[#This Row],[CREDENCIAL]], Tabla_Gerente[[CREDENCIAL]:[PAGO]], 7, FALSE), 0)</f>
        <v>399</v>
      </c>
      <c r="I26" s="128">
        <v>45736</v>
      </c>
      <c r="J26" s="129"/>
      <c r="K26" s="129"/>
    </row>
    <row r="27" spans="1:16" x14ac:dyDescent="0.25">
      <c r="A27" s="124" t="s">
        <v>130</v>
      </c>
      <c r="B27" s="125">
        <v>20900</v>
      </c>
      <c r="C27" s="125" t="s">
        <v>230</v>
      </c>
      <c r="D27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7" s="125" t="s">
        <v>47</v>
      </c>
      <c r="F27" s="125" t="s">
        <v>267</v>
      </c>
      <c r="G27" s="127">
        <v>9273</v>
      </c>
      <c r="H27" s="117">
        <f>IFERROR(VLOOKUP(Tabla_Coordinador29[[#This Row],[CREDENCIAL]], Tabla_Gerente[[CREDENCIAL]:[PAGO]], 7, FALSE), 0)</f>
        <v>399</v>
      </c>
      <c r="I27" s="128">
        <v>45736</v>
      </c>
      <c r="J27" s="129"/>
      <c r="K27" s="129"/>
    </row>
    <row r="28" spans="1:16" x14ac:dyDescent="0.25">
      <c r="A28" s="124" t="s">
        <v>130</v>
      </c>
      <c r="B28" s="125">
        <v>20907</v>
      </c>
      <c r="C28" s="125" t="s">
        <v>231</v>
      </c>
      <c r="D28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8" s="125" t="s">
        <v>47</v>
      </c>
      <c r="F28" s="125" t="s">
        <v>272</v>
      </c>
      <c r="G28" s="127">
        <v>9386</v>
      </c>
      <c r="H28" s="117">
        <f>IFERROR(VLOOKUP(Tabla_Coordinador29[[#This Row],[CREDENCIAL]], Tabla_Gerente[[CREDENCIAL]:[PAGO]], 7, FALSE), 0)</f>
        <v>399</v>
      </c>
      <c r="I28" s="128">
        <v>45737</v>
      </c>
      <c r="J28" s="129"/>
      <c r="K28" s="129"/>
    </row>
    <row r="29" spans="1:16" x14ac:dyDescent="0.25">
      <c r="A29" s="124" t="s">
        <v>130</v>
      </c>
      <c r="B29" s="125">
        <v>20911</v>
      </c>
      <c r="C29" s="125" t="s">
        <v>232</v>
      </c>
      <c r="D29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29" s="125" t="s">
        <v>47</v>
      </c>
      <c r="F29" s="125" t="s">
        <v>257</v>
      </c>
      <c r="G29" s="127">
        <v>9187</v>
      </c>
      <c r="H29" s="117">
        <f>IFERROR(VLOOKUP(Tabla_Coordinador29[[#This Row],[CREDENCIAL]], Tabla_Gerente[[CREDENCIAL]:[PAGO]], 7, FALSE), 0)</f>
        <v>399</v>
      </c>
      <c r="I29" s="128">
        <v>45737</v>
      </c>
      <c r="J29" s="129"/>
      <c r="K29" s="129"/>
    </row>
    <row r="30" spans="1:16" x14ac:dyDescent="0.25">
      <c r="A30" s="124" t="s">
        <v>130</v>
      </c>
      <c r="B30" s="125">
        <v>20912</v>
      </c>
      <c r="C30" s="125" t="s">
        <v>233</v>
      </c>
      <c r="D30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0" s="125" t="s">
        <v>47</v>
      </c>
      <c r="F30" s="125" t="s">
        <v>257</v>
      </c>
      <c r="G30" s="127">
        <v>9187</v>
      </c>
      <c r="H30" s="117">
        <f>IFERROR(VLOOKUP(Tabla_Coordinador29[[#This Row],[CREDENCIAL]], Tabla_Gerente[[CREDENCIAL]:[PAGO]], 7, FALSE), 0)</f>
        <v>399</v>
      </c>
      <c r="I30" s="128">
        <v>45737</v>
      </c>
      <c r="J30" s="129"/>
      <c r="K30" s="129"/>
    </row>
    <row r="31" spans="1:16" x14ac:dyDescent="0.25">
      <c r="A31" s="124" t="s">
        <v>130</v>
      </c>
      <c r="B31" s="125">
        <v>20913</v>
      </c>
      <c r="C31" s="125" t="s">
        <v>234</v>
      </c>
      <c r="D31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1" s="125" t="s">
        <v>47</v>
      </c>
      <c r="F31" s="125" t="s">
        <v>274</v>
      </c>
      <c r="G31" s="127">
        <v>9382</v>
      </c>
      <c r="H31" s="117">
        <f>IFERROR(VLOOKUP(Tabla_Coordinador29[[#This Row],[CREDENCIAL]], Tabla_Gerente[[CREDENCIAL]:[PAGO]], 7, FALSE), 0)</f>
        <v>350</v>
      </c>
      <c r="I31" s="128">
        <v>45738</v>
      </c>
      <c r="J31" s="129"/>
      <c r="K31" s="129"/>
    </row>
    <row r="32" spans="1:16" x14ac:dyDescent="0.25">
      <c r="A32" s="124" t="s">
        <v>130</v>
      </c>
      <c r="B32" s="125">
        <v>20915</v>
      </c>
      <c r="C32" s="125" t="s">
        <v>235</v>
      </c>
      <c r="D32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2" s="125" t="s">
        <v>47</v>
      </c>
      <c r="F32" s="125" t="s">
        <v>274</v>
      </c>
      <c r="G32" s="127">
        <v>9380</v>
      </c>
      <c r="H32" s="117">
        <f>IFERROR(VLOOKUP(Tabla_Coordinador29[[#This Row],[CREDENCIAL]], Tabla_Gerente[[CREDENCIAL]:[PAGO]], 7, FALSE), 0)</f>
        <v>399</v>
      </c>
      <c r="I32" s="128">
        <v>45738</v>
      </c>
      <c r="J32" s="129"/>
      <c r="K32" s="129"/>
    </row>
    <row r="33" spans="1:11" x14ac:dyDescent="0.25">
      <c r="A33" s="124" t="s">
        <v>130</v>
      </c>
      <c r="B33" s="125">
        <v>20918</v>
      </c>
      <c r="C33" s="125" t="s">
        <v>236</v>
      </c>
      <c r="D33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3" s="125" t="s">
        <v>47</v>
      </c>
      <c r="F33" s="125" t="s">
        <v>267</v>
      </c>
      <c r="G33" s="127">
        <v>9272</v>
      </c>
      <c r="H33" s="117">
        <f>IFERROR(VLOOKUP(Tabla_Coordinador29[[#This Row],[CREDENCIAL]], Tabla_Gerente[[CREDENCIAL]:[PAGO]], 7, FALSE), 0)</f>
        <v>550</v>
      </c>
      <c r="I33" s="128">
        <v>45738</v>
      </c>
      <c r="J33" s="129"/>
      <c r="K33" s="129"/>
    </row>
    <row r="34" spans="1:11" x14ac:dyDescent="0.25">
      <c r="A34" s="124" t="s">
        <v>131</v>
      </c>
      <c r="B34" s="125">
        <v>20924</v>
      </c>
      <c r="C34" s="125" t="s">
        <v>237</v>
      </c>
      <c r="D34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34" s="125" t="s">
        <v>47</v>
      </c>
      <c r="F34" s="125" t="s">
        <v>276</v>
      </c>
      <c r="G34" s="127">
        <v>501</v>
      </c>
      <c r="H34" s="117">
        <f>IFERROR(VLOOKUP(Tabla_Coordinador29[[#This Row],[CREDENCIAL]], Tabla_Gerente[[CREDENCIAL]:[PAGO]], 7, FALSE), 0)</f>
        <v>300</v>
      </c>
      <c r="I34" s="128">
        <v>45739</v>
      </c>
      <c r="J34" s="129"/>
      <c r="K34" s="129"/>
    </row>
    <row r="35" spans="1:11" x14ac:dyDescent="0.25">
      <c r="A35" s="124" t="s">
        <v>131</v>
      </c>
      <c r="B35" s="125">
        <v>20926</v>
      </c>
      <c r="C35" s="125" t="s">
        <v>238</v>
      </c>
      <c r="D35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5" s="125" t="s">
        <v>47</v>
      </c>
      <c r="F35" s="125" t="s">
        <v>278</v>
      </c>
      <c r="G35" s="127">
        <v>9275</v>
      </c>
      <c r="H35" s="117">
        <f>IFERROR(VLOOKUP(Tabla_Coordinador29[[#This Row],[CREDENCIAL]], Tabla_Gerente[[CREDENCIAL]:[PAGO]], 7, FALSE), 0)</f>
        <v>350</v>
      </c>
      <c r="I35" s="128">
        <v>45740</v>
      </c>
      <c r="J35" s="129"/>
      <c r="K35" s="129"/>
    </row>
    <row r="36" spans="1:11" x14ac:dyDescent="0.25">
      <c r="A36" s="124" t="s">
        <v>131</v>
      </c>
      <c r="B36" s="125">
        <v>20927</v>
      </c>
      <c r="C36" s="125" t="s">
        <v>239</v>
      </c>
      <c r="D36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0</v>
      </c>
      <c r="E36" s="125" t="s">
        <v>47</v>
      </c>
      <c r="F36" s="125" t="s">
        <v>276</v>
      </c>
      <c r="G36" s="127">
        <v>501</v>
      </c>
      <c r="H36" s="117">
        <f>IFERROR(VLOOKUP(Tabla_Coordinador29[[#This Row],[CREDENCIAL]], Tabla_Gerente[[CREDENCIAL]:[PAGO]], 7, FALSE), 0)</f>
        <v>500</v>
      </c>
      <c r="I36" s="128">
        <v>45740</v>
      </c>
      <c r="J36" s="129"/>
      <c r="K36" s="129"/>
    </row>
    <row r="37" spans="1:11" x14ac:dyDescent="0.25">
      <c r="A37" s="124" t="s">
        <v>131</v>
      </c>
      <c r="B37" s="125">
        <v>20935</v>
      </c>
      <c r="C37" s="125" t="s">
        <v>238</v>
      </c>
      <c r="D37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7" s="125" t="s">
        <v>47</v>
      </c>
      <c r="F37" s="125" t="s">
        <v>274</v>
      </c>
      <c r="G37" s="127">
        <v>9388</v>
      </c>
      <c r="H37" s="117">
        <f>IFERROR(VLOOKUP(Tabla_Coordinador29[[#This Row],[CREDENCIAL]], Tabla_Gerente[[CREDENCIAL]:[PAGO]], 7, FALSE), 0)</f>
        <v>550</v>
      </c>
      <c r="I37" s="128">
        <v>45741</v>
      </c>
      <c r="J37" s="129"/>
      <c r="K37" s="129"/>
    </row>
    <row r="38" spans="1:11" x14ac:dyDescent="0.25">
      <c r="A38" s="124" t="s">
        <v>131</v>
      </c>
      <c r="B38" s="125">
        <v>20944</v>
      </c>
      <c r="C38" s="125" t="s">
        <v>240</v>
      </c>
      <c r="D38" s="126">
        <f>IF(
    OR(
        Tabla_Coordinador29[[#This Row],[GRUPO]] = 501,
        Tabla_Coordinador29[[#This Row],[GRUPO]] = 505,
        Tabla_Coordinador29[[#This Row],[GRUPO]] = 503,
        Tabla_Coordinador29[[#This Row],[GRUPO]] = "",
        Tabla_Coordinador29[[#This Row],[GRUPO]] = 500,
        Tabla_Coordinador29[[#This Row],[PAGO]] &lt; 299,
        COUNTIF(Tabla_Coordinador29[CREDENCIAL], Tabla_Coordinador29[[#This Row],[CREDENCIAL]]) &gt; 1,
        COUNTIF(Tabla_Gerente[CREDENCIAL], Tabla_Coordinador29[[#This Row],[CREDENCIAL]]) &gt; 1
    ),
    0,
    VLOOKUP(
        Total_Registros_Coordinador,
        Tabulador_Coordinador[],
        3,
        TRUE
    )
)</f>
        <v>140</v>
      </c>
      <c r="E38" s="125" t="s">
        <v>47</v>
      </c>
      <c r="F38" s="125" t="s">
        <v>274</v>
      </c>
      <c r="G38" s="127">
        <v>9380</v>
      </c>
      <c r="H38" s="117">
        <f>IFERROR(VLOOKUP(Tabla_Coordinador29[[#This Row],[CREDENCIAL]], Tabla_Gerente[[CREDENCIAL]:[PAGO]], 7, FALSE), 0)</f>
        <v>700</v>
      </c>
      <c r="I38" s="128">
        <v>45741</v>
      </c>
      <c r="J38" s="129"/>
      <c r="K38" s="129"/>
    </row>
    <row r="39" spans="1:11" x14ac:dyDescent="0.25">
      <c r="A39" s="124" t="s">
        <v>50</v>
      </c>
      <c r="B39" s="125"/>
      <c r="C39" s="125"/>
      <c r="D39" s="126">
        <f>SUBTOTAL(109,Tabla_Coordinador29[COMISION])</f>
        <v>3220</v>
      </c>
      <c r="E39" s="125"/>
      <c r="F39" s="125"/>
      <c r="G39" s="127"/>
      <c r="H39" s="130"/>
      <c r="I39" s="128"/>
      <c r="J39" s="129"/>
      <c r="K39" s="129"/>
    </row>
    <row r="40" spans="1:11" x14ac:dyDescent="0.25">
      <c r="A40" s="27"/>
      <c r="B40" s="14"/>
      <c r="C40" s="15"/>
      <c r="D40" s="54"/>
      <c r="E40" s="14"/>
      <c r="F40" s="14"/>
      <c r="G40" s="14"/>
      <c r="H40" s="55"/>
      <c r="I40" s="16"/>
      <c r="J40" s="16"/>
      <c r="K40" s="16"/>
    </row>
    <row r="41" spans="1:11" x14ac:dyDescent="0.25">
      <c r="A41" s="27" t="s">
        <v>13</v>
      </c>
      <c r="D41" s="26">
        <f>Sueldo_Base_Coordinador</f>
        <v>500</v>
      </c>
      <c r="E41" s="16"/>
      <c r="F41" s="15"/>
      <c r="H41" s="15"/>
      <c r="J41" s="24"/>
    </row>
    <row r="42" spans="1:11" ht="16.5" thickBot="1" x14ac:dyDescent="0.3">
      <c r="A42" s="37" t="s">
        <v>45</v>
      </c>
      <c r="B42" s="38">
        <f>IF(Total_Registros_Coordinador &gt;= Premios!H5,
    VLOOKUP(Total_Registros_Coordinador, Premios_Coordinador[], 1, TRUE),
    0
)</f>
        <v>30</v>
      </c>
      <c r="C42" s="34"/>
      <c r="D42" s="36">
        <f>IF(Premio_Coordinador &gt; 0, VLOOKUP(Premio_Coordinador, Premios_Coordinador[], 2, FALSE), 0)</f>
        <v>2500</v>
      </c>
      <c r="E42" s="16"/>
      <c r="F42" s="15"/>
      <c r="H42" s="15"/>
      <c r="J42" s="24"/>
    </row>
    <row r="43" spans="1:11" x14ac:dyDescent="0.25">
      <c r="A43" s="27" t="s">
        <v>46</v>
      </c>
      <c r="B43" s="18"/>
      <c r="D43" s="28">
        <f>Tabla_Coordinador29[[#Totals],[COMISION]] + Pago_Sueldo_Base_Coordinador + Pago_Premio_Coordinador</f>
        <v>6220</v>
      </c>
      <c r="E43" s="16"/>
      <c r="F43" s="15"/>
      <c r="H43" s="15"/>
      <c r="J43" s="24"/>
    </row>
    <row r="44" spans="1:11" x14ac:dyDescent="0.25">
      <c r="A44" s="27" t="s">
        <v>124</v>
      </c>
      <c r="B44" s="18"/>
      <c r="C44" s="29"/>
      <c r="D44" s="40">
        <f>_xlfn.IFNA(SUMIFS(Descuentos[DESCUENTO], Descuentos[COLABORADOR], Nombre_Coordinador, Descuentos[PUESTO], Puesto_Coordinador), 0)</f>
        <v>0</v>
      </c>
      <c r="E44" s="16"/>
      <c r="F44" s="15"/>
      <c r="H44" s="15"/>
      <c r="J44" s="22"/>
      <c r="K44" s="22"/>
    </row>
    <row r="45" spans="1:11" ht="16.5" thickBot="1" x14ac:dyDescent="0.3">
      <c r="A45" s="37" t="s">
        <v>24</v>
      </c>
      <c r="B45" s="34"/>
      <c r="C45" s="34"/>
      <c r="D45" s="49">
        <f>(Pago_Subtotal_Coordinador * 0.05) * -1</f>
        <v>-311</v>
      </c>
      <c r="E45" s="16"/>
      <c r="F45" s="15"/>
      <c r="H45" s="15"/>
    </row>
    <row r="46" spans="1:11" ht="16.5" thickBot="1" x14ac:dyDescent="0.3">
      <c r="A46" s="42"/>
      <c r="C46" s="29"/>
      <c r="D46" s="28"/>
      <c r="E46" s="16"/>
      <c r="F46" s="15"/>
    </row>
    <row r="47" spans="1:11" ht="16.5" thickBot="1" x14ac:dyDescent="0.3">
      <c r="A47" s="37" t="s">
        <v>49</v>
      </c>
      <c r="B47" s="34"/>
      <c r="C47" s="50"/>
      <c r="D47" s="30">
        <f>Pago_Subtotal_Coordinador + Descuento_Coordinador + Deduccion_Coordinador</f>
        <v>5909</v>
      </c>
      <c r="E47" s="16"/>
      <c r="F47" s="15"/>
    </row>
    <row r="48" spans="1:11" x14ac:dyDescent="0.25">
      <c r="C48" s="29"/>
      <c r="D48" s="28"/>
      <c r="E48" s="26"/>
      <c r="F48" s="26"/>
    </row>
    <row r="49" spans="3:9" x14ac:dyDescent="0.25">
      <c r="C49" s="29"/>
      <c r="D49" s="28"/>
      <c r="E49" s="26"/>
      <c r="F49" s="26"/>
      <c r="I49" s="13"/>
    </row>
    <row r="50" spans="3:9" ht="16.5" thickBot="1" x14ac:dyDescent="0.3">
      <c r="C50" s="37" t="s">
        <v>25</v>
      </c>
      <c r="D50" s="120" t="str" cm="1">
        <f t="array" ref="D50">NumeroATexto(Pago_Neto_Coordinador)</f>
        <v>CINCO MIL NOVECIENTOS NUEVE PESOS 00/100</v>
      </c>
      <c r="E50" s="120"/>
      <c r="F50" s="120"/>
      <c r="G50" s="120"/>
      <c r="H50" s="120"/>
      <c r="I50" s="120"/>
    </row>
    <row r="51" spans="3:9" x14ac:dyDescent="0.25">
      <c r="C51" s="27"/>
      <c r="D51" s="26"/>
      <c r="E51" s="16"/>
      <c r="F51" s="15"/>
      <c r="I51" s="13"/>
    </row>
    <row r="52" spans="3:9" x14ac:dyDescent="0.25">
      <c r="C52" s="29"/>
      <c r="D52" s="28"/>
      <c r="I52" s="13"/>
    </row>
    <row r="53" spans="3:9" ht="16.5" thickBot="1" x14ac:dyDescent="0.3">
      <c r="C53" s="33" t="s">
        <v>26</v>
      </c>
      <c r="D53" s="121"/>
      <c r="E53" s="121"/>
      <c r="F53" s="121"/>
      <c r="G53" s="121"/>
      <c r="H53" s="121"/>
      <c r="I53" s="121"/>
    </row>
    <row r="54" spans="3:9" x14ac:dyDescent="0.25">
      <c r="I54" s="13"/>
    </row>
    <row r="55" spans="3:9" x14ac:dyDescent="0.25">
      <c r="I55" s="13"/>
    </row>
    <row r="56" spans="3:9" x14ac:dyDescent="0.25">
      <c r="I56" s="13"/>
    </row>
    <row r="57" spans="3:9" x14ac:dyDescent="0.25">
      <c r="I57" s="13"/>
    </row>
    <row r="58" spans="3:9" x14ac:dyDescent="0.25">
      <c r="I58" s="13"/>
    </row>
  </sheetData>
  <mergeCells count="4">
    <mergeCell ref="B1:D1"/>
    <mergeCell ref="B2:D2"/>
    <mergeCell ref="D50:I50"/>
    <mergeCell ref="D53:I53"/>
  </mergeCells>
  <conditionalFormatting sqref="D9:D38">
    <cfRule type="cellIs" dxfId="42" priority="4" operator="equal">
      <formula>0</formula>
    </cfRule>
    <cfRule type="cellIs" dxfId="41" priority="6" operator="equal">
      <formula>$G9=501</formula>
    </cfRule>
  </conditionalFormatting>
  <conditionalFormatting sqref="G9:G38">
    <cfRule type="cellIs" dxfId="40" priority="1" operator="equal">
      <formula>505</formula>
    </cfRule>
    <cfRule type="cellIs" dxfId="39" priority="3" operator="equal">
      <formula>501</formula>
    </cfRule>
    <cfRule type="containsBlanks" dxfId="38" priority="5">
      <formula>LEN(TRIM(G9))=0</formula>
    </cfRule>
  </conditionalFormatting>
  <conditionalFormatting sqref="A9:K38">
    <cfRule type="expression" dxfId="37" priority="2">
      <formula>$G9 = 503</formula>
    </cfRule>
  </conditionalFormatting>
  <conditionalFormatting sqref="B9:B38">
    <cfRule type="duplicateValues" dxfId="35" priority="497"/>
  </conditionalFormatting>
  <dataValidations count="5">
    <dataValidation type="list" showInputMessage="1" showErrorMessage="1" sqref="A9:A38" xr:uid="{D92C40B5-CAC8-4E68-BFEE-FF43BA721B36}">
      <formula1>Promotores_de_Coordinacion_Activos</formula1>
    </dataValidation>
    <dataValidation type="date" allowBlank="1" showInputMessage="1" showErrorMessage="1" sqref="I9:I38" xr:uid="{0D8F9B53-87D9-45E9-9EE9-0EEA0E0FE94D}">
      <formula1>B2</formula1>
      <formula2>D2</formula2>
    </dataValidation>
    <dataValidation type="custom" allowBlank="1" showInputMessage="1" showErrorMessage="1" sqref="G9:G38" xr:uid="{0A6F7E2C-CFA3-46C8-B82E-70F46FF4D5EB}">
      <formula1>G9&lt;&gt;500</formula1>
    </dataValidation>
    <dataValidation type="list" allowBlank="1" showInputMessage="1" showErrorMessage="1" sqref="E9:E38" xr:uid="{5BDE4EFD-F2E5-45B0-A64E-04CDF6469BC2}">
      <formula1>Nombres_Planteles</formula1>
    </dataValidation>
    <dataValidation type="list" allowBlank="1" showInputMessage="1" showErrorMessage="1" sqref="B1" xr:uid="{0A9F2FE1-15AF-4F04-86C7-1C2E4C8F1EA2}">
      <formula1>Nombres_Coordinadores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CreatePromotorTabs">
                <anchor moveWithCells="1">
                  <from>
                    <xdr:col>12</xdr:col>
                    <xdr:colOff>104775</xdr:colOff>
                    <xdr:row>0</xdr:row>
                    <xdr:rowOff>47625</xdr:rowOff>
                  </from>
                  <to>
                    <xdr:col>13</xdr:col>
                    <xdr:colOff>733425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5</xdr:row>
                    <xdr:rowOff>47625</xdr:rowOff>
                  </from>
                  <to>
                    <xdr:col>13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CF9001C-9BB5-4D87-967C-B57DF209BE09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DA0297-A90A-40FD-B30B-517197AE8DBB}">
          <x14:formula1>
            <xm:f>Planteles!$A$4:$A$15</xm:f>
          </x14:formula1>
          <xm:sqref>J9:J38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507AB-3005-4E9D-87FB-589AA1DBEE72}">
  <sheetPr codeName="Sheet18">
    <tabColor rgb="FF00B050"/>
    <pageSetUpPr fitToPage="1"/>
  </sheetPr>
  <dimension ref="A1:K32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4.5703125" style="13" bestFit="1" customWidth="1"/>
    <col min="4" max="4" width="16.42578125" style="13" bestFit="1" customWidth="1"/>
    <col min="5" max="5" width="14.140625" style="13" bestFit="1" customWidth="1"/>
    <col min="6" max="6" width="21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146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COUNTIFS(Tabla_Promotor37[GRUPO], "&lt;&gt;",
          Tabla_Promotor37[GRUPO], "&lt;&gt;503",
          Tabla_Promotor37[GRUPO], "&lt;&gt;500")</f>
        <v>10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133</v>
      </c>
      <c r="B9" s="125">
        <v>20894</v>
      </c>
      <c r="C9" s="125" t="s">
        <v>247</v>
      </c>
      <c r="D9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200</v>
      </c>
      <c r="E9" s="125" t="s">
        <v>47</v>
      </c>
      <c r="F9" s="125" t="s">
        <v>274</v>
      </c>
      <c r="G9" s="127">
        <v>9380</v>
      </c>
      <c r="H9" s="131">
        <f>IFERROR(VLOOKUP(Tabla_Promotor37[[#This Row],[CREDENCIAL]], Tabla_Gerente[[CREDENCIAL]:[PAGO]], 7, FALSE), 0)</f>
        <v>350</v>
      </c>
      <c r="I9" s="132">
        <v>45736</v>
      </c>
      <c r="J9" s="129"/>
      <c r="K9" s="129"/>
    </row>
    <row r="10" spans="1:11" x14ac:dyDescent="0.25">
      <c r="A10" s="124" t="s">
        <v>133</v>
      </c>
      <c r="B10" s="125">
        <v>20897</v>
      </c>
      <c r="C10" s="125" t="s">
        <v>248</v>
      </c>
      <c r="D10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349</v>
      </c>
      <c r="E10" s="125" t="s">
        <v>47</v>
      </c>
      <c r="F10" s="125" t="s">
        <v>257</v>
      </c>
      <c r="G10" s="127">
        <v>9182</v>
      </c>
      <c r="H10" s="131">
        <f>IFERROR(VLOOKUP(Tabla_Promotor37[[#This Row],[CREDENCIAL]], Tabla_Gerente[[CREDENCIAL]:[PAGO]], 7, FALSE), 0)</f>
        <v>499</v>
      </c>
      <c r="I10" s="132">
        <v>45736</v>
      </c>
      <c r="J10" s="129"/>
      <c r="K10" s="129"/>
    </row>
    <row r="11" spans="1:11" x14ac:dyDescent="0.25">
      <c r="A11" s="124" t="s">
        <v>133</v>
      </c>
      <c r="B11" s="125">
        <v>20916</v>
      </c>
      <c r="C11" s="125" t="s">
        <v>249</v>
      </c>
      <c r="D11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149</v>
      </c>
      <c r="E11" s="125" t="s">
        <v>47</v>
      </c>
      <c r="F11" s="125" t="s">
        <v>274</v>
      </c>
      <c r="G11" s="127">
        <v>9380</v>
      </c>
      <c r="H11" s="131">
        <f>IFERROR(VLOOKUP(Tabla_Promotor37[[#This Row],[CREDENCIAL]], Tabla_Gerente[[CREDENCIAL]:[PAGO]], 7, FALSE), 0)</f>
        <v>299</v>
      </c>
      <c r="I11" s="132">
        <v>45738</v>
      </c>
      <c r="J11" s="129"/>
      <c r="K11" s="129"/>
    </row>
    <row r="12" spans="1:11" x14ac:dyDescent="0.25">
      <c r="A12" s="124" t="s">
        <v>133</v>
      </c>
      <c r="B12" s="125">
        <v>20920</v>
      </c>
      <c r="C12" s="125" t="s">
        <v>250</v>
      </c>
      <c r="D12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149</v>
      </c>
      <c r="E12" s="125" t="s">
        <v>47</v>
      </c>
      <c r="F12" s="125" t="s">
        <v>282</v>
      </c>
      <c r="G12" s="127">
        <v>9212</v>
      </c>
      <c r="H12" s="131">
        <f>IFERROR(VLOOKUP(Tabla_Promotor37[[#This Row],[CREDENCIAL]], Tabla_Gerente[[CREDENCIAL]:[PAGO]], 7, FALSE), 0)</f>
        <v>299</v>
      </c>
      <c r="I12" s="132">
        <v>45738</v>
      </c>
      <c r="J12" s="129"/>
      <c r="K12" s="129"/>
    </row>
    <row r="13" spans="1:11" x14ac:dyDescent="0.25">
      <c r="A13" s="124" t="s">
        <v>133</v>
      </c>
      <c r="B13" s="125">
        <v>20928</v>
      </c>
      <c r="C13" s="125" t="s">
        <v>251</v>
      </c>
      <c r="D13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199</v>
      </c>
      <c r="E13" s="125" t="s">
        <v>47</v>
      </c>
      <c r="F13" s="125" t="s">
        <v>283</v>
      </c>
      <c r="G13" s="127">
        <v>501</v>
      </c>
      <c r="H13" s="131">
        <f>IFERROR(VLOOKUP(Tabla_Promotor37[[#This Row],[CREDENCIAL]], Tabla_Gerente[[CREDENCIAL]:[PAGO]], 7, FALSE), 0)</f>
        <v>349</v>
      </c>
      <c r="I13" s="132">
        <v>45740</v>
      </c>
      <c r="J13" s="129"/>
      <c r="K13" s="129"/>
    </row>
    <row r="14" spans="1:11" x14ac:dyDescent="0.25">
      <c r="A14" s="124" t="s">
        <v>133</v>
      </c>
      <c r="B14" s="125">
        <v>20939</v>
      </c>
      <c r="C14" s="125" t="s">
        <v>252</v>
      </c>
      <c r="D14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200</v>
      </c>
      <c r="E14" s="125" t="s">
        <v>47</v>
      </c>
      <c r="F14" s="125" t="s">
        <v>271</v>
      </c>
      <c r="G14" s="127">
        <v>501</v>
      </c>
      <c r="H14" s="131">
        <f>IFERROR(VLOOKUP(Tabla_Promotor37[[#This Row],[CREDENCIAL]], Tabla_Gerente[[CREDENCIAL]:[PAGO]], 7, FALSE), 0)</f>
        <v>350</v>
      </c>
      <c r="I14" s="132">
        <v>45741</v>
      </c>
      <c r="J14" s="129"/>
      <c r="K14" s="129"/>
    </row>
    <row r="15" spans="1:11" x14ac:dyDescent="0.25">
      <c r="A15" s="124" t="s">
        <v>133</v>
      </c>
      <c r="B15" s="125">
        <v>20940</v>
      </c>
      <c r="C15" s="125" t="s">
        <v>253</v>
      </c>
      <c r="D15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250</v>
      </c>
      <c r="E15" s="125" t="s">
        <v>47</v>
      </c>
      <c r="F15" s="125" t="s">
        <v>257</v>
      </c>
      <c r="G15" s="127">
        <v>9394</v>
      </c>
      <c r="H15" s="131">
        <f>IFERROR(VLOOKUP(Tabla_Promotor37[[#This Row],[CREDENCIAL]], Tabla_Gerente[[CREDENCIAL]:[PAGO]], 7, FALSE), 0)</f>
        <v>400</v>
      </c>
      <c r="I15" s="132">
        <v>45741</v>
      </c>
      <c r="J15" s="129"/>
      <c r="K15" s="129"/>
    </row>
    <row r="16" spans="1:11" x14ac:dyDescent="0.25">
      <c r="A16" s="124" t="s">
        <v>133</v>
      </c>
      <c r="B16" s="125">
        <v>20948</v>
      </c>
      <c r="C16" s="125" t="s">
        <v>254</v>
      </c>
      <c r="D16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200</v>
      </c>
      <c r="E16" s="125" t="s">
        <v>47</v>
      </c>
      <c r="F16" s="125" t="s">
        <v>274</v>
      </c>
      <c r="G16" s="127">
        <v>9358</v>
      </c>
      <c r="H16" s="131">
        <f>IFERROR(VLOOKUP(Tabla_Promotor37[[#This Row],[CREDENCIAL]], Tabla_Gerente[[CREDENCIAL]:[PAGO]], 7, FALSE), 0)</f>
        <v>350</v>
      </c>
      <c r="I16" s="132">
        <v>45742</v>
      </c>
      <c r="J16" s="129"/>
      <c r="K16" s="129"/>
    </row>
    <row r="17" spans="1:11" x14ac:dyDescent="0.25">
      <c r="A17" s="124" t="s">
        <v>133</v>
      </c>
      <c r="B17" s="125">
        <v>20954</v>
      </c>
      <c r="C17" s="125" t="s">
        <v>255</v>
      </c>
      <c r="D17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199</v>
      </c>
      <c r="E17" s="125" t="s">
        <v>47</v>
      </c>
      <c r="F17" s="125" t="s">
        <v>274</v>
      </c>
      <c r="G17" s="127">
        <v>9382</v>
      </c>
      <c r="H17" s="131">
        <f>IFERROR(VLOOKUP(Tabla_Promotor37[[#This Row],[CREDENCIAL]], Tabla_Gerente[[CREDENCIAL]:[PAGO]], 7, FALSE), 0)</f>
        <v>349</v>
      </c>
      <c r="I17" s="132">
        <v>45742</v>
      </c>
      <c r="J17" s="129"/>
      <c r="K17" s="129"/>
    </row>
    <row r="18" spans="1:11" x14ac:dyDescent="0.25">
      <c r="A18" s="124" t="s">
        <v>133</v>
      </c>
      <c r="B18" s="125">
        <v>18207</v>
      </c>
      <c r="C18" s="125" t="s">
        <v>256</v>
      </c>
      <c r="D18" s="126">
        <f>IF(
    OR(
        Tabla_Promotor37[[#This Row],[GRUPO]] = "",
        Tabla_Promotor37[[#This Row],[GRUPO]] = 500,
        COUNTIF(Tabla_Promotor37[CREDENCIAL], Tabla_Promotor37[[#This Row],[CREDENCIAL]]) &gt; 1,
        COUNTIF(Tabla_Gerente[CREDENCIAL], Tabla_Promotor37[[#This Row],[CREDENCIAL]]) &gt; 1,
    ),
    0,
    IF(
        Tabla_Promotor37[[#This Row],[GRUPO]] = 503,
        Tabla_Promotor37[[#This Row],[PAGO]],
        IF(
            Tabla_Promotor37[[#This Row],[PAGO]] &gt;= 299,
            Tabla_Promotor37[[#This Row],[PAGO]] - 150,
            0
        )
    )
)</f>
        <v>199</v>
      </c>
      <c r="E18" s="125" t="s">
        <v>47</v>
      </c>
      <c r="F18" s="125" t="s">
        <v>257</v>
      </c>
      <c r="G18" s="127">
        <v>9208</v>
      </c>
      <c r="H18" s="131">
        <f>IFERROR(VLOOKUP(Tabla_Promotor37[[#This Row],[CREDENCIAL]], Tabla_Gerente[[CREDENCIAL]:[PAGO]], 7, FALSE), 0)</f>
        <v>349</v>
      </c>
      <c r="I18" s="132">
        <v>45738</v>
      </c>
      <c r="J18" s="129"/>
      <c r="K18" s="129"/>
    </row>
    <row r="19" spans="1:11" x14ac:dyDescent="0.25">
      <c r="A19" s="124" t="s">
        <v>50</v>
      </c>
      <c r="B19" s="125"/>
      <c r="C19" s="125"/>
      <c r="D19" s="126">
        <f>SUBTOTAL(109,Tabla_Promotor37[COMISION])</f>
        <v>2094</v>
      </c>
      <c r="E19" s="125"/>
      <c r="F19" s="125"/>
      <c r="G19" s="127"/>
      <c r="H19" s="131"/>
      <c r="I19" s="132"/>
      <c r="J19" s="129"/>
      <c r="K19" s="129"/>
    </row>
    <row r="20" spans="1:11" x14ac:dyDescent="0.25">
      <c r="A20" s="25"/>
      <c r="B20" s="14"/>
      <c r="C20" s="15"/>
      <c r="D20" s="54"/>
      <c r="E20" s="14"/>
      <c r="F20" s="14"/>
      <c r="G20" s="27"/>
      <c r="H20" s="55"/>
      <c r="I20" s="14"/>
      <c r="J20" s="16"/>
      <c r="K20" s="16"/>
    </row>
    <row r="21" spans="1:11" x14ac:dyDescent="0.25">
      <c r="A21" s="25" t="s">
        <v>13</v>
      </c>
      <c r="D21" s="74">
        <f>_xlfn.IFNA(VLOOKUP(Nombre_Promotor,Sueldos_Base[],2,FALSE),0)</f>
        <v>0</v>
      </c>
      <c r="E21" s="16"/>
      <c r="F21" s="15"/>
      <c r="H21" s="15"/>
      <c r="J21" s="24"/>
    </row>
    <row r="22" spans="1:11" ht="16.5" thickBot="1" x14ac:dyDescent="0.3">
      <c r="A22" s="37" t="s">
        <v>45</v>
      </c>
      <c r="B22" s="38">
        <f>IF(Total_Registros_Promotor &lt; Premios!A5, 0,
   VLOOKUP(Total_Registros_Promotor, Premios_Promotor[], 1, TRUE))</f>
        <v>9</v>
      </c>
      <c r="C22" s="34"/>
      <c r="D22" s="36">
        <f>IF(Premio_Promotor &gt; 0,
   VLOOKUP(Premio_Promotor, Premios_Promotor[],
      VLOOKUP(Total_Registros_Gerente, Tabulador_Premio_Promotor_Total_Gerencia[], 2, TRUE),
   FALSE),
   0)</f>
        <v>1200</v>
      </c>
      <c r="E22" s="16"/>
      <c r="F22" s="15"/>
      <c r="H22" s="15"/>
      <c r="J22" s="24"/>
    </row>
    <row r="23" spans="1:11" x14ac:dyDescent="0.25">
      <c r="A23" s="27" t="s">
        <v>46</v>
      </c>
      <c r="B23" s="18"/>
      <c r="D23" s="28">
        <f>Tabla_Promotor37[[#Totals],[COMISION]] + Pago_Sueldo_Base_Promotor + Pago_Premio_Promotor</f>
        <v>3294</v>
      </c>
      <c r="E23" s="16"/>
      <c r="F23" s="15"/>
      <c r="H23" s="15"/>
      <c r="J23" s="24"/>
    </row>
    <row r="24" spans="1:11" x14ac:dyDescent="0.25">
      <c r="A24" s="27" t="s">
        <v>124</v>
      </c>
      <c r="B24" s="18"/>
      <c r="C24" s="29"/>
      <c r="D24" s="39">
        <f>_xlfn.IFNA(SUMIFS(Descuentos[DESCUENTO], Descuentos[COLABORADOR], Nombre_Promotor, Descuentos[PUESTO], Puesto_Promotor), 0)</f>
        <v>0</v>
      </c>
      <c r="E24" s="16" t="s">
        <v>127</v>
      </c>
      <c r="F24" s="15"/>
      <c r="H24" s="15"/>
      <c r="I24" s="18"/>
      <c r="J24" s="22"/>
      <c r="K24" s="22"/>
    </row>
    <row r="25" spans="1:11" ht="16.5" thickBot="1" x14ac:dyDescent="0.3">
      <c r="A25" s="35"/>
      <c r="C25" s="29"/>
      <c r="D25" s="28"/>
      <c r="E25" s="16"/>
      <c r="F25" s="15"/>
    </row>
    <row r="26" spans="1:11" ht="16.5" thickBot="1" x14ac:dyDescent="0.3">
      <c r="A26" s="37" t="s">
        <v>49</v>
      </c>
      <c r="B26" s="34"/>
      <c r="C26" s="50"/>
      <c r="D26" s="30">
        <f>Pago_Subtotal_Promotor + Descuento_Promotor</f>
        <v>3294</v>
      </c>
      <c r="E26" s="16"/>
      <c r="F26" s="15"/>
    </row>
    <row r="27" spans="1:11" x14ac:dyDescent="0.25">
      <c r="C27" s="29"/>
      <c r="D27" s="28"/>
      <c r="E27" s="26"/>
      <c r="F27" s="26"/>
    </row>
    <row r="28" spans="1:11" x14ac:dyDescent="0.25">
      <c r="C28" s="29"/>
      <c r="D28" s="28"/>
      <c r="E28" s="26"/>
      <c r="F28" s="26"/>
    </row>
    <row r="29" spans="1:11" ht="16.5" thickBot="1" x14ac:dyDescent="0.3">
      <c r="C29" s="37" t="s">
        <v>25</v>
      </c>
      <c r="D29" s="120" t="str" cm="1">
        <f t="array" ref="D29">NumeroATexto(Pago_Neto_Promotor)</f>
        <v>TRES MIL DOSCIENTOS NOVENTA Y CUATRO PESOS 00/100</v>
      </c>
      <c r="E29" s="120"/>
      <c r="F29" s="120"/>
      <c r="G29" s="120"/>
      <c r="H29" s="120"/>
      <c r="I29" s="120"/>
    </row>
    <row r="30" spans="1:11" x14ac:dyDescent="0.25">
      <c r="C30" s="27"/>
      <c r="D30" s="26"/>
      <c r="E30" s="16"/>
      <c r="F30" s="15"/>
    </row>
    <row r="31" spans="1:11" x14ac:dyDescent="0.25">
      <c r="C31" s="29"/>
      <c r="D31" s="28"/>
    </row>
    <row r="32" spans="1:11" ht="16.5" thickBot="1" x14ac:dyDescent="0.3">
      <c r="C32" s="33" t="s">
        <v>26</v>
      </c>
      <c r="D32" s="121"/>
      <c r="E32" s="121"/>
      <c r="F32" s="121"/>
      <c r="G32" s="121"/>
      <c r="H32" s="121"/>
      <c r="I32" s="121"/>
    </row>
  </sheetData>
  <mergeCells count="4">
    <mergeCell ref="B1:D1"/>
    <mergeCell ref="B2:D2"/>
    <mergeCell ref="D29:I29"/>
    <mergeCell ref="D32:I32"/>
  </mergeCells>
  <conditionalFormatting sqref="D9:D18">
    <cfRule type="expression" dxfId="34" priority="1">
      <formula>$G9=501</formula>
    </cfRule>
    <cfRule type="cellIs" dxfId="33" priority="4" operator="equal">
      <formula>0</formula>
    </cfRule>
  </conditionalFormatting>
  <conditionalFormatting sqref="G9:G18">
    <cfRule type="cellIs" dxfId="32" priority="2" operator="equal">
      <formula>503</formula>
    </cfRule>
    <cfRule type="cellIs" dxfId="31" priority="3" operator="equal">
      <formula>501</formula>
    </cfRule>
  </conditionalFormatting>
  <conditionalFormatting sqref="B9:B18">
    <cfRule type="duplicateValues" dxfId="29" priority="521"/>
  </conditionalFormatting>
  <dataValidations count="4">
    <dataValidation type="date" allowBlank="1" showInputMessage="1" showErrorMessage="1" sqref="I9:I18" xr:uid="{4B664E80-5205-4AD4-BA46-50E15F8086BD}">
      <formula1>B2</formula1>
      <formula2>D2</formula2>
    </dataValidation>
    <dataValidation type="custom" allowBlank="1" showInputMessage="1" showErrorMessage="1" sqref="G9:G18" xr:uid="{97731A05-F62B-49C2-A29C-1A40F0B830BE}">
      <formula1>G9&lt;&gt;500</formula1>
    </dataValidation>
    <dataValidation type="list" allowBlank="1" showInputMessage="1" showErrorMessage="1" sqref="E9:E18" xr:uid="{E0E25C24-8558-401D-A43D-326B7DDFD6EA}">
      <formula1>Nombres_Planteles</formula1>
    </dataValidation>
    <dataValidation type="list" allowBlank="1" showInputMessage="1" showErrorMessage="1" sqref="B1" xr:uid="{FB897CEE-95BB-47AB-89CC-970CFCACA7C7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D8939DA8-A80E-43DA-AA74-BA8871078F7D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AD5DA5-D94C-4A76-9465-DC1C9637E258}">
          <x14:formula1>
            <xm:f>Planteles!$A$4:$A$15</xm:f>
          </x14:formula1>
          <xm:sqref>J9:J18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4E81-E817-4D48-8023-B8A5B3BB3F60}">
  <sheetPr codeName="Sheet17">
    <tabColor rgb="FF00B050"/>
    <pageSetUpPr fitToPage="1"/>
  </sheetPr>
  <dimension ref="A1:K28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5.42578125" style="13" bestFit="1" customWidth="1"/>
    <col min="4" max="4" width="16.42578125" style="13" bestFit="1" customWidth="1"/>
    <col min="5" max="5" width="14.140625" style="13" bestFit="1" customWidth="1"/>
    <col min="6" max="6" width="21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145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COUNTIFS(Tabla_Promotor36[GRUPO], "&lt;&gt;",
          Tabla_Promotor36[GRUPO], "&lt;&gt;503",
          Tabla_Promotor36[GRUPO], "&lt;&gt;500")</f>
        <v>6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132</v>
      </c>
      <c r="B9" s="125">
        <v>20917</v>
      </c>
      <c r="C9" s="125" t="s">
        <v>241</v>
      </c>
      <c r="D9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200</v>
      </c>
      <c r="E9" s="125" t="s">
        <v>47</v>
      </c>
      <c r="F9" s="125" t="s">
        <v>272</v>
      </c>
      <c r="G9" s="127">
        <v>501</v>
      </c>
      <c r="H9" s="131">
        <f>IFERROR(VLOOKUP(Tabla_Promotor36[[#This Row],[CREDENCIAL]], Tabla_Gerente[[CREDENCIAL]:[PAGO]], 7, FALSE), 0)</f>
        <v>350</v>
      </c>
      <c r="I9" s="132">
        <v>45738</v>
      </c>
      <c r="J9" s="129"/>
      <c r="K9" s="129"/>
    </row>
    <row r="10" spans="1:11" x14ac:dyDescent="0.25">
      <c r="A10" s="124" t="s">
        <v>132</v>
      </c>
      <c r="B10" s="125">
        <v>20933</v>
      </c>
      <c r="C10" s="125" t="s">
        <v>242</v>
      </c>
      <c r="D10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200</v>
      </c>
      <c r="E10" s="125" t="s">
        <v>47</v>
      </c>
      <c r="F10" s="125" t="s">
        <v>281</v>
      </c>
      <c r="G10" s="127">
        <v>501</v>
      </c>
      <c r="H10" s="131">
        <f>IFERROR(VLOOKUP(Tabla_Promotor36[[#This Row],[CREDENCIAL]], Tabla_Gerente[[CREDENCIAL]:[PAGO]], 7, FALSE), 0)</f>
        <v>350</v>
      </c>
      <c r="I10" s="132">
        <v>45740</v>
      </c>
      <c r="J10" s="129"/>
      <c r="K10" s="129"/>
    </row>
    <row r="11" spans="1:11" x14ac:dyDescent="0.25">
      <c r="A11" s="124" t="s">
        <v>132</v>
      </c>
      <c r="B11" s="125">
        <v>20936</v>
      </c>
      <c r="C11" s="125" t="s">
        <v>243</v>
      </c>
      <c r="D11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249</v>
      </c>
      <c r="E11" s="125" t="s">
        <v>47</v>
      </c>
      <c r="F11" s="125" t="s">
        <v>272</v>
      </c>
      <c r="G11" s="127">
        <v>501</v>
      </c>
      <c r="H11" s="131">
        <f>IFERROR(VLOOKUP(Tabla_Promotor36[[#This Row],[CREDENCIAL]], Tabla_Gerente[[CREDENCIAL]:[PAGO]], 7, FALSE), 0)</f>
        <v>399</v>
      </c>
      <c r="I11" s="132">
        <v>45741</v>
      </c>
      <c r="J11" s="129"/>
      <c r="K11" s="129"/>
    </row>
    <row r="12" spans="1:11" x14ac:dyDescent="0.25">
      <c r="A12" s="124" t="s">
        <v>132</v>
      </c>
      <c r="B12" s="125">
        <v>20937</v>
      </c>
      <c r="C12" s="125" t="s">
        <v>244</v>
      </c>
      <c r="D12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250</v>
      </c>
      <c r="E12" s="125" t="s">
        <v>47</v>
      </c>
      <c r="F12" s="125" t="s">
        <v>274</v>
      </c>
      <c r="G12" s="127">
        <v>9380</v>
      </c>
      <c r="H12" s="131">
        <f>IFERROR(VLOOKUP(Tabla_Promotor36[[#This Row],[CREDENCIAL]], Tabla_Gerente[[CREDENCIAL]:[PAGO]], 7, FALSE), 0)</f>
        <v>400</v>
      </c>
      <c r="I12" s="132">
        <v>45741</v>
      </c>
      <c r="J12" s="129"/>
      <c r="K12" s="129"/>
    </row>
    <row r="13" spans="1:11" x14ac:dyDescent="0.25">
      <c r="A13" s="124" t="s">
        <v>132</v>
      </c>
      <c r="B13" s="125">
        <v>20955</v>
      </c>
      <c r="C13" s="125" t="s">
        <v>245</v>
      </c>
      <c r="D13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249</v>
      </c>
      <c r="E13" s="125" t="s">
        <v>47</v>
      </c>
      <c r="F13" s="125" t="s">
        <v>262</v>
      </c>
      <c r="G13" s="127">
        <v>9384</v>
      </c>
      <c r="H13" s="131">
        <f>IFERROR(VLOOKUP(Tabla_Promotor36[[#This Row],[CREDENCIAL]], Tabla_Gerente[[CREDENCIAL]:[PAGO]], 7, FALSE), 0)</f>
        <v>399</v>
      </c>
      <c r="I13" s="132">
        <v>45742</v>
      </c>
      <c r="J13" s="129"/>
      <c r="K13" s="129"/>
    </row>
    <row r="14" spans="1:11" x14ac:dyDescent="0.25">
      <c r="A14" s="124" t="s">
        <v>132</v>
      </c>
      <c r="B14" s="125">
        <v>20949</v>
      </c>
      <c r="C14" s="125" t="s">
        <v>246</v>
      </c>
      <c r="D14" s="126">
        <f>IF(
    OR(
        Tabla_Promotor36[[#This Row],[GRUPO]] = "",
        Tabla_Promotor36[[#This Row],[GRUPO]] = 500,
        COUNTIF(Tabla_Promotor36[CREDENCIAL], Tabla_Promotor36[[#This Row],[CREDENCIAL]]) &gt; 1,
        COUNTIF(Tabla_Gerente[CREDENCIAL], Tabla_Promotor36[[#This Row],[CREDENCIAL]]) &gt; 1,
    ),
    0,
    IF(
        Tabla_Promotor36[[#This Row],[GRUPO]] = 503,
        Tabla_Promotor36[[#This Row],[PAGO]],
        IF(
            Tabla_Promotor36[[#This Row],[PAGO]] &gt;= 299,
            Tabla_Promotor36[[#This Row],[PAGO]] - 150,
            0
        )
    )
)</f>
        <v>300</v>
      </c>
      <c r="E14" s="125" t="s">
        <v>47</v>
      </c>
      <c r="F14" s="125" t="s">
        <v>272</v>
      </c>
      <c r="G14" s="127">
        <v>9386</v>
      </c>
      <c r="H14" s="131">
        <f>IFERROR(VLOOKUP(Tabla_Promotor36[[#This Row],[CREDENCIAL]], Tabla_Gerente[[CREDENCIAL]:[PAGO]], 7, FALSE), 0)</f>
        <v>450</v>
      </c>
      <c r="I14" s="132">
        <v>45742</v>
      </c>
      <c r="J14" s="129"/>
      <c r="K14" s="129"/>
    </row>
    <row r="15" spans="1:11" x14ac:dyDescent="0.25">
      <c r="A15" s="124" t="s">
        <v>50</v>
      </c>
      <c r="B15" s="125"/>
      <c r="C15" s="125"/>
      <c r="D15" s="126">
        <f>SUBTOTAL(109,Tabla_Promotor36[COMISION])</f>
        <v>1448</v>
      </c>
      <c r="E15" s="125"/>
      <c r="F15" s="125"/>
      <c r="G15" s="127"/>
      <c r="H15" s="131"/>
      <c r="I15" s="132"/>
      <c r="J15" s="129"/>
      <c r="K15" s="129"/>
    </row>
    <row r="16" spans="1:11" x14ac:dyDescent="0.25">
      <c r="A16" s="25"/>
      <c r="B16" s="14"/>
      <c r="C16" s="15"/>
      <c r="D16" s="54"/>
      <c r="E16" s="14"/>
      <c r="F16" s="14"/>
      <c r="G16" s="27"/>
      <c r="H16" s="55"/>
      <c r="I16" s="14"/>
      <c r="J16" s="16"/>
      <c r="K16" s="16"/>
    </row>
    <row r="17" spans="1:11" x14ac:dyDescent="0.25">
      <c r="A17" s="25" t="s">
        <v>13</v>
      </c>
      <c r="D17" s="74">
        <f>_xlfn.IFNA(VLOOKUP(Nombre_Promotor,Sueldos_Base[],2,FALSE),0)</f>
        <v>0</v>
      </c>
      <c r="E17" s="16"/>
      <c r="F17" s="15"/>
      <c r="H17" s="15"/>
      <c r="J17" s="24"/>
    </row>
    <row r="18" spans="1:11" ht="16.5" thickBot="1" x14ac:dyDescent="0.3">
      <c r="A18" s="37" t="s">
        <v>45</v>
      </c>
      <c r="B18" s="38">
        <f>IF(Total_Registros_Promotor &lt; Premios!A5, 0,
   VLOOKUP(Total_Registros_Promotor, Premios_Promotor[], 1, TRUE))</f>
        <v>6</v>
      </c>
      <c r="C18" s="34"/>
      <c r="D18" s="36">
        <f>IF(Premio_Promotor &gt; 0,
   VLOOKUP(Premio_Promotor, Premios_Promotor[],
      VLOOKUP(Total_Registros_Gerente, Tabulador_Premio_Promotor_Total_Gerencia[], 2, TRUE),
   FALSE),
   0)</f>
        <v>800</v>
      </c>
      <c r="E18" s="16"/>
      <c r="F18" s="15"/>
      <c r="H18" s="15"/>
      <c r="J18" s="24"/>
    </row>
    <row r="19" spans="1:11" x14ac:dyDescent="0.25">
      <c r="A19" s="27" t="s">
        <v>46</v>
      </c>
      <c r="B19" s="18"/>
      <c r="D19" s="28">
        <f>Tabla_Promotor36[[#Totals],[COMISION]] + Pago_Sueldo_Base_Promotor + Pago_Premio_Promotor</f>
        <v>2248</v>
      </c>
      <c r="E19" s="16"/>
      <c r="F19" s="15"/>
      <c r="H19" s="15"/>
      <c r="J19" s="24"/>
    </row>
    <row r="20" spans="1:11" x14ac:dyDescent="0.25">
      <c r="A20" s="27" t="s">
        <v>124</v>
      </c>
      <c r="B20" s="18"/>
      <c r="C20" s="29"/>
      <c r="D20" s="39">
        <f>_xlfn.IFNA(SUMIFS(Descuentos[DESCUENTO], Descuentos[COLABORADOR], Nombre_Promotor, Descuentos[PUESTO], Puesto_Promotor), 0)</f>
        <v>0</v>
      </c>
      <c r="E20" s="16" t="s">
        <v>127</v>
      </c>
      <c r="F20" s="15"/>
      <c r="H20" s="15"/>
      <c r="I20" s="18"/>
      <c r="J20" s="22"/>
      <c r="K20" s="22"/>
    </row>
    <row r="21" spans="1:11" ht="16.5" thickBot="1" x14ac:dyDescent="0.3">
      <c r="A21" s="35"/>
      <c r="C21" s="29"/>
      <c r="D21" s="28"/>
      <c r="E21" s="16"/>
      <c r="F21" s="15"/>
    </row>
    <row r="22" spans="1:11" ht="16.5" thickBot="1" x14ac:dyDescent="0.3">
      <c r="A22" s="37" t="s">
        <v>49</v>
      </c>
      <c r="B22" s="34"/>
      <c r="C22" s="50"/>
      <c r="D22" s="30">
        <f>Pago_Subtotal_Promotor + Descuento_Promotor</f>
        <v>2248</v>
      </c>
      <c r="E22" s="16"/>
      <c r="F22" s="15"/>
    </row>
    <row r="23" spans="1:11" x14ac:dyDescent="0.25">
      <c r="C23" s="29"/>
      <c r="D23" s="28"/>
      <c r="E23" s="26"/>
      <c r="F23" s="26"/>
    </row>
    <row r="24" spans="1:11" x14ac:dyDescent="0.25">
      <c r="C24" s="29"/>
      <c r="D24" s="28"/>
      <c r="E24" s="26"/>
      <c r="F24" s="26"/>
    </row>
    <row r="25" spans="1:11" ht="16.5" thickBot="1" x14ac:dyDescent="0.3">
      <c r="C25" s="37" t="s">
        <v>25</v>
      </c>
      <c r="D25" s="120" t="str" cm="1">
        <f t="array" ref="D25">NumeroATexto(Pago_Neto_Promotor)</f>
        <v>DOS MIL DOSCIENTOS CUARENTA Y OCHO PESOS 00/100</v>
      </c>
      <c r="E25" s="120"/>
      <c r="F25" s="120"/>
      <c r="G25" s="120"/>
      <c r="H25" s="120"/>
      <c r="I25" s="120"/>
    </row>
    <row r="26" spans="1:11" x14ac:dyDescent="0.25">
      <c r="C26" s="27"/>
      <c r="D26" s="26"/>
      <c r="E26" s="16"/>
      <c r="F26" s="15"/>
    </row>
    <row r="27" spans="1:11" x14ac:dyDescent="0.25">
      <c r="C27" s="29"/>
      <c r="D27" s="28"/>
    </row>
    <row r="28" spans="1:11" ht="16.5" thickBot="1" x14ac:dyDescent="0.3">
      <c r="C28" s="33" t="s">
        <v>26</v>
      </c>
      <c r="D28" s="121"/>
      <c r="E28" s="121"/>
      <c r="F28" s="121"/>
      <c r="G28" s="121"/>
      <c r="H28" s="121"/>
      <c r="I28" s="121"/>
    </row>
  </sheetData>
  <mergeCells count="4">
    <mergeCell ref="B1:D1"/>
    <mergeCell ref="B2:D2"/>
    <mergeCell ref="D25:I25"/>
    <mergeCell ref="D28:I28"/>
  </mergeCells>
  <conditionalFormatting sqref="D9:D14">
    <cfRule type="expression" dxfId="28" priority="1">
      <formula>$G9=501</formula>
    </cfRule>
    <cfRule type="cellIs" dxfId="27" priority="4" operator="equal">
      <formula>0</formula>
    </cfRule>
  </conditionalFormatting>
  <conditionalFormatting sqref="G9:G14">
    <cfRule type="cellIs" dxfId="26" priority="2" operator="equal">
      <formula>503</formula>
    </cfRule>
    <cfRule type="cellIs" dxfId="25" priority="3" operator="equal">
      <formula>501</formula>
    </cfRule>
  </conditionalFormatting>
  <conditionalFormatting sqref="B9:B14">
    <cfRule type="duplicateValues" dxfId="23" priority="518"/>
  </conditionalFormatting>
  <dataValidations count="4">
    <dataValidation type="date" allowBlank="1" showInputMessage="1" showErrorMessage="1" sqref="I9:I14" xr:uid="{5CA40A62-B2F4-401B-B872-8C9FFD8775F7}">
      <formula1>B2</formula1>
      <formula2>D2</formula2>
    </dataValidation>
    <dataValidation type="custom" allowBlank="1" showInputMessage="1" showErrorMessage="1" sqref="G9:G14" xr:uid="{7C8D4976-7A0E-4ADC-A0BE-798A9513F1A5}">
      <formula1>G9&lt;&gt;500</formula1>
    </dataValidation>
    <dataValidation type="list" allowBlank="1" showInputMessage="1" showErrorMessage="1" sqref="E9:E14" xr:uid="{17455191-E13A-4990-BFC0-DB458259FC2E}">
      <formula1>Nombres_Planteles</formula1>
    </dataValidation>
    <dataValidation type="list" allowBlank="1" showInputMessage="1" showErrorMessage="1" sqref="B1" xr:uid="{E0036DBF-6E96-4F50-8737-2C4ADB1A29DB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42FF324B-2837-4767-9344-EF12B5A212CD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66390-6626-469E-A3EA-AD1D9DA71D68}">
          <x14:formula1>
            <xm:f>Planteles!$A$4:$A$15</xm:f>
          </x14:formula1>
          <xm:sqref>J9:J14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518F-EDD3-41C0-BBC0-DEA4F5904935}">
  <sheetPr codeName="Sheet16">
    <tabColor rgb="FF00B050"/>
    <pageSetUpPr fitToPage="1"/>
  </sheetPr>
  <dimension ref="A1:K27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2.140625" style="13" bestFit="1" customWidth="1"/>
    <col min="4" max="4" width="16.42578125" style="13" bestFit="1" customWidth="1"/>
    <col min="5" max="5" width="14.140625" style="13" bestFit="1" customWidth="1"/>
    <col min="6" max="6" width="18.57031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144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COUNTIFS(Tabla_Promotor35[GRUPO], "&lt;&gt;",
          Tabla_Promotor35[GRUPO], "&lt;&gt;503",
          Tabla_Promotor35[GRUPO], "&lt;&gt;500")</f>
        <v>5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131</v>
      </c>
      <c r="B9" s="125">
        <v>20924</v>
      </c>
      <c r="C9" s="125" t="s">
        <v>237</v>
      </c>
      <c r="D9" s="126">
        <f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f>
        <v>150</v>
      </c>
      <c r="E9" s="125" t="s">
        <v>47</v>
      </c>
      <c r="F9" s="125" t="s">
        <v>276</v>
      </c>
      <c r="G9" s="127">
        <v>501</v>
      </c>
      <c r="H9" s="131">
        <f>IFERROR(VLOOKUP(Tabla_Promotor35[[#This Row],[CREDENCIAL]], Tabla_Gerente[[CREDENCIAL]:[PAGO]], 7, FALSE), 0)</f>
        <v>300</v>
      </c>
      <c r="I9" s="132">
        <v>45739</v>
      </c>
      <c r="J9" s="129"/>
      <c r="K9" s="129"/>
    </row>
    <row r="10" spans="1:11" x14ac:dyDescent="0.25">
      <c r="A10" s="124" t="s">
        <v>131</v>
      </c>
      <c r="B10" s="125">
        <v>20926</v>
      </c>
      <c r="C10" s="125" t="s">
        <v>238</v>
      </c>
      <c r="D10" s="126">
        <f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f>
        <v>200</v>
      </c>
      <c r="E10" s="125" t="s">
        <v>47</v>
      </c>
      <c r="F10" s="125" t="s">
        <v>278</v>
      </c>
      <c r="G10" s="127">
        <v>9275</v>
      </c>
      <c r="H10" s="131">
        <f>IFERROR(VLOOKUP(Tabla_Promotor35[[#This Row],[CREDENCIAL]], Tabla_Gerente[[CREDENCIAL]:[PAGO]], 7, FALSE), 0)</f>
        <v>350</v>
      </c>
      <c r="I10" s="132">
        <v>45740</v>
      </c>
      <c r="J10" s="129"/>
      <c r="K10" s="129"/>
    </row>
    <row r="11" spans="1:11" x14ac:dyDescent="0.25">
      <c r="A11" s="124" t="s">
        <v>131</v>
      </c>
      <c r="B11" s="125">
        <v>20927</v>
      </c>
      <c r="C11" s="125" t="s">
        <v>239</v>
      </c>
      <c r="D11" s="126">
        <f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f>
        <v>350</v>
      </c>
      <c r="E11" s="125" t="s">
        <v>47</v>
      </c>
      <c r="F11" s="125" t="s">
        <v>276</v>
      </c>
      <c r="G11" s="127">
        <v>501</v>
      </c>
      <c r="H11" s="131">
        <f>IFERROR(VLOOKUP(Tabla_Promotor35[[#This Row],[CREDENCIAL]], Tabla_Gerente[[CREDENCIAL]:[PAGO]], 7, FALSE), 0)</f>
        <v>500</v>
      </c>
      <c r="I11" s="132">
        <v>45740</v>
      </c>
      <c r="J11" s="129"/>
      <c r="K11" s="129"/>
    </row>
    <row r="12" spans="1:11" x14ac:dyDescent="0.25">
      <c r="A12" s="124" t="s">
        <v>131</v>
      </c>
      <c r="B12" s="125">
        <v>20935</v>
      </c>
      <c r="C12" s="125" t="s">
        <v>238</v>
      </c>
      <c r="D12" s="126">
        <f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f>
        <v>400</v>
      </c>
      <c r="E12" s="125" t="s">
        <v>47</v>
      </c>
      <c r="F12" s="125" t="s">
        <v>274</v>
      </c>
      <c r="G12" s="127">
        <v>9388</v>
      </c>
      <c r="H12" s="131">
        <f>IFERROR(VLOOKUP(Tabla_Promotor35[[#This Row],[CREDENCIAL]], Tabla_Gerente[[CREDENCIAL]:[PAGO]], 7, FALSE), 0)</f>
        <v>550</v>
      </c>
      <c r="I12" s="132">
        <v>45741</v>
      </c>
      <c r="J12" s="129"/>
      <c r="K12" s="129"/>
    </row>
    <row r="13" spans="1:11" x14ac:dyDescent="0.25">
      <c r="A13" s="124" t="s">
        <v>131</v>
      </c>
      <c r="B13" s="125">
        <v>20944</v>
      </c>
      <c r="C13" s="125" t="s">
        <v>240</v>
      </c>
      <c r="D13" s="126">
        <f>IF(
    OR(
        Tabla_Promotor35[[#This Row],[GRUPO]] = "",
        Tabla_Promotor35[[#This Row],[GRUPO]] = 500,
        COUNTIF(Tabla_Promotor35[CREDENCIAL], Tabla_Promotor35[[#This Row],[CREDENCIAL]]) &gt; 1,
        COUNTIF(Tabla_Gerente[CREDENCIAL], Tabla_Promotor35[[#This Row],[CREDENCIAL]]) &gt; 1,
    ),
    0,
    IF(
        Tabla_Promotor35[[#This Row],[GRUPO]] = 503,
        Tabla_Promotor35[[#This Row],[PAGO]],
        IF(
            Tabla_Promotor35[[#This Row],[PAGO]] &gt;= 299,
            Tabla_Promotor35[[#This Row],[PAGO]] - 150,
            0
        )
    )
)</f>
        <v>550</v>
      </c>
      <c r="E13" s="125" t="s">
        <v>47</v>
      </c>
      <c r="F13" s="125" t="s">
        <v>274</v>
      </c>
      <c r="G13" s="127">
        <v>9380</v>
      </c>
      <c r="H13" s="131">
        <f>IFERROR(VLOOKUP(Tabla_Promotor35[[#This Row],[CREDENCIAL]], Tabla_Gerente[[CREDENCIAL]:[PAGO]], 7, FALSE), 0)</f>
        <v>700</v>
      </c>
      <c r="I13" s="132">
        <v>45741</v>
      </c>
      <c r="J13" s="129"/>
      <c r="K13" s="129"/>
    </row>
    <row r="14" spans="1:11" x14ac:dyDescent="0.25">
      <c r="A14" s="124" t="s">
        <v>50</v>
      </c>
      <c r="B14" s="125"/>
      <c r="C14" s="125"/>
      <c r="D14" s="126">
        <f>SUBTOTAL(109,Tabla_Promotor35[COMISION])</f>
        <v>1650</v>
      </c>
      <c r="E14" s="125"/>
      <c r="F14" s="125"/>
      <c r="G14" s="127"/>
      <c r="H14" s="131"/>
      <c r="I14" s="132"/>
      <c r="J14" s="129"/>
      <c r="K14" s="129"/>
    </row>
    <row r="15" spans="1:11" x14ac:dyDescent="0.25">
      <c r="A15" s="25"/>
      <c r="B15" s="14"/>
      <c r="C15" s="15"/>
      <c r="D15" s="54"/>
      <c r="E15" s="14"/>
      <c r="F15" s="14"/>
      <c r="G15" s="27"/>
      <c r="H15" s="55"/>
      <c r="I15" s="14"/>
      <c r="J15" s="16"/>
      <c r="K15" s="16"/>
    </row>
    <row r="16" spans="1:11" x14ac:dyDescent="0.25">
      <c r="A16" s="25" t="s">
        <v>13</v>
      </c>
      <c r="D16" s="74">
        <f>_xlfn.IFNA(VLOOKUP(Nombre_Promotor,Sueldos_Base[],2,FALSE),0)</f>
        <v>0</v>
      </c>
      <c r="E16" s="16"/>
      <c r="F16" s="15"/>
      <c r="H16" s="15"/>
      <c r="J16" s="24"/>
    </row>
    <row r="17" spans="1:11" ht="16.5" thickBot="1" x14ac:dyDescent="0.3">
      <c r="A17" s="37" t="s">
        <v>45</v>
      </c>
      <c r="B17" s="38">
        <f>IF(Total_Registros_Promotor &lt; Premios!A5, 0,
   VLOOKUP(Total_Registros_Promotor, Premios_Promotor[], 1, TRUE))</f>
        <v>4</v>
      </c>
      <c r="C17" s="34"/>
      <c r="D17" s="36">
        <f>IF(Premio_Promotor &gt; 0,
   VLOOKUP(Premio_Promotor, Premios_Promotor[],
      VLOOKUP(Total_Registros_Gerente, Tabulador_Premio_Promotor_Total_Gerencia[], 2, TRUE),
   FALSE),
   0)</f>
        <v>500</v>
      </c>
      <c r="E17" s="16"/>
      <c r="F17" s="15"/>
      <c r="H17" s="15"/>
      <c r="J17" s="24"/>
    </row>
    <row r="18" spans="1:11" x14ac:dyDescent="0.25">
      <c r="A18" s="27" t="s">
        <v>46</v>
      </c>
      <c r="B18" s="18"/>
      <c r="D18" s="28">
        <f>Tabla_Promotor35[[#Totals],[COMISION]] + Pago_Sueldo_Base_Promotor + Pago_Premio_Promotor</f>
        <v>2150</v>
      </c>
      <c r="E18" s="16"/>
      <c r="F18" s="15"/>
      <c r="H18" s="15"/>
      <c r="J18" s="24"/>
    </row>
    <row r="19" spans="1:11" x14ac:dyDescent="0.25">
      <c r="A19" s="27" t="s">
        <v>124</v>
      </c>
      <c r="B19" s="18"/>
      <c r="C19" s="29"/>
      <c r="D19" s="39">
        <f>_xlfn.IFNA(SUMIFS(Descuentos[DESCUENTO], Descuentos[COLABORADOR], Nombre_Promotor, Descuentos[PUESTO], Puesto_Promotor), 0)</f>
        <v>0</v>
      </c>
      <c r="E19" s="16" t="s">
        <v>127</v>
      </c>
      <c r="F19" s="15"/>
      <c r="H19" s="15"/>
      <c r="I19" s="18"/>
      <c r="J19" s="22"/>
      <c r="K19" s="22"/>
    </row>
    <row r="20" spans="1:11" ht="16.5" thickBot="1" x14ac:dyDescent="0.3">
      <c r="A20" s="35"/>
      <c r="C20" s="29"/>
      <c r="D20" s="28"/>
      <c r="E20" s="16"/>
      <c r="F20" s="15"/>
    </row>
    <row r="21" spans="1:11" ht="16.5" thickBot="1" x14ac:dyDescent="0.3">
      <c r="A21" s="37" t="s">
        <v>49</v>
      </c>
      <c r="B21" s="34"/>
      <c r="C21" s="50"/>
      <c r="D21" s="30">
        <f>Pago_Subtotal_Promotor + Descuento_Promotor</f>
        <v>2150</v>
      </c>
      <c r="E21" s="16"/>
      <c r="F21" s="15"/>
    </row>
    <row r="22" spans="1:11" x14ac:dyDescent="0.25">
      <c r="C22" s="29"/>
      <c r="D22" s="28"/>
      <c r="E22" s="26"/>
      <c r="F22" s="26"/>
    </row>
    <row r="23" spans="1:11" x14ac:dyDescent="0.25">
      <c r="C23" s="29"/>
      <c r="D23" s="28"/>
      <c r="E23" s="26"/>
      <c r="F23" s="26"/>
    </row>
    <row r="24" spans="1:11" ht="16.5" thickBot="1" x14ac:dyDescent="0.3">
      <c r="C24" s="37" t="s">
        <v>25</v>
      </c>
      <c r="D24" s="120" t="str" cm="1">
        <f t="array" ref="D24">NumeroATexto(Pago_Neto_Promotor)</f>
        <v>DOS MIL CIENTO CINCUENTA PESOS 00/100</v>
      </c>
      <c r="E24" s="120"/>
      <c r="F24" s="120"/>
      <c r="G24" s="120"/>
      <c r="H24" s="120"/>
      <c r="I24" s="120"/>
    </row>
    <row r="25" spans="1:11" x14ac:dyDescent="0.25">
      <c r="C25" s="27"/>
      <c r="D25" s="26"/>
      <c r="E25" s="16"/>
      <c r="F25" s="15"/>
    </row>
    <row r="26" spans="1:11" x14ac:dyDescent="0.25">
      <c r="C26" s="29"/>
      <c r="D26" s="28"/>
    </row>
    <row r="27" spans="1:11" ht="16.5" thickBot="1" x14ac:dyDescent="0.3">
      <c r="C27" s="33" t="s">
        <v>26</v>
      </c>
      <c r="D27" s="121"/>
      <c r="E27" s="121"/>
      <c r="F27" s="121"/>
      <c r="G27" s="121"/>
      <c r="H27" s="121"/>
      <c r="I27" s="121"/>
    </row>
  </sheetData>
  <mergeCells count="4">
    <mergeCell ref="B1:D1"/>
    <mergeCell ref="B2:D2"/>
    <mergeCell ref="D24:I24"/>
    <mergeCell ref="D27:I27"/>
  </mergeCells>
  <conditionalFormatting sqref="D9:D13">
    <cfRule type="expression" dxfId="22" priority="1">
      <formula>$G9=501</formula>
    </cfRule>
    <cfRule type="cellIs" dxfId="21" priority="4" operator="equal">
      <formula>0</formula>
    </cfRule>
  </conditionalFormatting>
  <conditionalFormatting sqref="G9:G13">
    <cfRule type="cellIs" dxfId="20" priority="2" operator="equal">
      <formula>503</formula>
    </cfRule>
    <cfRule type="cellIs" dxfId="19" priority="3" operator="equal">
      <formula>501</formula>
    </cfRule>
  </conditionalFormatting>
  <conditionalFormatting sqref="B9:B13">
    <cfRule type="duplicateValues" dxfId="17" priority="515"/>
  </conditionalFormatting>
  <dataValidations count="4">
    <dataValidation type="date" allowBlank="1" showInputMessage="1" showErrorMessage="1" sqref="I9:I13" xr:uid="{074F80D4-F61C-4AFE-B092-293F289FE8DA}">
      <formula1>B2</formula1>
      <formula2>D2</formula2>
    </dataValidation>
    <dataValidation type="custom" allowBlank="1" showInputMessage="1" showErrorMessage="1" sqref="G9:G13" xr:uid="{01FF86A1-9E69-4DF2-AC1B-E7160500ABAC}">
      <formula1>G9&lt;&gt;500</formula1>
    </dataValidation>
    <dataValidation type="list" allowBlank="1" showInputMessage="1" showErrorMessage="1" sqref="E9:E13" xr:uid="{7AC63AA6-6DC4-4060-ACF7-84E944280FB8}">
      <formula1>Nombres_Planteles</formula1>
    </dataValidation>
    <dataValidation type="list" allowBlank="1" showInputMessage="1" showErrorMessage="1" sqref="B1" xr:uid="{F394370D-6244-4055-93FC-4A4D1622309E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56DABCAD-1264-4312-B826-D94DCF6D95DD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79B36E-9D2B-4FE6-B26C-B815C0C00F93}">
          <x14:formula1>
            <xm:f>Planteles!$A$4:$A$15</xm:f>
          </x14:formula1>
          <xm:sqref>J9:J13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19A6-35AC-4DA5-924A-8275A6C38BCD}">
  <sheetPr codeName="Sheet15">
    <tabColor rgb="FF00B050"/>
    <pageSetUpPr fitToPage="1"/>
  </sheetPr>
  <dimension ref="A1:K31"/>
  <sheetViews>
    <sheetView workbookViewId="0">
      <selection activeCell="G17" sqref="G17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34.7109375" style="13" bestFit="1" customWidth="1"/>
    <col min="4" max="4" width="16.42578125" style="13" bestFit="1" customWidth="1"/>
    <col min="5" max="5" width="14.140625" style="13" bestFit="1" customWidth="1"/>
    <col min="6" max="6" width="21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8" t="s">
        <v>143</v>
      </c>
      <c r="C1" s="118"/>
      <c r="D1" s="118"/>
      <c r="F1" s="43" t="s">
        <v>120</v>
      </c>
      <c r="G1" s="46" t="s">
        <v>7</v>
      </c>
      <c r="I1" s="31" t="s">
        <v>59</v>
      </c>
      <c r="J1" s="34">
        <f>Total_Registros_Gerente</f>
        <v>61</v>
      </c>
    </row>
    <row r="2" spans="1:11" ht="16.5" thickBot="1" x14ac:dyDescent="0.3">
      <c r="A2" s="43" t="s">
        <v>31</v>
      </c>
      <c r="B2" s="119"/>
      <c r="C2" s="119"/>
      <c r="D2" s="119"/>
    </row>
    <row r="3" spans="1:11" ht="16.5" thickBot="1" x14ac:dyDescent="0.3">
      <c r="A3" s="43" t="s">
        <v>29</v>
      </c>
      <c r="B3" s="44">
        <v>45736</v>
      </c>
      <c r="C3" s="45" t="s">
        <v>30</v>
      </c>
      <c r="D3" s="46">
        <v>45743</v>
      </c>
      <c r="F3" s="20"/>
      <c r="G3" s="21"/>
      <c r="I3" s="14"/>
    </row>
    <row r="4" spans="1:11" ht="16.5" thickBot="1" x14ac:dyDescent="0.3">
      <c r="A4" s="43" t="s">
        <v>17</v>
      </c>
      <c r="B4" s="48">
        <f>COUNTIFS(Tabla_Promotor34[GRUPO], "&lt;&gt;",
          Tabla_Promotor34[GRUPO], "&lt;&gt;503",
          Tabla_Promotor34[GRUPO], "&lt;&gt;500")</f>
        <v>9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12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>
        <v>45748</v>
      </c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24" t="s">
        <v>130</v>
      </c>
      <c r="B9" s="125">
        <v>20895</v>
      </c>
      <c r="C9" s="125" t="s">
        <v>228</v>
      </c>
      <c r="D9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9" s="125" t="s">
        <v>47</v>
      </c>
      <c r="F9" s="125" t="s">
        <v>257</v>
      </c>
      <c r="G9" s="127">
        <v>9394</v>
      </c>
      <c r="H9" s="131">
        <f>IFERROR(VLOOKUP(Tabla_Promotor34[[#This Row],[CREDENCIAL]], Tabla_Gerente[[CREDENCIAL]:[PAGO]], 7, FALSE), 0)</f>
        <v>399</v>
      </c>
      <c r="I9" s="132">
        <v>45736</v>
      </c>
      <c r="J9" s="129"/>
      <c r="K9" s="129"/>
    </row>
    <row r="10" spans="1:11" x14ac:dyDescent="0.25">
      <c r="A10" s="124" t="s">
        <v>130</v>
      </c>
      <c r="B10" s="125">
        <v>20896</v>
      </c>
      <c r="C10" s="125" t="s">
        <v>229</v>
      </c>
      <c r="D10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0" s="125" t="s">
        <v>47</v>
      </c>
      <c r="F10" s="125" t="s">
        <v>271</v>
      </c>
      <c r="G10" s="127">
        <v>9379</v>
      </c>
      <c r="H10" s="131">
        <f>IFERROR(VLOOKUP(Tabla_Promotor34[[#This Row],[CREDENCIAL]], Tabla_Gerente[[CREDENCIAL]:[PAGO]], 7, FALSE), 0)</f>
        <v>399</v>
      </c>
      <c r="I10" s="132">
        <v>45736</v>
      </c>
      <c r="J10" s="129"/>
      <c r="K10" s="129"/>
    </row>
    <row r="11" spans="1:11" x14ac:dyDescent="0.25">
      <c r="A11" s="124" t="s">
        <v>130</v>
      </c>
      <c r="B11" s="125">
        <v>20900</v>
      </c>
      <c r="C11" s="125" t="s">
        <v>230</v>
      </c>
      <c r="D11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1" s="125" t="s">
        <v>47</v>
      </c>
      <c r="F11" s="125" t="s">
        <v>267</v>
      </c>
      <c r="G11" s="127">
        <v>9273</v>
      </c>
      <c r="H11" s="131">
        <f>IFERROR(VLOOKUP(Tabla_Promotor34[[#This Row],[CREDENCIAL]], Tabla_Gerente[[CREDENCIAL]:[PAGO]], 7, FALSE), 0)</f>
        <v>399</v>
      </c>
      <c r="I11" s="132">
        <v>45736</v>
      </c>
      <c r="J11" s="129"/>
      <c r="K11" s="129"/>
    </row>
    <row r="12" spans="1:11" x14ac:dyDescent="0.25">
      <c r="A12" s="124" t="s">
        <v>130</v>
      </c>
      <c r="B12" s="125">
        <v>20907</v>
      </c>
      <c r="C12" s="125" t="s">
        <v>231</v>
      </c>
      <c r="D12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2" s="125" t="s">
        <v>47</v>
      </c>
      <c r="F12" s="125" t="s">
        <v>272</v>
      </c>
      <c r="G12" s="127">
        <v>9386</v>
      </c>
      <c r="H12" s="131">
        <f>IFERROR(VLOOKUP(Tabla_Promotor34[[#This Row],[CREDENCIAL]], Tabla_Gerente[[CREDENCIAL]:[PAGO]], 7, FALSE), 0)</f>
        <v>399</v>
      </c>
      <c r="I12" s="132">
        <v>45737</v>
      </c>
      <c r="J12" s="129"/>
      <c r="K12" s="129"/>
    </row>
    <row r="13" spans="1:11" x14ac:dyDescent="0.25">
      <c r="A13" s="124" t="s">
        <v>130</v>
      </c>
      <c r="B13" s="125">
        <v>20911</v>
      </c>
      <c r="C13" s="125" t="s">
        <v>232</v>
      </c>
      <c r="D13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3" s="125" t="s">
        <v>47</v>
      </c>
      <c r="F13" s="125" t="s">
        <v>257</v>
      </c>
      <c r="G13" s="127">
        <v>9187</v>
      </c>
      <c r="H13" s="131">
        <f>IFERROR(VLOOKUP(Tabla_Promotor34[[#This Row],[CREDENCIAL]], Tabla_Gerente[[CREDENCIAL]:[PAGO]], 7, FALSE), 0)</f>
        <v>399</v>
      </c>
      <c r="I13" s="132">
        <v>45737</v>
      </c>
      <c r="J13" s="129"/>
      <c r="K13" s="129"/>
    </row>
    <row r="14" spans="1:11" x14ac:dyDescent="0.25">
      <c r="A14" s="124" t="s">
        <v>130</v>
      </c>
      <c r="B14" s="125">
        <v>20912</v>
      </c>
      <c r="C14" s="125" t="s">
        <v>233</v>
      </c>
      <c r="D14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4" s="125" t="s">
        <v>47</v>
      </c>
      <c r="F14" s="125" t="s">
        <v>257</v>
      </c>
      <c r="G14" s="127">
        <v>9187</v>
      </c>
      <c r="H14" s="131">
        <f>IFERROR(VLOOKUP(Tabla_Promotor34[[#This Row],[CREDENCIAL]], Tabla_Gerente[[CREDENCIAL]:[PAGO]], 7, FALSE), 0)</f>
        <v>399</v>
      </c>
      <c r="I14" s="132">
        <v>45737</v>
      </c>
      <c r="J14" s="129"/>
      <c r="K14" s="129"/>
    </row>
    <row r="15" spans="1:11" x14ac:dyDescent="0.25">
      <c r="A15" s="124" t="s">
        <v>130</v>
      </c>
      <c r="B15" s="125">
        <v>20913</v>
      </c>
      <c r="C15" s="125" t="s">
        <v>234</v>
      </c>
      <c r="D15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200</v>
      </c>
      <c r="E15" s="125" t="s">
        <v>47</v>
      </c>
      <c r="F15" s="125" t="s">
        <v>274</v>
      </c>
      <c r="G15" s="127">
        <v>9382</v>
      </c>
      <c r="H15" s="131">
        <f>IFERROR(VLOOKUP(Tabla_Promotor34[[#This Row],[CREDENCIAL]], Tabla_Gerente[[CREDENCIAL]:[PAGO]], 7, FALSE), 0)</f>
        <v>350</v>
      </c>
      <c r="I15" s="132">
        <v>45738</v>
      </c>
      <c r="J15" s="129"/>
      <c r="K15" s="129"/>
    </row>
    <row r="16" spans="1:11" x14ac:dyDescent="0.25">
      <c r="A16" s="124" t="s">
        <v>130</v>
      </c>
      <c r="B16" s="125">
        <v>20915</v>
      </c>
      <c r="C16" s="125" t="s">
        <v>235</v>
      </c>
      <c r="D16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249</v>
      </c>
      <c r="E16" s="125" t="s">
        <v>47</v>
      </c>
      <c r="F16" s="125" t="s">
        <v>274</v>
      </c>
      <c r="G16" s="127">
        <v>9380</v>
      </c>
      <c r="H16" s="131">
        <f>IFERROR(VLOOKUP(Tabla_Promotor34[[#This Row],[CREDENCIAL]], Tabla_Gerente[[CREDENCIAL]:[PAGO]], 7, FALSE), 0)</f>
        <v>399</v>
      </c>
      <c r="I16" s="132">
        <v>45738</v>
      </c>
      <c r="J16" s="129"/>
      <c r="K16" s="129"/>
    </row>
    <row r="17" spans="1:11" x14ac:dyDescent="0.25">
      <c r="A17" s="124" t="s">
        <v>130</v>
      </c>
      <c r="B17" s="125">
        <v>20918</v>
      </c>
      <c r="C17" s="125" t="s">
        <v>236</v>
      </c>
      <c r="D17" s="126">
        <f>IF(
    OR(
        Tabla_Promotor34[[#This Row],[GRUPO]] = "",
        Tabla_Promotor34[[#This Row],[GRUPO]] = 500,
        COUNTIF(Tabla_Promotor34[CREDENCIAL], Tabla_Promotor34[[#This Row],[CREDENCIAL]]) &gt; 1,
        COUNTIF(Tabla_Gerente[CREDENCIAL], Tabla_Promotor34[[#This Row],[CREDENCIAL]]) &gt; 1,
    ),
    0,
    IF(
        Tabla_Promotor34[[#This Row],[GRUPO]] = 503,
        Tabla_Promotor34[[#This Row],[PAGO]],
        IF(
            Tabla_Promotor34[[#This Row],[PAGO]] &gt;= 299,
            Tabla_Promotor34[[#This Row],[PAGO]] - 150,
            0
        )
    )
)</f>
        <v>400</v>
      </c>
      <c r="E17" s="125" t="s">
        <v>47</v>
      </c>
      <c r="F17" s="125" t="s">
        <v>267</v>
      </c>
      <c r="G17" s="127">
        <v>9272</v>
      </c>
      <c r="H17" s="131">
        <f>IFERROR(VLOOKUP(Tabla_Promotor34[[#This Row],[CREDENCIAL]], Tabla_Gerente[[CREDENCIAL]:[PAGO]], 7, FALSE), 0)</f>
        <v>550</v>
      </c>
      <c r="I17" s="132">
        <v>45738</v>
      </c>
      <c r="J17" s="129"/>
      <c r="K17" s="129"/>
    </row>
    <row r="18" spans="1:11" x14ac:dyDescent="0.25">
      <c r="A18" s="124" t="s">
        <v>50</v>
      </c>
      <c r="B18" s="125"/>
      <c r="C18" s="125"/>
      <c r="D18" s="126">
        <f>SUBTOTAL(109,Tabla_Promotor34[COMISION])</f>
        <v>2343</v>
      </c>
      <c r="E18" s="125"/>
      <c r="F18" s="125"/>
      <c r="G18" s="127"/>
      <c r="H18" s="131"/>
      <c r="I18" s="132"/>
      <c r="J18" s="129"/>
      <c r="K18" s="129"/>
    </row>
    <row r="19" spans="1:11" x14ac:dyDescent="0.25">
      <c r="A19" s="25"/>
      <c r="B19" s="14"/>
      <c r="C19" s="15"/>
      <c r="D19" s="54"/>
      <c r="E19" s="14"/>
      <c r="F19" s="14"/>
      <c r="G19" s="27"/>
      <c r="H19" s="55"/>
      <c r="I19" s="14"/>
      <c r="J19" s="16"/>
      <c r="K19" s="16"/>
    </row>
    <row r="20" spans="1:11" x14ac:dyDescent="0.25">
      <c r="A20" s="25" t="s">
        <v>13</v>
      </c>
      <c r="D20" s="74">
        <f>_xlfn.IFNA(VLOOKUP(Nombre_Promotor,Sueldos_Base[],2,FALSE),0)</f>
        <v>0</v>
      </c>
      <c r="E20" s="16"/>
      <c r="F20" s="15"/>
      <c r="H20" s="15"/>
      <c r="J20" s="24"/>
    </row>
    <row r="21" spans="1:11" ht="16.5" thickBot="1" x14ac:dyDescent="0.3">
      <c r="A21" s="37" t="s">
        <v>45</v>
      </c>
      <c r="B21" s="38">
        <f>IF(Total_Registros_Promotor &lt; Premios!A5, 0,
   VLOOKUP(Total_Registros_Promotor, Premios_Promotor[], 1, TRUE))</f>
        <v>9</v>
      </c>
      <c r="C21" s="34"/>
      <c r="D21" s="36">
        <f>IF(Premio_Promotor &gt; 0,
   VLOOKUP(Premio_Promotor, Premios_Promotor[],
      VLOOKUP(Total_Registros_Gerente, Tabulador_Premio_Promotor_Total_Gerencia[], 2, TRUE),
   FALSE),
   0)</f>
        <v>1200</v>
      </c>
      <c r="E21" s="16"/>
      <c r="F21" s="15"/>
      <c r="H21" s="15"/>
      <c r="J21" s="24"/>
    </row>
    <row r="22" spans="1:11" x14ac:dyDescent="0.25">
      <c r="A22" s="27" t="s">
        <v>46</v>
      </c>
      <c r="B22" s="18"/>
      <c r="D22" s="28">
        <f>Tabla_Promotor34[[#Totals],[COMISION]] + Pago_Sueldo_Base_Promotor + Pago_Premio_Promotor</f>
        <v>3543</v>
      </c>
      <c r="E22" s="16"/>
      <c r="F22" s="15"/>
      <c r="H22" s="15"/>
      <c r="J22" s="24"/>
    </row>
    <row r="23" spans="1:11" x14ac:dyDescent="0.25">
      <c r="A23" s="27" t="s">
        <v>124</v>
      </c>
      <c r="B23" s="18"/>
      <c r="C23" s="29"/>
      <c r="D23" s="39">
        <f>_xlfn.IFNA(SUMIFS(Descuentos[DESCUENTO], Descuentos[COLABORADOR], Nombre_Promotor, Descuentos[PUESTO], Puesto_Promotor), 0)</f>
        <v>0</v>
      </c>
      <c r="E23" s="16" t="s">
        <v>127</v>
      </c>
      <c r="F23" s="15"/>
      <c r="H23" s="15"/>
      <c r="I23" s="18"/>
      <c r="J23" s="22"/>
      <c r="K23" s="22"/>
    </row>
    <row r="24" spans="1:11" ht="16.5" thickBot="1" x14ac:dyDescent="0.3">
      <c r="A24" s="35"/>
      <c r="C24" s="29"/>
      <c r="D24" s="28"/>
      <c r="E24" s="16"/>
      <c r="F24" s="15"/>
    </row>
    <row r="25" spans="1:11" ht="16.5" thickBot="1" x14ac:dyDescent="0.3">
      <c r="A25" s="37" t="s">
        <v>49</v>
      </c>
      <c r="B25" s="34"/>
      <c r="C25" s="50"/>
      <c r="D25" s="30">
        <f>Pago_Subtotal_Promotor + Descuento_Promotor</f>
        <v>3543</v>
      </c>
      <c r="E25" s="16"/>
      <c r="F25" s="15"/>
    </row>
    <row r="26" spans="1:11" x14ac:dyDescent="0.25">
      <c r="C26" s="29"/>
      <c r="D26" s="28"/>
      <c r="E26" s="26"/>
      <c r="F26" s="26"/>
    </row>
    <row r="27" spans="1:11" x14ac:dyDescent="0.25">
      <c r="C27" s="29"/>
      <c r="D27" s="28"/>
      <c r="E27" s="26"/>
      <c r="F27" s="26"/>
    </row>
    <row r="28" spans="1:11" ht="16.5" thickBot="1" x14ac:dyDescent="0.3">
      <c r="C28" s="37" t="s">
        <v>25</v>
      </c>
      <c r="D28" s="120" t="str" cm="1">
        <f t="array" ref="D28">NumeroATexto(Pago_Neto_Promotor)</f>
        <v>TRES MIL QUINIENTOS CUARENTA Y TRES PESOS 00/100</v>
      </c>
      <c r="E28" s="120"/>
      <c r="F28" s="120"/>
      <c r="G28" s="120"/>
      <c r="H28" s="120"/>
      <c r="I28" s="120"/>
    </row>
    <row r="29" spans="1:11" x14ac:dyDescent="0.25">
      <c r="C29" s="27"/>
      <c r="D29" s="26"/>
      <c r="E29" s="16"/>
      <c r="F29" s="15"/>
    </row>
    <row r="30" spans="1:11" x14ac:dyDescent="0.25">
      <c r="C30" s="29"/>
      <c r="D30" s="28"/>
    </row>
    <row r="31" spans="1:11" ht="16.5" thickBot="1" x14ac:dyDescent="0.3">
      <c r="C31" s="33" t="s">
        <v>26</v>
      </c>
      <c r="D31" s="121"/>
      <c r="E31" s="121"/>
      <c r="F31" s="121"/>
      <c r="G31" s="121"/>
      <c r="H31" s="121"/>
      <c r="I31" s="121"/>
    </row>
  </sheetData>
  <mergeCells count="4">
    <mergeCell ref="B1:D1"/>
    <mergeCell ref="B2:D2"/>
    <mergeCell ref="D28:I28"/>
    <mergeCell ref="D31:I31"/>
  </mergeCells>
  <conditionalFormatting sqref="D9:D17">
    <cfRule type="expression" dxfId="16" priority="1">
      <formula>$G9=501</formula>
    </cfRule>
    <cfRule type="cellIs" dxfId="15" priority="4" operator="equal">
      <formula>0</formula>
    </cfRule>
  </conditionalFormatting>
  <conditionalFormatting sqref="G9:G17">
    <cfRule type="cellIs" dxfId="14" priority="2" operator="equal">
      <formula>503</formula>
    </cfRule>
    <cfRule type="cellIs" dxfId="13" priority="3" operator="equal">
      <formula>501</formula>
    </cfRule>
  </conditionalFormatting>
  <conditionalFormatting sqref="B9:B17">
    <cfRule type="duplicateValues" dxfId="11" priority="512"/>
  </conditionalFormatting>
  <dataValidations count="4">
    <dataValidation type="date" allowBlank="1" showInputMessage="1" showErrorMessage="1" sqref="I9:I17" xr:uid="{8ACADBD5-7012-4163-94B0-A0B66A642CFC}">
      <formula1>B2</formula1>
      <formula2>D2</formula2>
    </dataValidation>
    <dataValidation type="custom" allowBlank="1" showInputMessage="1" showErrorMessage="1" sqref="G9:G17" xr:uid="{00B610A6-9469-4D76-B71C-C7AE4190C552}">
      <formula1>G9&lt;&gt;500</formula1>
    </dataValidation>
    <dataValidation type="list" allowBlank="1" showInputMessage="1" showErrorMessage="1" sqref="E9:E17" xr:uid="{5C18D653-6998-447D-A9B0-23EC1BF259B9}">
      <formula1>Nombres_Planteles</formula1>
    </dataValidation>
    <dataValidation type="list" allowBlank="1" showInputMessage="1" showErrorMessage="1" sqref="B1" xr:uid="{1AF1728F-24D4-4E14-BE54-1C97AC6815AF}">
      <formula1>Nombres_Promotores</formula1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D70150FA-6FAA-4F02-926B-27D4A5582D9A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B9:B17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300EAD-EAC1-4735-83C9-04505F21A24E}">
          <x14:formula1>
            <xm:f>Planteles!$A$4:$A$15</xm:f>
          </x14:formula1>
          <xm:sqref>J9:J17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257</vt:i4>
      </vt:variant>
    </vt:vector>
  </HeadingPairs>
  <TitlesOfParts>
    <vt:vector size="274" baseType="lpstr">
      <vt:lpstr>Premios</vt:lpstr>
      <vt:lpstr>Planteles</vt:lpstr>
      <vt:lpstr>Tabuladores</vt:lpstr>
      <vt:lpstr>Colaboradores</vt:lpstr>
      <vt:lpstr>Ejemplo Coordinacion</vt:lpstr>
      <vt:lpstr>Ejemplo Promotor</vt:lpstr>
      <vt:lpstr>PEDRO MORA</vt:lpstr>
      <vt:lpstr>MARIANA PACHECO</vt:lpstr>
      <vt:lpstr>FATIMA HERNANDEZ</vt:lpstr>
      <vt:lpstr>PEDRO MORA (P)</vt:lpstr>
      <vt:lpstr>LIZBETH RAMOS</vt:lpstr>
      <vt:lpstr>EUNICE RAMOS</vt:lpstr>
      <vt:lpstr>OLIVIA PACHECO</vt:lpstr>
      <vt:lpstr>EFRAIN CORTES</vt:lpstr>
      <vt:lpstr>DAMIAN BRAVO</vt:lpstr>
      <vt:lpstr>HUGO PACHECO</vt:lpstr>
      <vt:lpstr>ENRIQUE OJEDA</vt:lpstr>
      <vt:lpstr>'DAMIAN BRAVO'!Alias_Coordinadores</vt:lpstr>
      <vt:lpstr>'EFRAIN CORTES'!Alias_Coordinadores</vt:lpstr>
      <vt:lpstr>'ENRIQUE OJEDA'!Alias_Coordinadores</vt:lpstr>
      <vt:lpstr>'EUNICE RAMOS'!Alias_Coordinadores</vt:lpstr>
      <vt:lpstr>'FATIMA HERNANDEZ'!Alias_Coordinadores</vt:lpstr>
      <vt:lpstr>'HUGO PACHECO'!Alias_Coordinadores</vt:lpstr>
      <vt:lpstr>'LIZBETH RAMOS'!Alias_Coordinadores</vt:lpstr>
      <vt:lpstr>'MARIANA PACHECO'!Alias_Coordinadores</vt:lpstr>
      <vt:lpstr>'OLIVIA PACHECO'!Alias_Coordinadores</vt:lpstr>
      <vt:lpstr>'PEDRO MORA (P)'!Alias_Coordinadores</vt:lpstr>
      <vt:lpstr>Alias_Coordinadores</vt:lpstr>
      <vt:lpstr>'DAMIAN BRAVO'!Alias_Gerentes</vt:lpstr>
      <vt:lpstr>'EFRAIN CORTES'!Alias_Gerentes</vt:lpstr>
      <vt:lpstr>'ENRIQUE OJEDA'!Alias_Gerentes</vt:lpstr>
      <vt:lpstr>'EUNICE RAMOS'!Alias_Gerentes</vt:lpstr>
      <vt:lpstr>'FATIMA HERNANDEZ'!Alias_Gerentes</vt:lpstr>
      <vt:lpstr>'HUGO PACHECO'!Alias_Gerentes</vt:lpstr>
      <vt:lpstr>'LIZBETH RAMOS'!Alias_Gerentes</vt:lpstr>
      <vt:lpstr>'MARIANA PACHECO'!Alias_Gerentes</vt:lpstr>
      <vt:lpstr>'OLIVIA PACHECO'!Alias_Gerentes</vt:lpstr>
      <vt:lpstr>'PEDRO MORA (P)'!Alias_Gerentes</vt:lpstr>
      <vt:lpstr>Alias_Gerentes</vt:lpstr>
      <vt:lpstr>'DAMIAN BRAVO'!Alias_Lookup</vt:lpstr>
      <vt:lpstr>'EFRAIN CORTES'!Alias_Lookup</vt:lpstr>
      <vt:lpstr>'ENRIQUE OJEDA'!Alias_Lookup</vt:lpstr>
      <vt:lpstr>'EUNICE RAMOS'!Alias_Lookup</vt:lpstr>
      <vt:lpstr>'FATIMA HERNANDEZ'!Alias_Lookup</vt:lpstr>
      <vt:lpstr>'HUGO PACHECO'!Alias_Lookup</vt:lpstr>
      <vt:lpstr>'LIZBETH RAMOS'!Alias_Lookup</vt:lpstr>
      <vt:lpstr>'MARIANA PACHECO'!Alias_Lookup</vt:lpstr>
      <vt:lpstr>'OLIVIA PACHECO'!Alias_Lookup</vt:lpstr>
      <vt:lpstr>'PEDRO MORA (P)'!Alias_Lookup</vt:lpstr>
      <vt:lpstr>Alias_Lookup</vt:lpstr>
      <vt:lpstr>'DAMIAN BRAVO'!Alias_Promotores</vt:lpstr>
      <vt:lpstr>'EFRAIN CORTES'!Alias_Promotores</vt:lpstr>
      <vt:lpstr>'ENRIQUE OJEDA'!Alias_Promotores</vt:lpstr>
      <vt:lpstr>'EUNICE RAMOS'!Alias_Promotores</vt:lpstr>
      <vt:lpstr>'FATIMA HERNANDEZ'!Alias_Promotores</vt:lpstr>
      <vt:lpstr>'HUGO PACHECO'!Alias_Promotores</vt:lpstr>
      <vt:lpstr>'LIZBETH RAMOS'!Alias_Promotores</vt:lpstr>
      <vt:lpstr>'MARIANA PACHECO'!Alias_Promotores</vt:lpstr>
      <vt:lpstr>'OLIVIA PACHECO'!Alias_Promotores</vt:lpstr>
      <vt:lpstr>'PEDRO MORA (P)'!Alias_Promotores</vt:lpstr>
      <vt:lpstr>Alias_Promotores</vt:lpstr>
      <vt:lpstr>'MARIANA PACHECO'!Cantidad_Con_Letra_Coordinador</vt:lpstr>
      <vt:lpstr>'OLIVIA PACHECO'!Cantidad_Con_Letra_Coordinador</vt:lpstr>
      <vt:lpstr>Cantidad_Con_Letra_Coordinador</vt:lpstr>
      <vt:lpstr>Cantidad_Con_Letra_Gerente</vt:lpstr>
      <vt:lpstr>'DAMIAN BRAVO'!Cantidad_Con_Letra_Promotor</vt:lpstr>
      <vt:lpstr>'EFRAIN CORTES'!Cantidad_Con_Letra_Promotor</vt:lpstr>
      <vt:lpstr>'ENRIQUE OJEDA'!Cantidad_Con_Letra_Promotor</vt:lpstr>
      <vt:lpstr>'EUNICE RAMOS'!Cantidad_Con_Letra_Promotor</vt:lpstr>
      <vt:lpstr>'FATIMA HERNANDEZ'!Cantidad_Con_Letra_Promotor</vt:lpstr>
      <vt:lpstr>'HUGO PACHECO'!Cantidad_Con_Letra_Promotor</vt:lpstr>
      <vt:lpstr>'LIZBETH RAMOS'!Cantidad_Con_Letra_Promotor</vt:lpstr>
      <vt:lpstr>'PEDRO MORA (P)'!Cantidad_Con_Letra_Promotor</vt:lpstr>
      <vt:lpstr>Cantidad_Con_Letra_Promotor</vt:lpstr>
      <vt:lpstr>Coordinadores_Activos</vt:lpstr>
      <vt:lpstr>'MARIANA PACHECO'!Deduccion_Coordinador</vt:lpstr>
      <vt:lpstr>'OLIVIA PACHECO'!Deduccion_Coordinador</vt:lpstr>
      <vt:lpstr>Deduccion_Coordinador</vt:lpstr>
      <vt:lpstr>Deduccion_Gerente</vt:lpstr>
      <vt:lpstr>'MARIANA PACHECO'!Descuento_Coordinador</vt:lpstr>
      <vt:lpstr>'OLIVIA PACHECO'!Descuento_Coordinador</vt:lpstr>
      <vt:lpstr>Descuento_Coordinador</vt:lpstr>
      <vt:lpstr>Descuento_Gerente</vt:lpstr>
      <vt:lpstr>'DAMIAN BRAVO'!Descuento_Promotor</vt:lpstr>
      <vt:lpstr>'EFRAIN CORTES'!Descuento_Promotor</vt:lpstr>
      <vt:lpstr>'ENRIQUE OJEDA'!Descuento_Promotor</vt:lpstr>
      <vt:lpstr>'EUNICE RAMOS'!Descuento_Promotor</vt:lpstr>
      <vt:lpstr>'FATIMA HERNANDEZ'!Descuento_Promotor</vt:lpstr>
      <vt:lpstr>'HUGO PACHECO'!Descuento_Promotor</vt:lpstr>
      <vt:lpstr>'LIZBETH RAMOS'!Descuento_Promotor</vt:lpstr>
      <vt:lpstr>'PEDRO MORA (P)'!Descuento_Promotor</vt:lpstr>
      <vt:lpstr>Descuento_Promotor</vt:lpstr>
      <vt:lpstr>Fecha_de_expedicion</vt:lpstr>
      <vt:lpstr>'DAMIAN BRAVO'!Gerencia_de_Coordinadores</vt:lpstr>
      <vt:lpstr>'EFRAIN CORTES'!Gerencia_de_Coordinadores</vt:lpstr>
      <vt:lpstr>'ENRIQUE OJEDA'!Gerencia_de_Coordinadores</vt:lpstr>
      <vt:lpstr>'EUNICE RAMOS'!Gerencia_de_Coordinadores</vt:lpstr>
      <vt:lpstr>'FATIMA HERNANDEZ'!Gerencia_de_Coordinadores</vt:lpstr>
      <vt:lpstr>'HUGO PACHECO'!Gerencia_de_Coordinadores</vt:lpstr>
      <vt:lpstr>'LIZBETH RAMOS'!Gerencia_de_Coordinadores</vt:lpstr>
      <vt:lpstr>'MARIANA PACHECO'!Gerencia_de_Coordinadores</vt:lpstr>
      <vt:lpstr>'OLIVIA PACHECO'!Gerencia_de_Coordinadores</vt:lpstr>
      <vt:lpstr>'PEDRO MORA (P)'!Gerencia_de_Coordinadores</vt:lpstr>
      <vt:lpstr>Gerencia_de_Coordinadores</vt:lpstr>
      <vt:lpstr>'MARIANA PACHECO'!Nombre_Coordinador</vt:lpstr>
      <vt:lpstr>'OLIVIA PACHECO'!Nombre_Coordinador</vt:lpstr>
      <vt:lpstr>Nombre_Coordinador</vt:lpstr>
      <vt:lpstr>Nombre_Gerente</vt:lpstr>
      <vt:lpstr>'DAMIAN BRAVO'!Nombre_Promotor</vt:lpstr>
      <vt:lpstr>'EFRAIN CORTES'!Nombre_Promotor</vt:lpstr>
      <vt:lpstr>'ENRIQUE OJEDA'!Nombre_Promotor</vt:lpstr>
      <vt:lpstr>'EUNICE RAMOS'!Nombre_Promotor</vt:lpstr>
      <vt:lpstr>'FATIMA HERNANDEZ'!Nombre_Promotor</vt:lpstr>
      <vt:lpstr>'HUGO PACHECO'!Nombre_Promotor</vt:lpstr>
      <vt:lpstr>'LIZBETH RAMOS'!Nombre_Promotor</vt:lpstr>
      <vt:lpstr>'PEDRO MORA (P)'!Nombre_Promotor</vt:lpstr>
      <vt:lpstr>Nombre_Promotor</vt:lpstr>
      <vt:lpstr>'DAMIAN BRAVO'!Nombres_Coordinadores</vt:lpstr>
      <vt:lpstr>'EFRAIN CORTES'!Nombres_Coordinadores</vt:lpstr>
      <vt:lpstr>'ENRIQUE OJEDA'!Nombres_Coordinadores</vt:lpstr>
      <vt:lpstr>'EUNICE RAMOS'!Nombres_Coordinadores</vt:lpstr>
      <vt:lpstr>'FATIMA HERNANDEZ'!Nombres_Coordinadores</vt:lpstr>
      <vt:lpstr>'HUGO PACHECO'!Nombres_Coordinadores</vt:lpstr>
      <vt:lpstr>'LIZBETH RAMOS'!Nombres_Coordinadores</vt:lpstr>
      <vt:lpstr>'MARIANA PACHECO'!Nombres_Coordinadores</vt:lpstr>
      <vt:lpstr>'OLIVIA PACHECO'!Nombres_Coordinadores</vt:lpstr>
      <vt:lpstr>'PEDRO MORA (P)'!Nombres_Coordinadores</vt:lpstr>
      <vt:lpstr>Nombres_Coordinadores</vt:lpstr>
      <vt:lpstr>'DAMIAN BRAVO'!Nombres_Gerentes</vt:lpstr>
      <vt:lpstr>'EFRAIN CORTES'!Nombres_Gerentes</vt:lpstr>
      <vt:lpstr>'ENRIQUE OJEDA'!Nombres_Gerentes</vt:lpstr>
      <vt:lpstr>'EUNICE RAMOS'!Nombres_Gerentes</vt:lpstr>
      <vt:lpstr>'FATIMA HERNANDEZ'!Nombres_Gerentes</vt:lpstr>
      <vt:lpstr>'HUGO PACHECO'!Nombres_Gerentes</vt:lpstr>
      <vt:lpstr>'LIZBETH RAMOS'!Nombres_Gerentes</vt:lpstr>
      <vt:lpstr>'MARIANA PACHECO'!Nombres_Gerentes</vt:lpstr>
      <vt:lpstr>'OLIVIA PACHECO'!Nombres_Gerentes</vt:lpstr>
      <vt:lpstr>'PEDRO MORA (P)'!Nombres_Gerentes</vt:lpstr>
      <vt:lpstr>Nombres_Gerentes</vt:lpstr>
      <vt:lpstr>'DAMIAN BRAVO'!Nombres_Planteles</vt:lpstr>
      <vt:lpstr>'EFRAIN CORTES'!Nombres_Planteles</vt:lpstr>
      <vt:lpstr>'ENRIQUE OJEDA'!Nombres_Planteles</vt:lpstr>
      <vt:lpstr>'EUNICE RAMOS'!Nombres_Planteles</vt:lpstr>
      <vt:lpstr>'FATIMA HERNANDEZ'!Nombres_Planteles</vt:lpstr>
      <vt:lpstr>'HUGO PACHECO'!Nombres_Planteles</vt:lpstr>
      <vt:lpstr>'LIZBETH RAMOS'!Nombres_Planteles</vt:lpstr>
      <vt:lpstr>'MARIANA PACHECO'!Nombres_Planteles</vt:lpstr>
      <vt:lpstr>'OLIVIA PACHECO'!Nombres_Planteles</vt:lpstr>
      <vt:lpstr>'PEDRO MORA (P)'!Nombres_Planteles</vt:lpstr>
      <vt:lpstr>Nombres_Planteles</vt:lpstr>
      <vt:lpstr>'DAMIAN BRAVO'!Nombres_Promotores</vt:lpstr>
      <vt:lpstr>'EFRAIN CORTES'!Nombres_Promotores</vt:lpstr>
      <vt:lpstr>'ENRIQUE OJEDA'!Nombres_Promotores</vt:lpstr>
      <vt:lpstr>'EUNICE RAMOS'!Nombres_Promotores</vt:lpstr>
      <vt:lpstr>'FATIMA HERNANDEZ'!Nombres_Promotores</vt:lpstr>
      <vt:lpstr>'HUGO PACHECO'!Nombres_Promotores</vt:lpstr>
      <vt:lpstr>'LIZBETH RAMOS'!Nombres_Promotores</vt:lpstr>
      <vt:lpstr>'MARIANA PACHECO'!Nombres_Promotores</vt:lpstr>
      <vt:lpstr>'OLIVIA PACHECO'!Nombres_Promotores</vt:lpstr>
      <vt:lpstr>'PEDRO MORA (P)'!Nombres_Promotores</vt:lpstr>
      <vt:lpstr>Nombres_Promotores</vt:lpstr>
      <vt:lpstr>Numero_de_semana</vt:lpstr>
      <vt:lpstr>'MARIANA PACHECO'!Pago_Neto_Coordinador</vt:lpstr>
      <vt:lpstr>'OLIVIA PACHECO'!Pago_Neto_Coordinador</vt:lpstr>
      <vt:lpstr>Pago_Neto_Coordinador</vt:lpstr>
      <vt:lpstr>Pago_Neto_Gerente</vt:lpstr>
      <vt:lpstr>'DAMIAN BRAVO'!Pago_Neto_Promotor</vt:lpstr>
      <vt:lpstr>'EFRAIN CORTES'!Pago_Neto_Promotor</vt:lpstr>
      <vt:lpstr>'ENRIQUE OJEDA'!Pago_Neto_Promotor</vt:lpstr>
      <vt:lpstr>'EUNICE RAMOS'!Pago_Neto_Promotor</vt:lpstr>
      <vt:lpstr>'FATIMA HERNANDEZ'!Pago_Neto_Promotor</vt:lpstr>
      <vt:lpstr>'HUGO PACHECO'!Pago_Neto_Promotor</vt:lpstr>
      <vt:lpstr>'LIZBETH RAMOS'!Pago_Neto_Promotor</vt:lpstr>
      <vt:lpstr>'PEDRO MORA (P)'!Pago_Neto_Promotor</vt:lpstr>
      <vt:lpstr>Pago_Neto_Promotor</vt:lpstr>
      <vt:lpstr>'MARIANA PACHECO'!Pago_Premio_Coordinador</vt:lpstr>
      <vt:lpstr>'OLIVIA PACHECO'!Pago_Premio_Coordinador</vt:lpstr>
      <vt:lpstr>Pago_Premio_Coordinador</vt:lpstr>
      <vt:lpstr>Pago_Premio_Gerente</vt:lpstr>
      <vt:lpstr>'DAMIAN BRAVO'!Pago_Premio_Promotor</vt:lpstr>
      <vt:lpstr>'EFRAIN CORTES'!Pago_Premio_Promotor</vt:lpstr>
      <vt:lpstr>'ENRIQUE OJEDA'!Pago_Premio_Promotor</vt:lpstr>
      <vt:lpstr>'EUNICE RAMOS'!Pago_Premio_Promotor</vt:lpstr>
      <vt:lpstr>'FATIMA HERNANDEZ'!Pago_Premio_Promotor</vt:lpstr>
      <vt:lpstr>'HUGO PACHECO'!Pago_Premio_Promotor</vt:lpstr>
      <vt:lpstr>'LIZBETH RAMOS'!Pago_Premio_Promotor</vt:lpstr>
      <vt:lpstr>'PEDRO MORA (P)'!Pago_Premio_Promotor</vt:lpstr>
      <vt:lpstr>Pago_Premio_Promotor</vt:lpstr>
      <vt:lpstr>'MARIANA PACHECO'!Pago_Subtotal_Coordinador</vt:lpstr>
      <vt:lpstr>'OLIVIA PACHECO'!Pago_Subtotal_Coordinador</vt:lpstr>
      <vt:lpstr>Pago_Subtotal_Coordinador</vt:lpstr>
      <vt:lpstr>Pago_Subtotal_Gerente</vt:lpstr>
      <vt:lpstr>'DAMIAN BRAVO'!Pago_Subtotal_Promotor</vt:lpstr>
      <vt:lpstr>'EFRAIN CORTES'!Pago_Subtotal_Promotor</vt:lpstr>
      <vt:lpstr>'ENRIQUE OJEDA'!Pago_Subtotal_Promotor</vt:lpstr>
      <vt:lpstr>'EUNICE RAMOS'!Pago_Subtotal_Promotor</vt:lpstr>
      <vt:lpstr>'FATIMA HERNANDEZ'!Pago_Subtotal_Promotor</vt:lpstr>
      <vt:lpstr>'HUGO PACHECO'!Pago_Subtotal_Promotor</vt:lpstr>
      <vt:lpstr>'LIZBETH RAMOS'!Pago_Subtotal_Promotor</vt:lpstr>
      <vt:lpstr>'PEDRO MORA (P)'!Pago_Subtotal_Promotor</vt:lpstr>
      <vt:lpstr>Pago_Subtotal_Promotor</vt:lpstr>
      <vt:lpstr>'MARIANA PACHECO'!Pago_Sueldo_Base_Coordinador</vt:lpstr>
      <vt:lpstr>'OLIVIA PACHECO'!Pago_Sueldo_Base_Coordinador</vt:lpstr>
      <vt:lpstr>Pago_Sueldo_Base_Coordinador</vt:lpstr>
      <vt:lpstr>Pago_Sueldo_Base_Gerente</vt:lpstr>
      <vt:lpstr>'DAMIAN BRAVO'!Pago_Sueldo_Base_Promotor</vt:lpstr>
      <vt:lpstr>'EFRAIN CORTES'!Pago_Sueldo_Base_Promotor</vt:lpstr>
      <vt:lpstr>'ENRIQUE OJEDA'!Pago_Sueldo_Base_Promotor</vt:lpstr>
      <vt:lpstr>'EUNICE RAMOS'!Pago_Sueldo_Base_Promotor</vt:lpstr>
      <vt:lpstr>'FATIMA HERNANDEZ'!Pago_Sueldo_Base_Promotor</vt:lpstr>
      <vt:lpstr>'HUGO PACHECO'!Pago_Sueldo_Base_Promotor</vt:lpstr>
      <vt:lpstr>'LIZBETH RAMOS'!Pago_Sueldo_Base_Promotor</vt:lpstr>
      <vt:lpstr>'PEDRO MORA (P)'!Pago_Sueldo_Base_Promotor</vt:lpstr>
      <vt:lpstr>Pago_Sueldo_Base_Promotor</vt:lpstr>
      <vt:lpstr>Periodo_de_pago_final</vt:lpstr>
      <vt:lpstr>Periodo_de_pago_inicial</vt:lpstr>
      <vt:lpstr>'MARIANA PACHECO'!Premio_Coordinador</vt:lpstr>
      <vt:lpstr>'OLIVIA PACHECO'!Premio_Coordinador</vt:lpstr>
      <vt:lpstr>Premio_Coordinador</vt:lpstr>
      <vt:lpstr>Premio_Gerente</vt:lpstr>
      <vt:lpstr>'DAMIAN BRAVO'!Premio_Promotor</vt:lpstr>
      <vt:lpstr>'EFRAIN CORTES'!Premio_Promotor</vt:lpstr>
      <vt:lpstr>'ENRIQUE OJEDA'!Premio_Promotor</vt:lpstr>
      <vt:lpstr>'EUNICE RAMOS'!Premio_Promotor</vt:lpstr>
      <vt:lpstr>'FATIMA HERNANDEZ'!Premio_Promotor</vt:lpstr>
      <vt:lpstr>'HUGO PACHECO'!Premio_Promotor</vt:lpstr>
      <vt:lpstr>'LIZBETH RAMOS'!Premio_Promotor</vt:lpstr>
      <vt:lpstr>'PEDRO MORA (P)'!Premio_Promotor</vt:lpstr>
      <vt:lpstr>Premio_Promotor</vt:lpstr>
      <vt:lpstr>Promotores_Activos</vt:lpstr>
      <vt:lpstr>'MARIANA PACHECO'!Promotores_de_Coordinacion_Activos</vt:lpstr>
      <vt:lpstr>'OLIVIA PACHECO'!Promotores_de_Coordinacion_Activos</vt:lpstr>
      <vt:lpstr>Promotores_de_Coordinacion_Activos</vt:lpstr>
      <vt:lpstr>'MARIANA PACHECO'!Puesto_Coordinador</vt:lpstr>
      <vt:lpstr>'OLIVIA PACHECO'!Puesto_Coordinador</vt:lpstr>
      <vt:lpstr>Puesto_Coordinador</vt:lpstr>
      <vt:lpstr>Puesto_Gerente</vt:lpstr>
      <vt:lpstr>'DAMIAN BRAVO'!Puesto_Promotor</vt:lpstr>
      <vt:lpstr>'EFRAIN CORTES'!Puesto_Promotor</vt:lpstr>
      <vt:lpstr>'ENRIQUE OJEDA'!Puesto_Promotor</vt:lpstr>
      <vt:lpstr>'EUNICE RAMOS'!Puesto_Promotor</vt:lpstr>
      <vt:lpstr>'FATIMA HERNANDEZ'!Puesto_Promotor</vt:lpstr>
      <vt:lpstr>'HUGO PACHECO'!Puesto_Promotor</vt:lpstr>
      <vt:lpstr>'LIZBETH RAMOS'!Puesto_Promotor</vt:lpstr>
      <vt:lpstr>'PEDRO MORA (P)'!Puesto_Promotor</vt:lpstr>
      <vt:lpstr>Puesto_Promotor</vt:lpstr>
      <vt:lpstr>'DAMIAN BRAVO'!Puestos</vt:lpstr>
      <vt:lpstr>'EFRAIN CORTES'!Puestos</vt:lpstr>
      <vt:lpstr>'ENRIQUE OJEDA'!Puestos</vt:lpstr>
      <vt:lpstr>'EUNICE RAMOS'!Puestos</vt:lpstr>
      <vt:lpstr>'FATIMA HERNANDEZ'!Puestos</vt:lpstr>
      <vt:lpstr>'HUGO PACHECO'!Puestos</vt:lpstr>
      <vt:lpstr>'LIZBETH RAMOS'!Puestos</vt:lpstr>
      <vt:lpstr>'MARIANA PACHECO'!Puestos</vt:lpstr>
      <vt:lpstr>'OLIVIA PACHECO'!Puestos</vt:lpstr>
      <vt:lpstr>'PEDRO MORA (P)'!Puestos</vt:lpstr>
      <vt:lpstr>Puestos</vt:lpstr>
      <vt:lpstr>Razon_Social</vt:lpstr>
      <vt:lpstr>Sueldo_Base_Coordinador</vt:lpstr>
      <vt:lpstr>Sueldo_Base_Gerente</vt:lpstr>
      <vt:lpstr>Total_De_La_Gerencia</vt:lpstr>
      <vt:lpstr>'MARIANA PACHECO'!Total_Registros_Coordinador</vt:lpstr>
      <vt:lpstr>'OLIVIA PACHECO'!Total_Registros_Coordinador</vt:lpstr>
      <vt:lpstr>Total_Registros_Coordinador</vt:lpstr>
      <vt:lpstr>Total_Registros_Gerente</vt:lpstr>
      <vt:lpstr>'DAMIAN BRAVO'!Total_Registros_Promotor</vt:lpstr>
      <vt:lpstr>'EFRAIN CORTES'!Total_Registros_Promotor</vt:lpstr>
      <vt:lpstr>'ENRIQUE OJEDA'!Total_Registros_Promotor</vt:lpstr>
      <vt:lpstr>'EUNICE RAMOS'!Total_Registros_Promotor</vt:lpstr>
      <vt:lpstr>'FATIMA HERNANDEZ'!Total_Registros_Promotor</vt:lpstr>
      <vt:lpstr>'HUGO PACHECO'!Total_Registros_Promotor</vt:lpstr>
      <vt:lpstr>'LIZBETH RAMOS'!Total_Registros_Promotor</vt:lpstr>
      <vt:lpstr>'PEDRO MORA (P)'!Total_Registros_Promotor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Pablo Garcia Murillo</cp:lastModifiedBy>
  <cp:lastPrinted>2025-03-29T16:25:03Z</cp:lastPrinted>
  <dcterms:created xsi:type="dcterms:W3CDTF">2020-02-08T17:47:59Z</dcterms:created>
  <dcterms:modified xsi:type="dcterms:W3CDTF">2025-04-04T06:00:33Z</dcterms:modified>
</cp:coreProperties>
</file>