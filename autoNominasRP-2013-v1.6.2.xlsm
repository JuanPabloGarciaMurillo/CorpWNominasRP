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17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18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ocuments\Excel CorpW\"/>
    </mc:Choice>
  </mc:AlternateContent>
  <xr:revisionPtr revIDLastSave="0" documentId="13_ncr:1_{EC5D5CC5-C628-4E5E-9D5E-604759EB70E9}" xr6:coauthVersionLast="47" xr6:coauthVersionMax="47" xr10:uidLastSave="{00000000-0000-0000-0000-000000000000}"/>
  <bookViews>
    <workbookView xWindow="33300" yWindow="5325" windowWidth="34500" windowHeight="21000" firstSheet="6" activeTab="8" xr2:uid="{00000000-000D-0000-FFFF-FFFF00000000}"/>
  </bookViews>
  <sheets>
    <sheet name="Premios" sheetId="3" state="hidden" r:id="rId1"/>
    <sheet name="Planteles" sheetId="6" state="hidden" r:id="rId2"/>
    <sheet name="Tabuladores" sheetId="1" state="hidden" r:id="rId3"/>
    <sheet name="Colaboradores" sheetId="11" state="hidden" r:id="rId4"/>
    <sheet name="Ejemplo Coordinacion" sheetId="7" state="hidden" r:id="rId5"/>
    <sheet name="Ejemplo Promotor" sheetId="8" state="hidden" r:id="rId6"/>
    <sheet name="PEDRO MORA" sheetId="5" r:id="rId7"/>
    <sheet name="MARIANA PACHECO" sheetId="12" r:id="rId8"/>
    <sheet name="OLIVIA PACHECO" sheetId="13" r:id="rId9"/>
    <sheet name="EFRAIN CORTES" sheetId="14" r:id="rId10"/>
  </sheets>
  <functionGroups builtInGroupCount="19"/>
  <externalReferences>
    <externalReference r:id="rId11"/>
  </externalReferences>
  <definedNames>
    <definedName name="_xlnm._FilterDatabase" localSheetId="6" hidden="1">'PEDRO MORA'!$A$7:$L$7</definedName>
    <definedName name="_xleta.COUNTIF" hidden="1" xlm="1">#NAME?</definedName>
    <definedName name="_xleta.FILTER" hidden="1" xlm="1">#NAME?</definedName>
    <definedName name="_xleta.INDEX" hidden="1" xlm="1">#NAME?</definedName>
    <definedName name="_xleta.SUMPRODUCT" hidden="1" xlm="1">#NAME?</definedName>
    <definedName name="_xleta.TEXTJOIN" hidden="1" xlm="1">#NAME?</definedName>
    <definedName name="_xleta.UPPER" hidden="1" xlm="1">#NAME?</definedName>
    <definedName name="_xleta.VLOOKUP" hidden="1" xlm="1">#NAME?</definedName>
    <definedName name="Alias_Coordinadores" localSheetId="9">Coordinadores[ALIAS]</definedName>
    <definedName name="Alias_Coordinadores" localSheetId="7">Coordinadores[ALIAS]</definedName>
    <definedName name="Alias_Coordinadores" localSheetId="8">Coordinadores[ALIAS]</definedName>
    <definedName name="Alias_Coordinadores">Coordinadores[ALIAS]</definedName>
    <definedName name="Alias_Gerentes" localSheetId="9">Gerentes[ALIAS]</definedName>
    <definedName name="Alias_Gerentes" localSheetId="7">Gerentes[ALIAS]</definedName>
    <definedName name="Alias_Gerentes" localSheetId="8">Gerentes[ALIAS]</definedName>
    <definedName name="Alias_Gerentes">Gerentes[ALIAS]</definedName>
    <definedName name="Alias_Lookup" localSheetId="9">Promotores[[ALIAS]:[COORDINACION]]</definedName>
    <definedName name="Alias_Lookup" localSheetId="7">Promotores[[ALIAS]:[COORDINACION]]</definedName>
    <definedName name="Alias_Lookup" localSheetId="8">Promotores[[ALIAS]:[COORDINACION]]</definedName>
    <definedName name="Alias_Lookup">Promotores[[ALIAS]:[COORDINACION]]</definedName>
    <definedName name="Alias_Promotores" localSheetId="9">Promotores[ALIAS]</definedName>
    <definedName name="Alias_Promotores" localSheetId="7">Promotores[ALIAS]</definedName>
    <definedName name="Alias_Promotores" localSheetId="8">Promotores[ALIAS]</definedName>
    <definedName name="Alias_Promotores">Promotores[ALIAS]</definedName>
    <definedName name="Cantidad_Con_Letra_Coordinador" localSheetId="7">'MARIANA PACHECO'!$D$20</definedName>
    <definedName name="Cantidad_Con_Letra_Coordinador" localSheetId="8">'OLIVIA PACHECO'!$D$20</definedName>
    <definedName name="Cantidad_Con_Letra_Coordinador">'Ejemplo Coordinacion'!$D$20</definedName>
    <definedName name="Cantidad_Con_Letra_Gerente">'PEDRO MORA'!$D$21</definedName>
    <definedName name="Cantidad_Con_Letra_Promotor" localSheetId="9">'EFRAIN CORTES'!$D$19</definedName>
    <definedName name="Cantidad_Con_Letra_Promotor">'Ejemplo Promotor'!$D$19</definedName>
    <definedName name="Coordinadores_Activos">'PEDRO MORA'!$Q$2:$Q$21</definedName>
    <definedName name="Deduccion_Coordinador" localSheetId="7">'MARIANA PACHECO'!$D$16</definedName>
    <definedName name="Deduccion_Coordinador" localSheetId="8">'OLIVIA PACHECO'!$D$16</definedName>
    <definedName name="Deduccion_Coordinador">'Ejemplo Coordinacion'!$D$16</definedName>
    <definedName name="Deduccion_Gerente">'PEDRO MORA'!$D$16</definedName>
    <definedName name="Descuento_Coordinador" localSheetId="7">'MARIANA PACHECO'!$D$15</definedName>
    <definedName name="Descuento_Coordinador" localSheetId="8">'OLIVIA PACHECO'!$D$15</definedName>
    <definedName name="Descuento_Coordinador">'Ejemplo Coordinacion'!$D$15</definedName>
    <definedName name="Descuento_Gerente">'PEDRO MORA'!$D$15</definedName>
    <definedName name="Descuento_Promotor" localSheetId="9">'EFRAIN CORTES'!$D$15</definedName>
    <definedName name="Descuento_Promotor">'Ejemplo Promotor'!$D$15</definedName>
    <definedName name="Fecha_de_expedicion">'PEDRO MORA'!$B$6</definedName>
    <definedName name="FilteredPromotores">OFFSET([1]Sheet1!$Z$9, 0, 0, COUNTA([1]Sheet1!$Z:$Z), 1)</definedName>
    <definedName name="Gerencia_de_Coordinadores" localSheetId="9">Coordinadores[GERENCIA]</definedName>
    <definedName name="Gerencia_de_Coordinadores" localSheetId="7">Coordinadores[GERENCIA]</definedName>
    <definedName name="Gerencia_de_Coordinadores" localSheetId="8">Coordinadores[GERENCIA]</definedName>
    <definedName name="Gerencia_de_Coordinadores">Coordinadores[GERENCIA]</definedName>
    <definedName name="Nombre_Coordinador" localSheetId="7">'MARIANA PACHECO'!$B$1</definedName>
    <definedName name="Nombre_Coordinador" localSheetId="8">'OLIVIA PACHECO'!$B$1</definedName>
    <definedName name="Nombre_Coordinador">'Ejemplo Coordinacion'!$B$1</definedName>
    <definedName name="Nombre_Gerente">'PEDRO MORA'!$B$1</definedName>
    <definedName name="Nombre_Promotor" localSheetId="9">'EFRAIN CORTES'!$B$1</definedName>
    <definedName name="Nombre_Promotor">'Ejemplo Promotor'!$B$1</definedName>
    <definedName name="Nombres_Coordinadores" localSheetId="9">Coordinadores[NOMBRE]</definedName>
    <definedName name="Nombres_Coordinadores" localSheetId="7">Coordinadores[NOMBRE]</definedName>
    <definedName name="Nombres_Coordinadores" localSheetId="8">Coordinadores[NOMBRE]</definedName>
    <definedName name="Nombres_Coordinadores">Coordinadores[NOMBRE]</definedName>
    <definedName name="Nombres_Gerentes" localSheetId="9">Gerentes[NOMBRE]</definedName>
    <definedName name="Nombres_Gerentes" localSheetId="7">Gerentes[NOMBRE]</definedName>
    <definedName name="Nombres_Gerentes" localSheetId="8">Gerentes[NOMBRE]</definedName>
    <definedName name="Nombres_Gerentes">Gerentes[NOMBRE]</definedName>
    <definedName name="Nombres_Planteles" localSheetId="9">Planteles[Nombre]</definedName>
    <definedName name="Nombres_Planteles" localSheetId="7">Planteles[Nombre]</definedName>
    <definedName name="Nombres_Planteles" localSheetId="8">Planteles[Nombre]</definedName>
    <definedName name="Nombres_Planteles">Planteles[Nombre]</definedName>
    <definedName name="Nombres_Promotores" localSheetId="9">Promotores[NOMBRE]</definedName>
    <definedName name="Nombres_Promotores" localSheetId="7">Promotores[NOMBRE]</definedName>
    <definedName name="Nombres_Promotores" localSheetId="8">Promotores[NOMBRE]</definedName>
    <definedName name="Nombres_Promotores">Promotores[NOMBRE]</definedName>
    <definedName name="Numero_de_semana">'PEDRO MORA'!$B$5</definedName>
    <definedName name="Pago_Neto_Coordinador" localSheetId="7">'MARIANA PACHECO'!$D$18</definedName>
    <definedName name="Pago_Neto_Coordinador" localSheetId="8">'OLIVIA PACHECO'!$D$18</definedName>
    <definedName name="Pago_Neto_Coordinador">'Ejemplo Coordinacion'!$D$18</definedName>
    <definedName name="Pago_Neto_Gerente">'PEDRO MORA'!$D$18</definedName>
    <definedName name="Pago_Neto_Promotor" localSheetId="9">'EFRAIN CORTES'!$D$17</definedName>
    <definedName name="Pago_Neto_Promotor">'Ejemplo Promotor'!$D$17</definedName>
    <definedName name="Pago_Premio_Coordinador" localSheetId="7">'MARIANA PACHECO'!$D$13</definedName>
    <definedName name="Pago_Premio_Coordinador" localSheetId="8">'OLIVIA PACHECO'!$D$13</definedName>
    <definedName name="Pago_Premio_Coordinador">'Ejemplo Coordinacion'!$D$13</definedName>
    <definedName name="Pago_Premio_Gerente">'PEDRO MORA'!$D$13</definedName>
    <definedName name="Pago_Premio_Promotor" localSheetId="9">'EFRAIN CORTES'!$D$13</definedName>
    <definedName name="Pago_Premio_Promotor">'Ejemplo Promotor'!$D$13</definedName>
    <definedName name="Pago_Subtotal_Coordinador" localSheetId="7">'MARIANA PACHECO'!$D$14</definedName>
    <definedName name="Pago_Subtotal_Coordinador" localSheetId="8">'OLIVIA PACHECO'!$D$14</definedName>
    <definedName name="Pago_Subtotal_Coordinador">'Ejemplo Coordinacion'!$D$14</definedName>
    <definedName name="Pago_Subtotal_Gerente">'PEDRO MORA'!$D$14</definedName>
    <definedName name="Pago_Subtotal_Promotor" localSheetId="9">'EFRAIN CORTES'!$D$14</definedName>
    <definedName name="Pago_Subtotal_Promotor">'Ejemplo Promotor'!$D$14</definedName>
    <definedName name="Pago_Sueldo_Base_Coordinador" localSheetId="7">'MARIANA PACHECO'!$D$12</definedName>
    <definedName name="Pago_Sueldo_Base_Coordinador" localSheetId="8">'OLIVIA PACHECO'!$D$12</definedName>
    <definedName name="Pago_Sueldo_Base_Coordinador">'Ejemplo Coordinacion'!$D$12</definedName>
    <definedName name="Pago_Sueldo_Base_Gerente">'PEDRO MORA'!$D$12</definedName>
    <definedName name="Pago_Sueldo_Base_Promotor" localSheetId="9">'EFRAIN CORTES'!$D$12</definedName>
    <definedName name="Pago_Sueldo_Base_Promotor">'Ejemplo Promotor'!$D$12</definedName>
    <definedName name="Periodo_de_pago_final">'PEDRO MORA'!$D$3</definedName>
    <definedName name="Periodo_de_pago_inicial">'PEDRO MORA'!$B$3</definedName>
    <definedName name="Premio_Coordinador" localSheetId="7">'MARIANA PACHECO'!$B$13</definedName>
    <definedName name="Premio_Coordinador" localSheetId="8">'OLIVIA PACHECO'!$B$13</definedName>
    <definedName name="Premio_Coordinador">'Ejemplo Coordinacion'!$B$13</definedName>
    <definedName name="Premio_Gerente">'PEDRO MORA'!$B$13</definedName>
    <definedName name="Premio_Promotor" localSheetId="9">'EFRAIN CORTES'!$B$13</definedName>
    <definedName name="Premio_Promotor">'Ejemplo Promotor'!$B$13</definedName>
    <definedName name="Promotores_Activos">'PEDRO MORA'!$S$2:$S$31</definedName>
    <definedName name="Promotores_de_Coordinacion_Activos" localSheetId="7">'MARIANA PACHECO'!$P$2:$P$21</definedName>
    <definedName name="Promotores_de_Coordinacion_Activos" localSheetId="8">'OLIVIA PACHECO'!$P$2:$P$21</definedName>
    <definedName name="Promotores_de_Coordinacion_Activos">'Ejemplo Coordinacion'!$P$2:$P$21</definedName>
    <definedName name="Promotores_FERNANDO_VILLALVAZO">#REF!</definedName>
    <definedName name="Promotores_ISAAC_GARCIA">Colaboradores!#REF!</definedName>
    <definedName name="Promotores_JOSUE_ALVAREZ">Colaboradores!#REF!</definedName>
    <definedName name="Promotores_MICHELLE_APARICIO">#REF!</definedName>
    <definedName name="Puesto_Coordinador" localSheetId="7">'MARIANA PACHECO'!$G$1</definedName>
    <definedName name="Puesto_Coordinador" localSheetId="8">'OLIVIA PACHECO'!$G$1</definedName>
    <definedName name="Puesto_Coordinador">'Ejemplo Coordinacion'!$G$1</definedName>
    <definedName name="Puesto_Gerente">'PEDRO MORA'!$G$1</definedName>
    <definedName name="Puesto_Promotor" localSheetId="9">'EFRAIN CORTES'!$G$1</definedName>
    <definedName name="Puesto_Promotor">'Ejemplo Promotor'!$G$1</definedName>
    <definedName name="Puestos" localSheetId="9">Sueldo_Base_Por_Puesto[PUESTO]</definedName>
    <definedName name="Puestos" localSheetId="7">Sueldo_Base_Por_Puesto[PUESTO]</definedName>
    <definedName name="Puestos" localSheetId="8">Sueldo_Base_Por_Puesto[PUESTO]</definedName>
    <definedName name="Puestos">Sueldo_Base_Por_Puesto[PUESTO]</definedName>
    <definedName name="Razon_Social">'PEDRO MORA'!$B$2</definedName>
    <definedName name="Sueldo_Base_Coordinador">Tabuladores!$M$5</definedName>
    <definedName name="Sueldo_Base_Gerente">Tabuladores!$M$4</definedName>
    <definedName name="Total_De_La_Gerencia">'PEDRO MORA'!$J$4</definedName>
    <definedName name="Total_Registros_Coordinador" localSheetId="7">'MARIANA PACHECO'!$B$4</definedName>
    <definedName name="Total_Registros_Coordinador" localSheetId="8">'OLIVIA PACHECO'!$B$4</definedName>
    <definedName name="Total_Registros_Coordinador">'Ejemplo Coordinacion'!$B$4</definedName>
    <definedName name="Total_Registros_Gerente">'PEDRO MORA'!$B$4</definedName>
    <definedName name="Total_Registros_Promotor" localSheetId="9">'EFRAIN CORTES'!$B$4</definedName>
    <definedName name="Total_Registros_Promotor">'Ejemplo Promotor'!$B$4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14" l="1"/>
  <c r="H9" i="14"/>
  <c r="D15" i="14"/>
  <c r="D12" i="14"/>
  <c r="D14" i="14" s="1"/>
  <c r="D17" i="14" s="1"/>
  <c r="D10" i="14"/>
  <c r="B5" i="14"/>
  <c r="B4" i="14"/>
  <c r="B13" i="14" s="1"/>
  <c r="D13" i="14" s="1"/>
  <c r="J1" i="14"/>
  <c r="H9" i="13"/>
  <c r="H9" i="12"/>
  <c r="P21" i="13" a="1"/>
  <c r="P21" i="13" s="1"/>
  <c r="P20" i="13" a="1"/>
  <c r="P20" i="13" s="1"/>
  <c r="P19" i="13" a="1"/>
  <c r="P19" i="13" s="1"/>
  <c r="P18" i="13" a="1"/>
  <c r="P18" i="13" s="1"/>
  <c r="P17" i="13" a="1"/>
  <c r="P17" i="13" s="1"/>
  <c r="P16" i="13" a="1"/>
  <c r="P16" i="13" s="1"/>
  <c r="P15" i="13" a="1"/>
  <c r="P15" i="13" s="1"/>
  <c r="D15" i="13"/>
  <c r="P14" i="13" a="1"/>
  <c r="P14" i="13" s="1"/>
  <c r="P13" i="13" a="1"/>
  <c r="P13" i="13" s="1"/>
  <c r="P12" i="13" a="1"/>
  <c r="P12" i="13" s="1"/>
  <c r="D12" i="13"/>
  <c r="P11" i="13" a="1"/>
  <c r="P11" i="13" s="1"/>
  <c r="P10" i="13" a="1"/>
  <c r="P10" i="13" s="1"/>
  <c r="P9" i="13" a="1"/>
  <c r="P9" i="13" s="1"/>
  <c r="P8" i="13"/>
  <c r="P8" i="13" a="1"/>
  <c r="P7" i="13" a="1"/>
  <c r="P7" i="13" s="1"/>
  <c r="P6" i="13" a="1"/>
  <c r="P6" i="13" s="1"/>
  <c r="P5" i="13" a="1"/>
  <c r="P5" i="13" s="1"/>
  <c r="B5" i="13"/>
  <c r="P4" i="13" a="1"/>
  <c r="P4" i="13" s="1"/>
  <c r="B4" i="13" a="1"/>
  <c r="B4" i="13" s="1"/>
  <c r="B13" i="13" s="1"/>
  <c r="D13" i="13" s="1"/>
  <c r="P3" i="13" a="1"/>
  <c r="P3" i="13" s="1"/>
  <c r="P2" i="13" a="1"/>
  <c r="P2" i="13" s="1"/>
  <c r="P21" i="12" a="1"/>
  <c r="P21" i="12" s="1"/>
  <c r="P20" i="12" a="1"/>
  <c r="P20" i="12" s="1"/>
  <c r="P19" i="12" a="1"/>
  <c r="P19" i="12" s="1"/>
  <c r="P18" i="12" a="1"/>
  <c r="P18" i="12" s="1"/>
  <c r="P17" i="12" a="1"/>
  <c r="P17" i="12" s="1"/>
  <c r="P16" i="12"/>
  <c r="P16" i="12" a="1"/>
  <c r="P15" i="12" a="1"/>
  <c r="P15" i="12" s="1"/>
  <c r="D15" i="12"/>
  <c r="P14" i="12"/>
  <c r="P14" i="12" a="1"/>
  <c r="P13" i="12" a="1"/>
  <c r="P13" i="12" s="1"/>
  <c r="P12" i="12" a="1"/>
  <c r="P12" i="12" s="1"/>
  <c r="D12" i="12"/>
  <c r="P11" i="12" a="1"/>
  <c r="P11" i="12" s="1"/>
  <c r="P10" i="12"/>
  <c r="P10" i="12" a="1"/>
  <c r="P9" i="12" a="1"/>
  <c r="P9" i="12" s="1"/>
  <c r="P8" i="12"/>
  <c r="P8" i="12" a="1"/>
  <c r="P7" i="12" a="1"/>
  <c r="P7" i="12" s="1"/>
  <c r="P6" i="12" a="1"/>
  <c r="P6" i="12" s="1"/>
  <c r="P5" i="12" a="1"/>
  <c r="P5" i="12" s="1"/>
  <c r="B5" i="12"/>
  <c r="P4" i="12" a="1"/>
  <c r="P4" i="12" s="1"/>
  <c r="B4" i="12" a="1"/>
  <c r="B4" i="12" s="1"/>
  <c r="P3" i="12" a="1"/>
  <c r="P3" i="12" s="1"/>
  <c r="P2" i="12" a="1"/>
  <c r="P2" i="12" s="1"/>
  <c r="S9" i="5" a="1"/>
  <c r="S9" i="5" s="1"/>
  <c r="S10" i="5" a="1"/>
  <c r="S10" i="5" s="1"/>
  <c r="S11" i="5" a="1"/>
  <c r="S11" i="5" s="1"/>
  <c r="S12" i="5" a="1"/>
  <c r="S12" i="5" s="1"/>
  <c r="S13" i="5" a="1"/>
  <c r="S13" i="5" s="1"/>
  <c r="S14" i="5" a="1"/>
  <c r="S14" i="5" s="1"/>
  <c r="S15" i="5" a="1"/>
  <c r="S15" i="5" s="1"/>
  <c r="S16" i="5" a="1"/>
  <c r="S16" i="5" s="1"/>
  <c r="S17" i="5" a="1"/>
  <c r="S17" i="5" s="1"/>
  <c r="S18" i="5" a="1"/>
  <c r="S18" i="5" s="1"/>
  <c r="S19" i="5" a="1"/>
  <c r="S19" i="5" s="1"/>
  <c r="S20" i="5" a="1"/>
  <c r="S20" i="5" s="1"/>
  <c r="S21" i="5" a="1"/>
  <c r="S21" i="5" s="1"/>
  <c r="D15" i="7"/>
  <c r="B4" i="7" a="1"/>
  <c r="B4" i="7" s="1"/>
  <c r="B4" i="5" a="1"/>
  <c r="B4" i="5" s="1"/>
  <c r="J1" i="13" s="1"/>
  <c r="D9" i="8"/>
  <c r="H9" i="8"/>
  <c r="S3" i="5" a="1"/>
  <c r="S3" i="5" s="1"/>
  <c r="S4" i="5" a="1"/>
  <c r="S4" i="5" s="1"/>
  <c r="S5" i="5" a="1"/>
  <c r="S5" i="5" s="1"/>
  <c r="S6" i="5" a="1"/>
  <c r="S6" i="5" s="1"/>
  <c r="S7" i="5" a="1"/>
  <c r="S7" i="5" s="1"/>
  <c r="S8" i="5" a="1"/>
  <c r="S8" i="5" s="1"/>
  <c r="Q5" i="5" a="1"/>
  <c r="Q5" i="5" s="1"/>
  <c r="Q6" i="5" a="1"/>
  <c r="Q6" i="5" s="1"/>
  <c r="Q7" i="5" a="1"/>
  <c r="Q7" i="5" s="1"/>
  <c r="Q8" i="5" a="1"/>
  <c r="Q8" i="5" s="1"/>
  <c r="Q9" i="5" a="1"/>
  <c r="Q9" i="5" s="1"/>
  <c r="Q10" i="5" a="1"/>
  <c r="Q10" i="5" s="1"/>
  <c r="Q11" i="5" a="1"/>
  <c r="Q11" i="5" s="1"/>
  <c r="Q12" i="5" a="1"/>
  <c r="Q12" i="5" s="1"/>
  <c r="Q13" i="5" a="1"/>
  <c r="Q13" i="5" s="1"/>
  <c r="Q14" i="5" a="1"/>
  <c r="Q14" i="5" s="1"/>
  <c r="Q15" i="5" a="1"/>
  <c r="Q15" i="5" s="1"/>
  <c r="Q16" i="5" a="1"/>
  <c r="Q16" i="5" s="1"/>
  <c r="Q17" i="5" a="1"/>
  <c r="Q17" i="5" s="1"/>
  <c r="Q18" i="5" a="1"/>
  <c r="Q18" i="5" s="1"/>
  <c r="Q19" i="5" a="1"/>
  <c r="Q19" i="5" s="1"/>
  <c r="Q20" i="5" a="1"/>
  <c r="Q20" i="5" s="1"/>
  <c r="Q21" i="5" a="1"/>
  <c r="Q21" i="5" s="1"/>
  <c r="Q25" i="5" a="1"/>
  <c r="Q25" i="5" s="1"/>
  <c r="D20" i="14" a="1"/>
  <c r="D20" i="14" l="1"/>
  <c r="D9" i="13"/>
  <c r="D10" i="13" s="1"/>
  <c r="D9" i="12"/>
  <c r="D10" i="12" s="1"/>
  <c r="B13" i="12"/>
  <c r="D13" i="12" s="1"/>
  <c r="D14" i="13"/>
  <c r="J1" i="12"/>
  <c r="D10" i="5"/>
  <c r="D9" i="5"/>
  <c r="P3" i="7" a="1"/>
  <c r="P3" i="7" s="1"/>
  <c r="P4" i="7" a="1"/>
  <c r="P4" i="7" s="1"/>
  <c r="P5" i="7" a="1"/>
  <c r="P5" i="7" s="1"/>
  <c r="P6" i="7" a="1"/>
  <c r="P6" i="7" s="1"/>
  <c r="P7" i="7" a="1"/>
  <c r="P7" i="7" s="1"/>
  <c r="P8" i="7" a="1"/>
  <c r="P8" i="7" s="1"/>
  <c r="P9" i="7" a="1"/>
  <c r="P9" i="7" s="1"/>
  <c r="P10" i="7" a="1"/>
  <c r="P10" i="7" s="1"/>
  <c r="P11" i="7" a="1"/>
  <c r="P11" i="7" s="1"/>
  <c r="P12" i="7" a="1"/>
  <c r="P12" i="7" s="1"/>
  <c r="P13" i="7" a="1"/>
  <c r="P13" i="7" s="1"/>
  <c r="P14" i="7" a="1"/>
  <c r="P14" i="7" s="1"/>
  <c r="P15" i="7" a="1"/>
  <c r="P15" i="7" s="1"/>
  <c r="P16" i="7" a="1"/>
  <c r="P16" i="7" s="1"/>
  <c r="P17" i="7" a="1"/>
  <c r="P17" i="7" s="1"/>
  <c r="P18" i="7" a="1"/>
  <c r="P18" i="7" s="1"/>
  <c r="P19" i="7" a="1"/>
  <c r="P19" i="7" s="1"/>
  <c r="P20" i="7" a="1"/>
  <c r="P20" i="7" s="1"/>
  <c r="P21" i="7" a="1"/>
  <c r="P21" i="7" s="1"/>
  <c r="P2" i="7" a="1"/>
  <c r="P2" i="7" s="1"/>
  <c r="S2" i="5" a="1"/>
  <c r="S2" i="5" s="1"/>
  <c r="Q3" i="5" a="1"/>
  <c r="Q3" i="5" s="1"/>
  <c r="Q4" i="5" a="1"/>
  <c r="Q4" i="5" s="1"/>
  <c r="Q2" i="5" a="1"/>
  <c r="Q2" i="5" s="1"/>
  <c r="H9" i="7"/>
  <c r="D9" i="7" s="1"/>
  <c r="B3" i="5"/>
  <c r="D3" i="5"/>
  <c r="D15" i="5"/>
  <c r="D12" i="5"/>
  <c r="D15" i="8"/>
  <c r="D12" i="8"/>
  <c r="D10" i="8"/>
  <c r="B5" i="8"/>
  <c r="B4" i="8"/>
  <c r="B13" i="8" s="1"/>
  <c r="D13" i="8" s="1"/>
  <c r="D12" i="7"/>
  <c r="B5" i="7"/>
  <c r="B13" i="7"/>
  <c r="D13" i="7" s="1"/>
  <c r="S4" i="1"/>
  <c r="B17" i="3"/>
  <c r="B16" i="3"/>
  <c r="B15" i="3"/>
  <c r="B14" i="3"/>
  <c r="B13" i="3"/>
  <c r="D16" i="13" l="1"/>
  <c r="D18" i="13" s="1"/>
  <c r="D14" i="12"/>
  <c r="D10" i="7"/>
  <c r="D14" i="7" s="1"/>
  <c r="J1" i="5"/>
  <c r="D14" i="8"/>
  <c r="D17" i="8" s="1"/>
  <c r="B13" i="5"/>
  <c r="D13" i="5" s="1"/>
  <c r="J1" i="8"/>
  <c r="J1" i="7"/>
  <c r="D20" i="8" a="1"/>
  <c r="D21" i="13" a="1"/>
  <c r="D21" i="13" l="1"/>
  <c r="D16" i="12"/>
  <c r="D18" i="12" s="1"/>
  <c r="D20" i="8"/>
  <c r="D11" i="5"/>
  <c r="D14" i="5" s="1"/>
  <c r="D16" i="7"/>
  <c r="D18" i="7" s="1"/>
  <c r="D21" i="12" a="1"/>
  <c r="D21" i="7" a="1"/>
  <c r="D21" i="12" l="1"/>
  <c r="D21" i="7"/>
  <c r="D16" i="5"/>
  <c r="D18" i="5" s="1"/>
  <c r="D21" i="5" a="1"/>
  <c r="D21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<sst xmlns="http://schemas.openxmlformats.org/spreadsheetml/2006/main" count="574" uniqueCount="203">
  <si>
    <t>PROMOTORES</t>
  </si>
  <si>
    <t>PAGO</t>
  </si>
  <si>
    <t xml:space="preserve">REGISTROS </t>
  </si>
  <si>
    <t>GERENTES</t>
  </si>
  <si>
    <t xml:space="preserve">TOTAL DE LA GERENCIA </t>
  </si>
  <si>
    <t>REGISTROS</t>
  </si>
  <si>
    <t>COORDINADOR</t>
  </si>
  <si>
    <t>PROMOTOR</t>
  </si>
  <si>
    <t>Promotor</t>
  </si>
  <si>
    <t>COORDINADORES</t>
  </si>
  <si>
    <t>15</t>
  </si>
  <si>
    <t>30</t>
  </si>
  <si>
    <t>40</t>
  </si>
  <si>
    <t>SUELDO BASE</t>
  </si>
  <si>
    <t>Coordinador</t>
  </si>
  <si>
    <t>Gerente</t>
  </si>
  <si>
    <t>TOTAL DE LA GERENCIA</t>
  </si>
  <si>
    <t>TOTAL DE REGISTROS:</t>
  </si>
  <si>
    <t>CREDENCIAL</t>
  </si>
  <si>
    <t xml:space="preserve">NOMBRE DEL ALUMNO </t>
  </si>
  <si>
    <t>GRUPO</t>
  </si>
  <si>
    <t xml:space="preserve">TS PLANTEL </t>
  </si>
  <si>
    <t xml:space="preserve">TS CREDENCIAL </t>
  </si>
  <si>
    <t>AWL TONALA</t>
  </si>
  <si>
    <t>DEDUCCION</t>
  </si>
  <si>
    <t>CANTIDAD CON LETRA:</t>
  </si>
  <si>
    <t>NOMBRE Y FIRMA:</t>
  </si>
  <si>
    <t>FECHA DE EXPEDICION:</t>
  </si>
  <si>
    <t>EMPLEADO</t>
  </si>
  <si>
    <t>PERIODO DEL PAGO DEL</t>
  </si>
  <si>
    <t>AL</t>
  </si>
  <si>
    <t>RAZON SOCIAL</t>
  </si>
  <si>
    <t>NUMERO DE SEMANA</t>
  </si>
  <si>
    <t>PLANTEL</t>
  </si>
  <si>
    <t>COMISION</t>
  </si>
  <si>
    <t>AWL TLAQUEPAQUE</t>
  </si>
  <si>
    <t>UDN TLAQUEPAQUE</t>
  </si>
  <si>
    <t>UDN TONALA</t>
  </si>
  <si>
    <t>UI PARIAN</t>
  </si>
  <si>
    <t>UI MARIANO OTERO</t>
  </si>
  <si>
    <t>VIRTUAL</t>
  </si>
  <si>
    <t>OBLATOS</t>
  </si>
  <si>
    <t>INDEPENDENCIA</t>
  </si>
  <si>
    <t>ONLINE</t>
  </si>
  <si>
    <t>TRANSITO</t>
  </si>
  <si>
    <t>PREMIO</t>
  </si>
  <si>
    <t>SUBTOTAL</t>
  </si>
  <si>
    <t>AWL LEON</t>
  </si>
  <si>
    <t>TOTAL DE LA COORDINACION</t>
  </si>
  <si>
    <t>PAGO NETO</t>
  </si>
  <si>
    <t>TOTAL COMISION</t>
  </si>
  <si>
    <t>INSCRIPCION</t>
  </si>
  <si>
    <t>MIN</t>
  </si>
  <si>
    <t>MAX</t>
  </si>
  <si>
    <t>TOTAL GERENCIA</t>
  </si>
  <si>
    <t>COLUMNA</t>
  </si>
  <si>
    <t>13</t>
  </si>
  <si>
    <t>Nombre</t>
  </si>
  <si>
    <t>0</t>
  </si>
  <si>
    <t>TOTAL REGISTROS GERENCIA</t>
  </si>
  <si>
    <t>Coordinadores</t>
  </si>
  <si>
    <t>Gerentes</t>
  </si>
  <si>
    <t>Promotores</t>
  </si>
  <si>
    <t>&gt;</t>
  </si>
  <si>
    <t>Planteles</t>
  </si>
  <si>
    <t>Razon Social</t>
  </si>
  <si>
    <t>UI INTERNACIONAL AC</t>
  </si>
  <si>
    <t>CURSO</t>
  </si>
  <si>
    <t>FECHA</t>
  </si>
  <si>
    <t>JOSUE SIERRA</t>
  </si>
  <si>
    <t>JONATHAN MARTINEZ</t>
  </si>
  <si>
    <t>BETZANIA MUÑOZ</t>
  </si>
  <si>
    <t>FERNANDO VILLALVAZO</t>
  </si>
  <si>
    <t>EVELYN VELAZQUEZ</t>
  </si>
  <si>
    <t>MICHELLE APARICIO</t>
  </si>
  <si>
    <t>FRIDA RIVERA</t>
  </si>
  <si>
    <t>MIRIAM TADEO</t>
  </si>
  <si>
    <t>DAVID HERNANDEZ</t>
  </si>
  <si>
    <t>MARIANA SANCHEZ</t>
  </si>
  <si>
    <t>ISAAC GARCIA</t>
  </si>
  <si>
    <t>JOSUE ALVAREZ</t>
  </si>
  <si>
    <t>FERNANDO VILLALVAZO HINOJOSA</t>
  </si>
  <si>
    <t>DIANA MICHELLE APARICIO PÉREZ</t>
  </si>
  <si>
    <t>JOSUE OMAR ALVAREZ MATA</t>
  </si>
  <si>
    <t>GERARDO ISAAC GARCIA DE LA CRUZ</t>
  </si>
  <si>
    <t xml:space="preserve">YANELY HERNADEZ VEGA </t>
  </si>
  <si>
    <t>DAVID EMILIANO HERNANDEZ GARCIA</t>
  </si>
  <si>
    <t>BRYAN JATHZIEL CAMPOS VALENCIA</t>
  </si>
  <si>
    <t>JOSUE OSVALDO SIORDIA SIERRA</t>
  </si>
  <si>
    <t>MARIANA GUTIERREZ SANCHEZ</t>
  </si>
  <si>
    <t>JORGE ALBERTO RODRIGUEZ TORRES</t>
  </si>
  <si>
    <t>MIRIAM SARAHI TADEO SANCHEZ</t>
  </si>
  <si>
    <t>JOSE GABRIEL FERNÁNDEZ GOCHE</t>
  </si>
  <si>
    <t>FRIDA BERENICE CHACON RIVERA</t>
  </si>
  <si>
    <t>YADIRA HERNANDEZ VEGA</t>
  </si>
  <si>
    <t>EVELYN CAROLINA VELAZQUEZ RAMOS</t>
  </si>
  <si>
    <t>MINA CAREY APARICIO PÉREZ</t>
  </si>
  <si>
    <t>DANIELA ALEJANDRA MARTINEZ LOZANO</t>
  </si>
  <si>
    <t>BETZANIA GUADALUPE MUÑOZ MARQUEZ</t>
  </si>
  <si>
    <t>ANA FERNANADA ORNELAS DEL REAL</t>
  </si>
  <si>
    <t>JONATHAN FRANCISCO LOPEZ MARTINEZ</t>
  </si>
  <si>
    <t>NOMBRE</t>
  </si>
  <si>
    <t>ALIAS</t>
  </si>
  <si>
    <t>GERENCIA</t>
  </si>
  <si>
    <t>COORDINACION</t>
  </si>
  <si>
    <t>YANELY HERNADEZ</t>
  </si>
  <si>
    <t>JOSE FERNÁNDEZ</t>
  </si>
  <si>
    <t>BRYAN CAMPOS</t>
  </si>
  <si>
    <t>JORGE RODRIGUEZ</t>
  </si>
  <si>
    <t>MINA APARICIO</t>
  </si>
  <si>
    <t>YADIRA VEGA</t>
  </si>
  <si>
    <t>DANIELA LOZANO</t>
  </si>
  <si>
    <t>UI 16 DE SEPTIEMBRE</t>
  </si>
  <si>
    <t>NOMBRE DEL ALUMNO</t>
  </si>
  <si>
    <t>COODINADORES</t>
  </si>
  <si>
    <t>JOSUE ALVAREZ (P)</t>
  </si>
  <si>
    <t>MICHELLE APARICIO (P)</t>
  </si>
  <si>
    <t>YANELY HERNADEZ (P)</t>
  </si>
  <si>
    <t>ISAAC GARCIA (P)</t>
  </si>
  <si>
    <t>FERNANDO VILLALVAZO (P)</t>
  </si>
  <si>
    <t>PUESTO</t>
  </si>
  <si>
    <t>GERENTE</t>
  </si>
  <si>
    <t>Sueldos Base</t>
  </si>
  <si>
    <t>COLABORADOR</t>
  </si>
  <si>
    <t>DESCUENTOS</t>
  </si>
  <si>
    <t>Descuentos</t>
  </si>
  <si>
    <t>DESCUENTO</t>
  </si>
  <si>
    <t xml:space="preserve"> </t>
  </si>
  <si>
    <t>CONCEPTO</t>
  </si>
  <si>
    <t>PAGO SUELDOS BASE COORDINACION</t>
  </si>
  <si>
    <t>ENRIQUE OJEDA</t>
  </si>
  <si>
    <t>HUGO PACHECO</t>
  </si>
  <si>
    <t>DAMIAN BRAVO</t>
  </si>
  <si>
    <t>EFRAIN CORTES</t>
  </si>
  <si>
    <t>PEDRO MORA HERNANDEZ</t>
  </si>
  <si>
    <t>PEDRO MORA</t>
  </si>
  <si>
    <t>OLIVIA PACHECO GUTIERREZ</t>
  </si>
  <si>
    <t>OLIVIA PACHECO</t>
  </si>
  <si>
    <t xml:space="preserve">MARIANA PACHECO GUTIERREZ </t>
  </si>
  <si>
    <t>MARIANA PACHECO</t>
  </si>
  <si>
    <t>OLIVIA PACHECO (P)</t>
  </si>
  <si>
    <t>MARIANA PACHECO (P)</t>
  </si>
  <si>
    <t>PEDRO MORA (P)</t>
  </si>
  <si>
    <t>JUAN ENRIQUE OJEDA RAZO</t>
  </si>
  <si>
    <t>HUGO PACHECO GUTIERREZ</t>
  </si>
  <si>
    <t>DAMIAN BRAVO GUERRERO</t>
  </si>
  <si>
    <t>EFRAIN CORTES RANGEL</t>
  </si>
  <si>
    <t>EUNICE RAMOS MORALES</t>
  </si>
  <si>
    <t>LIZBETH RAMOS MORALES</t>
  </si>
  <si>
    <t xml:space="preserve">FATIMA HERNANDEZ </t>
  </si>
  <si>
    <t xml:space="preserve">MIGUEL RODRIGUEZ </t>
  </si>
  <si>
    <t>LIZBETH RAMOS</t>
  </si>
  <si>
    <t>EUNICE RAMOS</t>
  </si>
  <si>
    <t>MIGUEL RODRIGUEZ</t>
  </si>
  <si>
    <t>FATIMA HERNANDEZ</t>
  </si>
  <si>
    <t xml:space="preserve">RAMON MORENO ESQUIVEL </t>
  </si>
  <si>
    <t>RAMON TALA</t>
  </si>
  <si>
    <t>VERONICA CHAVEZ</t>
  </si>
  <si>
    <t>RAMON MORENO ESQUIVEL</t>
  </si>
  <si>
    <t>DANIELA MURILLO DE ANDA</t>
  </si>
  <si>
    <t>DANIELA MURILLO</t>
  </si>
  <si>
    <t>RAMON TALA (P)</t>
  </si>
  <si>
    <t>VERONICA CHAVEZ (P)</t>
  </si>
  <si>
    <t>DANIELA MURILLO (P)</t>
  </si>
  <si>
    <t>MICHELLE ANSELXO</t>
  </si>
  <si>
    <t>JOSE NAVARRO</t>
  </si>
  <si>
    <t>JORGE ORTEGA</t>
  </si>
  <si>
    <t>DANIELA JAUREGUI</t>
  </si>
  <si>
    <t>ABRIL LOPEZ</t>
  </si>
  <si>
    <t>ANDREA ESQUEDA</t>
  </si>
  <si>
    <t>JANETH CORONA</t>
  </si>
  <si>
    <t>IRVING ARAUJO</t>
  </si>
  <si>
    <t>GUIDO MURILLO</t>
  </si>
  <si>
    <t>JORGE GARCIA ESTRADA</t>
  </si>
  <si>
    <t>JORGE GARCIA</t>
  </si>
  <si>
    <t>COSTO POR REGISTRO</t>
  </si>
  <si>
    <t>ANTONIO ORTEGA</t>
  </si>
  <si>
    <t>ARNULFO MACIAS</t>
  </si>
  <si>
    <t>JUAN ESTRADA</t>
  </si>
  <si>
    <t>VERONICA CHAVEZ ACOSTA</t>
  </si>
  <si>
    <t>ALEXA MICHELLE ANZALDO MEZA</t>
  </si>
  <si>
    <t>ALEXA ANZALDO</t>
  </si>
  <si>
    <t>JOSE ALFONSO NAVARRO CUEVAS</t>
  </si>
  <si>
    <t>JOSE ANTONIO ORTEGA HARO</t>
  </si>
  <si>
    <t>JORGE ARTURO ORTEGA HARO</t>
  </si>
  <si>
    <t>DANIELA MONSERRAT JÁUREGUI NEAVE</t>
  </si>
  <si>
    <t>MARTHA PATRICIA LOPEZ JIMENEZ</t>
  </si>
  <si>
    <t>MARTHA LOPEZ</t>
  </si>
  <si>
    <t>ANDREA PRISCILIA ESQUEDA ALANIZ</t>
  </si>
  <si>
    <t>JANETH CORONA AGUILAR</t>
  </si>
  <si>
    <t>ARNULFO ADAIR MACIAS CABRAL</t>
  </si>
  <si>
    <t>IRVING GILBERTO ARAUJO RAMIREZ</t>
  </si>
  <si>
    <t>GUIDO RENE MURILLO CORDOVA</t>
  </si>
  <si>
    <t>JUAN PABLO ESTRADA SANTIAGO</t>
  </si>
  <si>
    <t>FERNANDA ORNELAS</t>
  </si>
  <si>
    <t>RAMON TALA (C)</t>
  </si>
  <si>
    <t>FERNANDO VILLALVAZO (C)</t>
  </si>
  <si>
    <t>PEDRO MORA (C)</t>
  </si>
  <si>
    <t>Edgar Alejandro Aceves Moreno</t>
  </si>
  <si>
    <t>Briana Allison Juarez Hernandez</t>
  </si>
  <si>
    <t>PREPA</t>
  </si>
  <si>
    <t>3/26/25</t>
  </si>
  <si>
    <t>3/22/25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</si>
</sst>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164" formatCode="&quot;$&quot;#,##0;[Red]\-&quot;$&quot;#,##0"/>
    <numFmt numFmtId="165" formatCode="_-&quot;$&quot;* #,##0.00_-;\-&quot;$&quot;* #,##0.00_-;_-&quot;$&quot;* &quot;-&quot;??_-;_-@_-"/>
    <numFmt numFmtId="166" formatCode="_-&quot;$&quot;* #,##0.00_-;\-&quot;$&quot;* #,##0.00_-;_-&quot;$&quot;* &quot;-&quot;??_-;_-@"/>
    <numFmt numFmtId="167" formatCode="_-[$$-80A]* #,##0.00_-;\-[$$-80A]* #,##0.00_-;_-[$$-80A]* &quot;-&quot;??_-;_-@"/>
    <numFmt numFmtId="168" formatCode="[$-1540A]dd\-mmm\-yy"/>
    <numFmt numFmtId="169" formatCode="m/d/yyyy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3"/>
      <name val="Calibri"/>
      <family val="2"/>
      <scheme val="minor"/>
    </font>
    <font>
      <b/>
      <sz val="12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0" fontId="7" fillId="0" borderId="4" applyNumberFormat="0" applyFill="0" applyAlignment="0" applyProtection="0"/>
  </cellStyleXfs>
  <cellXfs count="133">
    <xf numFmtId="0" fontId="0" fillId="0" borderId="0" xfId="0"/>
    <xf numFmtId="0" fontId="2" fillId="0" borderId="0" xfId="0" applyFont="1"/>
    <xf numFmtId="165" fontId="2" fillId="0" borderId="0" xfId="1" applyFont="1" applyFill="1" applyBorder="1"/>
    <xf numFmtId="165" fontId="3" fillId="0" borderId="0" xfId="1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165" fontId="2" fillId="0" borderId="0" xfId="1" applyFont="1" applyFill="1" applyBorder="1" applyAlignment="1"/>
    <xf numFmtId="0" fontId="3" fillId="0" borderId="0" xfId="0" applyFont="1"/>
    <xf numFmtId="0" fontId="3" fillId="0" borderId="0" xfId="0" applyFont="1" applyAlignment="1">
      <alignment vertical="center"/>
    </xf>
    <xf numFmtId="165" fontId="3" fillId="0" borderId="0" xfId="1" applyFont="1" applyFill="1" applyBorder="1" applyAlignment="1"/>
    <xf numFmtId="165" fontId="3" fillId="0" borderId="0" xfId="1" applyFont="1" applyFill="1" applyBorder="1" applyAlignment="1">
      <alignment vertical="center"/>
    </xf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164" fontId="2" fillId="0" borderId="0" xfId="0" applyNumberFormat="1" applyFont="1"/>
    <xf numFmtId="0" fontId="4" fillId="0" borderId="0" xfId="0" applyFont="1"/>
    <xf numFmtId="0" fontId="5" fillId="0" borderId="0" xfId="0" applyFont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14" fontId="4" fillId="0" borderId="0" xfId="0" applyNumberFormat="1" applyFont="1" applyAlignment="1">
      <alignment vertical="center"/>
    </xf>
    <xf numFmtId="0" fontId="4" fillId="0" borderId="0" xfId="0" applyFont="1" applyAlignment="1">
      <alignment wrapText="1"/>
    </xf>
    <xf numFmtId="166" fontId="4" fillId="0" borderId="0" xfId="0" applyNumberFormat="1" applyFont="1"/>
    <xf numFmtId="166" fontId="4" fillId="0" borderId="0" xfId="0" applyNumberFormat="1" applyFont="1" applyAlignment="1">
      <alignment vertical="center"/>
    </xf>
    <xf numFmtId="168" fontId="4" fillId="0" borderId="0" xfId="0" applyNumberFormat="1" applyFont="1"/>
    <xf numFmtId="0" fontId="5" fillId="0" borderId="0" xfId="0" applyFont="1" applyAlignment="1">
      <alignment horizontal="right"/>
    </xf>
    <xf numFmtId="166" fontId="5" fillId="0" borderId="0" xfId="0" applyNumberFormat="1" applyFont="1" applyAlignment="1">
      <alignment vertical="center"/>
    </xf>
    <xf numFmtId="0" fontId="5" fillId="0" borderId="0" xfId="0" applyFont="1" applyAlignment="1">
      <alignment horizontal="right" vertical="center"/>
    </xf>
    <xf numFmtId="166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6" fontId="5" fillId="2" borderId="1" xfId="0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2" xfId="0" applyFont="1" applyBorder="1"/>
    <xf numFmtId="0" fontId="5" fillId="0" borderId="2" xfId="0" applyFont="1" applyBorder="1" applyAlignment="1">
      <alignment horizontal="right"/>
    </xf>
    <xf numFmtId="0" fontId="4" fillId="0" borderId="2" xfId="0" applyFont="1" applyBorder="1"/>
    <xf numFmtId="0" fontId="4" fillId="0" borderId="0" xfId="0" applyFont="1" applyAlignment="1">
      <alignment horizontal="right"/>
    </xf>
    <xf numFmtId="166" fontId="5" fillId="0" borderId="2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horizontal="right" vertical="center"/>
    </xf>
    <xf numFmtId="0" fontId="4" fillId="0" borderId="2" xfId="0" applyFont="1" applyBorder="1" applyAlignment="1">
      <alignment horizontal="center"/>
    </xf>
    <xf numFmtId="44" fontId="5" fillId="0" borderId="0" xfId="0" applyNumberFormat="1" applyFont="1" applyAlignment="1">
      <alignment vertical="center"/>
    </xf>
    <xf numFmtId="44" fontId="5" fillId="0" borderId="0" xfId="0" applyNumberFormat="1" applyFont="1" applyAlignment="1">
      <alignment horizontal="center" vertical="center"/>
    </xf>
    <xf numFmtId="165" fontId="0" fillId="0" borderId="0" xfId="1" applyFont="1"/>
    <xf numFmtId="0" fontId="4" fillId="0" borderId="0" xfId="0" applyFont="1" applyAlignment="1">
      <alignment horizontal="right" vertical="center"/>
    </xf>
    <xf numFmtId="0" fontId="5" fillId="0" borderId="3" xfId="0" applyFont="1" applyBorder="1"/>
    <xf numFmtId="14" fontId="4" fillId="0" borderId="3" xfId="0" applyNumberFormat="1" applyFont="1" applyBorder="1"/>
    <xf numFmtId="0" fontId="5" fillId="0" borderId="3" xfId="0" applyFont="1" applyBorder="1" applyAlignment="1">
      <alignment horizontal="center" vertical="center"/>
    </xf>
    <xf numFmtId="14" fontId="4" fillId="0" borderId="3" xfId="0" applyNumberFormat="1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3" xfId="0" applyFont="1" applyBorder="1" applyAlignment="1">
      <alignment horizontal="right"/>
    </xf>
    <xf numFmtId="44" fontId="5" fillId="0" borderId="2" xfId="1" applyNumberFormat="1" applyFont="1" applyBorder="1" applyAlignment="1">
      <alignment horizontal="center" vertical="center"/>
    </xf>
    <xf numFmtId="164" fontId="5" fillId="0" borderId="2" xfId="0" applyNumberFormat="1" applyFont="1" applyBorder="1" applyAlignment="1">
      <alignment vertical="center"/>
    </xf>
    <xf numFmtId="167" fontId="4" fillId="0" borderId="0" xfId="0" applyNumberFormat="1" applyFont="1" applyAlignment="1">
      <alignment horizontal="center"/>
    </xf>
    <xf numFmtId="166" fontId="4" fillId="0" borderId="0" xfId="0" applyNumberFormat="1" applyFont="1" applyAlignment="1">
      <alignment horizontal="center"/>
    </xf>
    <xf numFmtId="14" fontId="4" fillId="0" borderId="0" xfId="0" applyNumberFormat="1" applyFont="1" applyAlignment="1">
      <alignment horizontal="center" vertical="center"/>
    </xf>
    <xf numFmtId="167" fontId="5" fillId="0" borderId="0" xfId="0" applyNumberFormat="1" applyFont="1" applyAlignment="1">
      <alignment horizontal="center"/>
    </xf>
    <xf numFmtId="166" fontId="5" fillId="0" borderId="0" xfId="0" applyNumberFormat="1" applyFont="1" applyAlignment="1">
      <alignment horizontal="center"/>
    </xf>
    <xf numFmtId="14" fontId="4" fillId="0" borderId="3" xfId="0" applyNumberFormat="1" applyFont="1" applyBorder="1" applyProtection="1">
      <protection locked="0"/>
    </xf>
    <xf numFmtId="14" fontId="4" fillId="0" borderId="3" xfId="0" applyNumberFormat="1" applyFont="1" applyBorder="1" applyAlignment="1" applyProtection="1">
      <alignment vertical="center"/>
      <protection locked="0"/>
    </xf>
    <xf numFmtId="14" fontId="4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vertical="center"/>
    </xf>
    <xf numFmtId="0" fontId="8" fillId="0" borderId="0" xfId="0" applyFont="1"/>
    <xf numFmtId="0" fontId="8" fillId="0" borderId="0" xfId="0" applyFont="1" applyAlignment="1">
      <alignment vertical="center"/>
    </xf>
    <xf numFmtId="166" fontId="9" fillId="0" borderId="0" xfId="0" applyNumberFormat="1" applyFont="1" applyAlignment="1">
      <alignment horizontal="center" vertical="center"/>
    </xf>
    <xf numFmtId="0" fontId="7" fillId="0" borderId="4" xfId="2"/>
    <xf numFmtId="0" fontId="7" fillId="0" borderId="4" xfId="2" applyAlignment="1">
      <alignment horizontal="center"/>
    </xf>
    <xf numFmtId="0" fontId="7" fillId="0" borderId="0" xfId="2" applyBorder="1"/>
    <xf numFmtId="164" fontId="3" fillId="0" borderId="0" xfId="0" applyNumberFormat="1" applyFont="1" applyAlignment="1">
      <alignment vertical="center"/>
    </xf>
    <xf numFmtId="0" fontId="2" fillId="0" borderId="0" xfId="0" applyFont="1" applyAlignment="1">
      <alignment horizontal="center"/>
    </xf>
    <xf numFmtId="0" fontId="7" fillId="0" borderId="4" xfId="2" applyAlignment="1">
      <alignment vertical="center"/>
    </xf>
    <xf numFmtId="49" fontId="0" fillId="0" borderId="0" xfId="0" applyNumberFormat="1" applyAlignment="1">
      <alignment horizontal="left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/>
    </xf>
    <xf numFmtId="165" fontId="4" fillId="0" borderId="0" xfId="1" applyFont="1" applyAlignment="1">
      <alignment horizontal="center"/>
    </xf>
    <xf numFmtId="44" fontId="5" fillId="0" borderId="0" xfId="1" applyNumberFormat="1" applyFont="1" applyAlignment="1">
      <alignment vertical="center"/>
    </xf>
    <xf numFmtId="165" fontId="2" fillId="0" borderId="0" xfId="1" applyFont="1"/>
    <xf numFmtId="0" fontId="10" fillId="0" borderId="0" xfId="2" applyFont="1" applyBorder="1"/>
    <xf numFmtId="0" fontId="10" fillId="0" borderId="0" xfId="2" applyFont="1" applyBorder="1" applyAlignment="1">
      <alignment horizontal="center"/>
    </xf>
    <xf numFmtId="49" fontId="8" fillId="0" borderId="0" xfId="0" applyNumberFormat="1" applyFont="1" applyAlignment="1">
      <alignment horizontal="left"/>
    </xf>
    <xf numFmtId="165" fontId="4" fillId="0" borderId="2" xfId="1" applyFont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4" fillId="5" borderId="0" xfId="0" applyFont="1" applyFill="1"/>
    <xf numFmtId="0" fontId="4" fillId="4" borderId="0" xfId="0" applyFont="1" applyFill="1"/>
    <xf numFmtId="0" fontId="4" fillId="6" borderId="0" xfId="0" applyFont="1" applyFill="1"/>
    <xf numFmtId="44" fontId="5" fillId="0" borderId="2" xfId="0" applyNumberFormat="1" applyFont="1" applyBorder="1" applyAlignment="1">
      <alignment horizontal="center" vertical="center"/>
    </xf>
    <xf numFmtId="44" fontId="5" fillId="0" borderId="2" xfId="1" applyNumberFormat="1" applyFont="1" applyBorder="1" applyAlignment="1" applyProtection="1">
      <alignment horizontal="center" vertical="center"/>
    </xf>
    <xf numFmtId="44" fontId="5" fillId="2" borderId="1" xfId="1" applyNumberFormat="1" applyFont="1" applyFill="1" applyBorder="1" applyAlignment="1" applyProtection="1">
      <alignment horizontal="center" vertical="center"/>
    </xf>
    <xf numFmtId="0" fontId="5" fillId="0" borderId="2" xfId="0" applyFont="1" applyBorder="1" applyAlignment="1">
      <alignment horizontal="center"/>
    </xf>
    <xf numFmtId="0" fontId="4" fillId="0" borderId="3" xfId="0" applyFont="1" applyBorder="1" applyAlignment="1" applyProtection="1">
      <alignment vertical="center"/>
      <protection locked="0"/>
    </xf>
    <xf numFmtId="165" fontId="4" fillId="0" borderId="2" xfId="1" applyFont="1" applyBorder="1" applyProtection="1"/>
    <xf numFmtId="0" fontId="4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166" fontId="5" fillId="0" borderId="0" xfId="0" applyNumberFormat="1" applyFont="1" applyAlignment="1" applyProtection="1">
      <alignment horizontal="center" vertical="center"/>
      <protection locked="0"/>
    </xf>
    <xf numFmtId="49" fontId="4" fillId="0" borderId="0" xfId="0" applyNumberFormat="1" applyFont="1" applyAlignment="1" applyProtection="1">
      <alignment horizontal="left" vertical="center"/>
      <protection locked="0"/>
    </xf>
    <xf numFmtId="49" fontId="4" fillId="0" borderId="0" xfId="0" applyNumberFormat="1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left" vertical="center"/>
      <protection locked="0"/>
    </xf>
    <xf numFmtId="0" fontId="4" fillId="0" borderId="0" xfId="0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right" vertical="center"/>
      <protection locked="0"/>
    </xf>
    <xf numFmtId="0" fontId="4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right"/>
      <protection locked="0"/>
    </xf>
    <xf numFmtId="0" fontId="5" fillId="0" borderId="0" xfId="0" applyFont="1" applyAlignment="1" applyProtection="1">
      <alignment horizontal="center"/>
      <protection locked="0"/>
    </xf>
    <xf numFmtId="0" fontId="5" fillId="0" borderId="0" xfId="0" applyFont="1" applyProtection="1">
      <protection locked="0"/>
    </xf>
    <xf numFmtId="44" fontId="5" fillId="0" borderId="0" xfId="0" applyNumberFormat="1" applyFont="1" applyAlignment="1" applyProtection="1">
      <alignment horizontal="center"/>
      <protection locked="0"/>
    </xf>
    <xf numFmtId="166" fontId="5" fillId="0" borderId="0" xfId="0" applyNumberFormat="1" applyFont="1" applyAlignment="1" applyProtection="1">
      <alignment horizontal="center"/>
      <protection locked="0"/>
    </xf>
    <xf numFmtId="44" fontId="4" fillId="0" borderId="0" xfId="1" applyNumberFormat="1" applyFont="1" applyFill="1" applyAlignment="1" applyProtection="1">
      <alignment horizontal="right"/>
      <protection locked="0"/>
    </xf>
    <xf numFmtId="169" fontId="4" fillId="0" borderId="0" xfId="0" applyNumberFormat="1" applyFont="1" applyAlignment="1" applyProtection="1">
      <alignment horizontal="center" vertical="center"/>
      <protection locked="0"/>
    </xf>
    <xf numFmtId="44" fontId="4" fillId="0" borderId="0" xfId="0" applyNumberFormat="1" applyFont="1" applyAlignment="1" applyProtection="1">
      <alignment horizontal="center"/>
      <protection locked="0"/>
    </xf>
    <xf numFmtId="0" fontId="4" fillId="0" borderId="3" xfId="0" applyFont="1" applyBorder="1" applyAlignment="1">
      <alignment horizontal="right" wrapText="1"/>
    </xf>
    <xf numFmtId="49" fontId="4" fillId="0" borderId="0" xfId="0" applyNumberFormat="1" applyFont="1" applyAlignment="1">
      <alignment vertical="center"/>
    </xf>
    <xf numFmtId="0" fontId="5" fillId="0" borderId="3" xfId="0" applyFont="1" applyBorder="1" applyAlignment="1">
      <alignment wrapText="1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 wrapText="1"/>
    </xf>
    <xf numFmtId="0" fontId="5" fillId="0" borderId="2" xfId="0" applyFont="1" applyBorder="1" applyAlignment="1">
      <alignment horizontal="center" wrapText="1"/>
    </xf>
    <xf numFmtId="165" fontId="4" fillId="0" borderId="2" xfId="1" applyFont="1" applyBorder="1" applyAlignment="1" applyProtection="1">
      <alignment wrapText="1"/>
    </xf>
    <xf numFmtId="0" fontId="4" fillId="0" borderId="0" xfId="0" applyFont="1" applyAlignment="1">
      <alignment horizontal="center" vertical="center" wrapText="1"/>
    </xf>
    <xf numFmtId="0" fontId="4" fillId="5" borderId="0" xfId="0" applyFont="1" applyFill="1" applyAlignment="1">
      <alignment wrapText="1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66" fontId="5" fillId="0" borderId="2" xfId="0" applyNumberFormat="1" applyFont="1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/>
      <protection locked="0"/>
    </xf>
    <xf numFmtId="0" fontId="4" fillId="0" borderId="0" xfId="0" applyFont="1" applyFill="1" applyAlignment="1">
      <alignment vertical="center"/>
    </xf>
    <xf numFmtId="0" fontId="4" fillId="0" borderId="0" xfId="0" applyFont="1" applyFill="1" applyAlignment="1">
      <alignment horizontal="center"/>
    </xf>
    <xf numFmtId="167" fontId="4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right" vertical="center"/>
    </xf>
    <xf numFmtId="165" fontId="4" fillId="0" borderId="0" xfId="1" applyFont="1" applyFill="1" applyAlignment="1">
      <alignment horizontal="center"/>
    </xf>
    <xf numFmtId="169" fontId="4" fillId="0" borderId="0" xfId="0" applyNumberFormat="1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65" fontId="4" fillId="0" borderId="0" xfId="0" applyNumberFormat="1" applyFont="1" applyFill="1" applyAlignment="1">
      <alignment horizontal="center"/>
    </xf>
    <xf numFmtId="166" fontId="4" fillId="0" borderId="0" xfId="0" applyNumberFormat="1" applyFont="1" applyFill="1" applyAlignment="1">
      <alignment horizontal="center"/>
    </xf>
    <xf numFmtId="169" fontId="4" fillId="0" borderId="0" xfId="0" applyNumberFormat="1" applyFont="1" applyFill="1" applyAlignment="1">
      <alignment horizontal="center"/>
    </xf>
  </cellXfs>
  <cellStyles count="3">
    <cellStyle name="Currency" xfId="1" builtinId="4"/>
    <cellStyle name="Heading 1" xfId="2" builtinId="16"/>
    <cellStyle name="Normal" xfId="0" builtinId="0"/>
  </cellStyles>
  <dxfs count="2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b/>
        <family val="2"/>
      </font>
      <protection locked="0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$&quot;#,##0;[Red]\-&quot;$&quot;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$&quot;#,##0;[Red]\-&quot;$&quot;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C99FF"/>
      <color rgb="FFCCCCFF"/>
      <color rgb="FFDAFA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104775</xdr:colOff>
          <xdr:row>0</xdr:row>
          <xdr:rowOff>47625</xdr:rowOff>
        </xdr:from>
        <xdr:to>
          <xdr:col>13</xdr:col>
          <xdr:colOff>733425</xdr:colOff>
          <xdr:row>3</xdr:row>
          <xdr:rowOff>152400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4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Nominas de Promotores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104775</xdr:colOff>
          <xdr:row>5</xdr:row>
          <xdr:rowOff>47625</xdr:rowOff>
        </xdr:from>
        <xdr:to>
          <xdr:col>13</xdr:col>
          <xdr:colOff>733425</xdr:colOff>
          <xdr:row>8</xdr:row>
          <xdr:rowOff>171450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4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Total Nominas de Coordinacion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0</xdr:row>
          <xdr:rowOff>57150</xdr:rowOff>
        </xdr:from>
        <xdr:to>
          <xdr:col>14</xdr:col>
          <xdr:colOff>742950</xdr:colOff>
          <xdr:row>3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Nominas de Coordinadores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5</xdr:row>
          <xdr:rowOff>47625</xdr:rowOff>
        </xdr:from>
        <xdr:to>
          <xdr:col>14</xdr:col>
          <xdr:colOff>733425</xdr:colOff>
          <xdr:row>8</xdr:row>
          <xdr:rowOff>171450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Total de Nominas Gerencia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104775</xdr:colOff>
          <xdr:row>0</xdr:row>
          <xdr:rowOff>47625</xdr:rowOff>
        </xdr:from>
        <xdr:to>
          <xdr:col>13</xdr:col>
          <xdr:colOff>733425</xdr:colOff>
          <xdr:row>3</xdr:row>
          <xdr:rowOff>152400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AC04939E-F654-4BA5-B3B1-54EA599BD9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Nominas de Promotores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104775</xdr:colOff>
          <xdr:row>5</xdr:row>
          <xdr:rowOff>47625</xdr:rowOff>
        </xdr:from>
        <xdr:to>
          <xdr:col>13</xdr:col>
          <xdr:colOff>733425</xdr:colOff>
          <xdr:row>8</xdr:row>
          <xdr:rowOff>171450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FB251BA-8ED0-472E-8B09-7CCE46C8FB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Total Nominas de Coordinacion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104775</xdr:colOff>
          <xdr:row>0</xdr:row>
          <xdr:rowOff>47625</xdr:rowOff>
        </xdr:from>
        <xdr:to>
          <xdr:col>13</xdr:col>
          <xdr:colOff>733425</xdr:colOff>
          <xdr:row>3</xdr:row>
          <xdr:rowOff>152400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67A3A5C4-5F09-4750-8BE2-33C000E7E1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Nominas de Promotores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104775</xdr:colOff>
          <xdr:row>5</xdr:row>
          <xdr:rowOff>47625</xdr:rowOff>
        </xdr:from>
        <xdr:to>
          <xdr:col>13</xdr:col>
          <xdr:colOff>733425</xdr:colOff>
          <xdr:row>8</xdr:row>
          <xdr:rowOff>171450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28771665-71AA-4813-83E9-72DBE4F817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Total Nominas de Coordinacion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eet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CBEDCC-84CA-4F68-A1BF-882DF7EB9AAD}" name="Premios_Promotor" displayName="Premios_Promotor" ref="A4:F10" totalsRowShown="0" headerRowDxfId="273" dataDxfId="272" tableBorderDxfId="271" dataCellStyle="Currency">
  <autoFilter ref="A4:F10" xr:uid="{1DCBEDCC-84CA-4F68-A1BF-882DF7EB9AAD}"/>
  <tableColumns count="6">
    <tableColumn id="1" xr3:uid="{52B2CFAB-87CE-4CB9-8B44-7C63B5BB8779}" name="REGISTROS " dataDxfId="270"/>
    <tableColumn id="2" xr3:uid="{1F936614-3024-45E4-8B47-3E2669DC32FC}" name="0" dataDxfId="269" dataCellStyle="Currency"/>
    <tableColumn id="5" xr3:uid="{004B43FE-1D3B-4EE3-8961-771A3156DE8D}" name="13" dataDxfId="268" dataCellStyle="Currency"/>
    <tableColumn id="6" xr3:uid="{113128A4-9C84-4D65-ACBE-D34F68404358}" name="15" dataDxfId="267" dataCellStyle="Currency"/>
    <tableColumn id="3" xr3:uid="{4E945F5C-29A5-409D-9741-D02FDD95409D}" name="30" dataDxfId="266" dataCellStyle="Currency"/>
    <tableColumn id="4" xr3:uid="{F54F9DBA-BB7E-4D93-B316-DDF4038A6BBE}" name="40" dataDxfId="265" dataCellStyle="Currency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D8FF99-7FBD-4770-86D4-916903E3362B}" name="Premios_Coordinador" displayName="Premios_Coordinador" ref="H4:I11" totalsRowShown="0" headerRowDxfId="264" tableBorderDxfId="263">
  <autoFilter ref="H4:I11" xr:uid="{F9D8FF99-7FBD-4770-86D4-916903E3362B}"/>
  <tableColumns count="2">
    <tableColumn id="1" xr3:uid="{0E6771B9-BC03-4485-BDA4-FEEA8045374D}" name="REGISTROS" dataDxfId="262"/>
    <tableColumn id="2" xr3:uid="{4295DB49-D0F8-4407-9A7E-ED849FC12761}" name="PAGO" dataDxfId="261" dataCellStyle="Currency"/>
  </tableColumns>
  <tableStyleInfo name="TableStyleMedium1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2E832C-499C-406E-AFE6-A5C76665B594}" name="Premios_Gerente" displayName="Premios_Gerente" ref="K4:L13" totalsRowShown="0" headerRowDxfId="260" tableBorderDxfId="259">
  <autoFilter ref="K4:L13" xr:uid="{782E832C-499C-406E-AFE6-A5C76665B594}"/>
  <tableColumns count="2">
    <tableColumn id="1" xr3:uid="{7A8416CF-E219-4CDB-8FDD-07CF7E1FE521}" name="REGISTROS" dataDxfId="258"/>
    <tableColumn id="2" xr3:uid="{C0009598-D6D0-42B2-9CE0-A1EE69F3EAA6}" name="PAGO" dataDxfId="257" dataCellStyle="Currency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5ABD35-A5F5-46DD-B29D-07D529A95A4D}" name="Tabulador_Premio_Promotor_Total_Gerencia" displayName="Tabulador_Premio_Promotor_Total_Gerencia" ref="A12:B17" totalsRowShown="0" headerRowDxfId="256" tableBorderDxfId="255">
  <autoFilter ref="A12:B17" xr:uid="{B75ABD35-A5F5-46DD-B29D-07D529A95A4D}"/>
  <tableColumns count="2">
    <tableColumn id="1" xr3:uid="{0534316F-AE04-4858-8D2E-9A42BB4165B0}" name="TOTAL GERENCIA"/>
    <tableColumn id="2" xr3:uid="{DFFD83C1-72F0-4D89-8170-8056D606A642}" name="COLUMNA">
      <calculatedColumnFormula>COLUMN(Premios_Promotor[[#Headers],[0]])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4E05EA9-2BC1-462C-96D4-B4A60135AD3D}" name="Planteles" displayName="Planteles" ref="A3:B16" totalsRowShown="0" tableBorderDxfId="254">
  <autoFilter ref="A3:B16" xr:uid="{04E05EA9-2BC1-462C-96D4-B4A60135AD3D}"/>
  <sortState xmlns:xlrd2="http://schemas.microsoft.com/office/spreadsheetml/2017/richdata2" ref="A4:B16">
    <sortCondition ref="A3:A16"/>
  </sortState>
  <tableColumns count="2">
    <tableColumn id="1" xr3:uid="{2A2F8793-0B5F-4EFE-B6EF-A13CE1333785}" name="Nombre"/>
    <tableColumn id="2" xr3:uid="{C3D26E55-B764-49B9-9617-0D628D64382F}" name="Razon Social"/>
  </tableColumns>
  <tableStyleInfo name="TableStyleMedium2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62E5DA9-A55C-43E9-934D-1A430AD7691F}" name="Tabulador_Promotor" displayName="Tabulador_Promotor" ref="A3:B4" totalsRowShown="0" headerRowDxfId="253" dataDxfId="252" tableBorderDxfId="251">
  <autoFilter ref="A3:B4" xr:uid="{C62E5DA9-A55C-43E9-934D-1A430AD7691F}">
    <filterColumn colId="0" hiddenButton="1"/>
    <filterColumn colId="1" hiddenButton="1"/>
  </autoFilter>
  <tableColumns count="2">
    <tableColumn id="1" xr3:uid="{42672DA2-CA6C-44A8-A2D9-B989014699D3}" name="INSCRIPCION" dataDxfId="250"/>
    <tableColumn id="2" xr3:uid="{70072444-3B0C-4F18-B27B-4FC876B6174F}" name="PAGO" dataDxfId="249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CD0C1A6-B95A-4FBA-B677-227DAA4AD312}" name="Tabulador_Coordinador" displayName="Tabulador_Coordinador" ref="D3:F8" totalsRowShown="0" headerRowDxfId="248" dataDxfId="247" tableBorderDxfId="246">
  <autoFilter ref="D3:F8" xr:uid="{8CD0C1A6-B95A-4FBA-B677-227DAA4AD312}">
    <filterColumn colId="0" hiddenButton="1"/>
    <filterColumn colId="1" hiddenButton="1"/>
    <filterColumn colId="2" hiddenButton="1"/>
  </autoFilter>
  <tableColumns count="3">
    <tableColumn id="1" xr3:uid="{CE609495-E552-41C5-A073-4AEB84DBE0A0}" name="MIN" dataDxfId="245"/>
    <tableColumn id="3" xr3:uid="{32B4B292-4525-4662-AD66-6005E8DBCE66}" name="MAX" dataDxfId="244"/>
    <tableColumn id="2" xr3:uid="{1D0B27CB-CCDF-4BB3-95C0-08040C389ED4}" name="PAGO" dataDxfId="243" dataCellStyle="Currency"/>
  </tableColumns>
  <tableStyleInfo name="TableStyleMedium1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7648F1-D4BA-41B6-A752-D84C2A76FB23}" name="Tabulador_Gerente" displayName="Tabulador_Gerente" ref="H3:J8" totalsRowShown="0" headerRowDxfId="242" dataDxfId="241" tableBorderDxfId="240">
  <autoFilter ref="H3:J8" xr:uid="{B67648F1-D4BA-41B6-A752-D84C2A76FB23}">
    <filterColumn colId="0" hiddenButton="1"/>
    <filterColumn colId="1" hiddenButton="1"/>
    <filterColumn colId="2" hiddenButton="1"/>
  </autoFilter>
  <tableColumns count="3">
    <tableColumn id="1" xr3:uid="{A7C5131B-0E80-430B-AF95-8E42C584F734}" name="MIN" dataDxfId="239"/>
    <tableColumn id="3" xr3:uid="{DB963CCE-7667-4B57-8C20-10A4A00B0919}" name="MAX" dataDxfId="238"/>
    <tableColumn id="2" xr3:uid="{C1C619F7-F64B-4052-A8CA-7DEBAE64B680}" name="PAGO" dataDxfId="237" dataCellStyle="Currency"/>
  </tableColumns>
  <tableStyleInfo name="TableStyleMedium1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F9270D9-B009-4143-8D2B-9E1240DA6F10}" name="Sueldo_Base_Por_Puesto" displayName="Sueldo_Base_Por_Puesto" ref="L3:M6" totalsRowShown="0" headerRowDxfId="236" dataDxfId="235">
  <autoFilter ref="L3:M6" xr:uid="{CF9270D9-B009-4143-8D2B-9E1240DA6F10}"/>
  <tableColumns count="2">
    <tableColumn id="1" xr3:uid="{552B5163-6F1D-4FBD-A357-02C46236A87B}" name="PUESTO" dataDxfId="234"/>
    <tableColumn id="2" xr3:uid="{5711A27E-1EE4-46B1-A04E-5D03F5CEBB74}" name="SUELDO BASE" dataDxfId="233" dataCellStyle="Currency"/>
  </tableColumns>
  <tableStyleInfo name="TableStyleMedium2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147D880-06D1-4D7B-B657-F07A229C7E08}" name="Sueldos_Base" displayName="Sueldos_Base" ref="L10:P19" totalsRowShown="0" headerRowDxfId="232" dataDxfId="231">
  <autoFilter ref="L10:P19" xr:uid="{1147D880-06D1-4D7B-B657-F07A229C7E08}"/>
  <tableColumns count="5">
    <tableColumn id="1" xr3:uid="{C2BD86FE-CD09-4E33-924A-D229ACE908E5}" name="COLABORADOR" dataDxfId="230"/>
    <tableColumn id="2" xr3:uid="{24553BA7-BE24-4460-AA82-33D1DCC84F4A}" name="SUELDO BASE" dataDxfId="229" dataCellStyle="Currency"/>
    <tableColumn id="5" xr3:uid="{6AE8BC63-6EC0-47FC-9DBB-DCE8AF4B89F8}" name="PUESTO" dataDxfId="228"/>
    <tableColumn id="3" xr3:uid="{EB4A0A70-B1F2-40A4-AC06-15BA77F108EE}" name="COORDINACION" dataDxfId="227"/>
    <tableColumn id="4" xr3:uid="{EDC6B3E8-8800-4CCF-9C64-C3873CF91EF2}" name="GERENCIA" dataDxfId="226"/>
  </tableColumns>
  <tableStyleInfo name="TableStyleMedium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68159DA-88A6-4E59-B876-F2A425C567A9}" name="Descuentos" displayName="Descuentos" ref="R3:W4" totalsRowShown="0" headerRowDxfId="225" dataDxfId="224">
  <autoFilter ref="R3:W4" xr:uid="{968159DA-88A6-4E59-B876-F2A425C567A9}"/>
  <tableColumns count="6">
    <tableColumn id="1" xr3:uid="{6A4C6522-2E5C-4103-8B8C-B0A723293670}" name="COLABORADOR" dataDxfId="223"/>
    <tableColumn id="2" xr3:uid="{29E00D9E-BA5E-4284-871D-7C79414179C7}" name="DESCUENTO" dataDxfId="222" dataCellStyle="Currency">
      <calculatedColumnFormula>SUMIF(Sueldos_Base[COORDINACION],Descuentos[[#This Row],[COORDINACION]],Sueldos_Base[SUELDO BASE])*0.3 * -1</calculatedColumnFormula>
    </tableColumn>
    <tableColumn id="6" xr3:uid="{FC42CF7F-86CC-4017-BD0A-792ED3EA4FAB}" name="CONCEPTO" dataDxfId="221" dataCellStyle="Currency"/>
    <tableColumn id="5" xr3:uid="{6D3C6C93-F493-4C8D-857F-155F5350958B}" name="PUESTO" dataDxfId="220"/>
    <tableColumn id="3" xr3:uid="{81E86445-B5A3-4E4E-93E5-A947F43CC839}" name="COORDINACION" dataDxfId="219"/>
    <tableColumn id="4" xr3:uid="{829B3219-00AE-46DB-8F5B-C4EFFEFCD5DB}" name="GERENCIA" dataDxfId="218"/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0F12C1-42F0-4A95-83C0-291E4C4CB0D7}" name="Gerentes" displayName="Gerentes" ref="A3:B6" totalsRowShown="0" headerRowDxfId="217" dataDxfId="216" tableBorderDxfId="215">
  <autoFilter ref="A3:B6" xr:uid="{520F12C1-42F0-4A95-83C0-291E4C4CB0D7}"/>
  <sortState xmlns:xlrd2="http://schemas.microsoft.com/office/spreadsheetml/2017/richdata2" ref="A4:B6">
    <sortCondition ref="B3:B6"/>
  </sortState>
  <tableColumns count="2">
    <tableColumn id="1" xr3:uid="{5C96974D-720E-4E5B-8155-C5E2F7F7BB9E}" name="NOMBRE" dataDxfId="214"/>
    <tableColumn id="2" xr3:uid="{00B08831-9CDB-4BD2-BC0F-DC47A6A4F354}" name="ALIAS" dataDxfId="213"/>
  </tableColumns>
  <tableStyleInfo name="TableStyleMedium1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F6B8FC6-C1A4-4320-ADFC-8DB762BBF673}" name="Coordinadores" displayName="Coordinadores" ref="D3:F14" totalsRowShown="0" headerRowDxfId="212" dataDxfId="211" tableBorderDxfId="210">
  <autoFilter ref="D3:F14" xr:uid="{7F6B8FC6-C1A4-4320-ADFC-8DB762BBF673}"/>
  <sortState xmlns:xlrd2="http://schemas.microsoft.com/office/spreadsheetml/2017/richdata2" ref="D4:F14">
    <sortCondition ref="F3:F14"/>
  </sortState>
  <tableColumns count="3">
    <tableColumn id="1" xr3:uid="{60AF1070-D529-43F9-9BBA-214450E0FE5D}" name="NOMBRE" dataDxfId="209"/>
    <tableColumn id="3" xr3:uid="{2DD1284D-DA80-4597-803E-F543BE29814B}" name="ALIAS"/>
    <tableColumn id="2" xr3:uid="{4267DC2B-70EF-4B96-85D9-390931974CA4}" name="GERENCIA" dataDxfId="208"/>
  </tableColumns>
  <tableStyleInfo name="TableStyleMedium20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4EB82E4-CF9A-4936-88EA-6D8471CDAA6B}" name="Promotores" displayName="Promotores" ref="H3:K52" totalsRowShown="0" headerRowDxfId="207" dataDxfId="206" tableBorderDxfId="205">
  <autoFilter ref="H3:K52" xr:uid="{B4EB82E4-CF9A-4936-88EA-6D8471CDAA6B}"/>
  <sortState xmlns:xlrd2="http://schemas.microsoft.com/office/spreadsheetml/2017/richdata2" ref="H4:K52">
    <sortCondition ref="K3:K52"/>
  </sortState>
  <tableColumns count="4">
    <tableColumn id="1" xr3:uid="{AB044EFA-BC51-4471-87D5-475D29D84838}" name="NOMBRE" dataDxfId="204"/>
    <tableColumn id="4" xr3:uid="{A184B911-0E2E-4D86-8830-CA03C708B065}" name="ALIAS" dataDxfId="203"/>
    <tableColumn id="2" xr3:uid="{104E3815-4B2A-4477-9382-D78944AFF843}" name="COORDINACION" dataDxfId="202"/>
    <tableColumn id="3" xr3:uid="{461A0A24-4F60-4FB0-A7D3-2D78DCB499E9}" name="GERENCIA" dataDxfId="201"/>
  </tableColumns>
  <tableStyleInfo name="TableStyleMedium2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C0FA07F-0DE0-4099-9974-17C69221CC48}" name="Tabla_Coordinador" displayName="Tabla_Coordinador" ref="A8:K10" totalsRowCount="1" headerRowDxfId="200" dataDxfId="199" totalsRowDxfId="197" tableBorderDxfId="198">
  <autoFilter ref="A8:K9" xr:uid="{9C0FA07F-0DE0-4099-9974-17C69221CC48}"/>
  <tableColumns count="11">
    <tableColumn id="1" xr3:uid="{19C5DD40-BE0D-4F37-942C-33F42CA8A26B}" name="PROMOTOR" totalsRowLabel="TOTAL COMISION" dataDxfId="196" totalsRowDxfId="195"/>
    <tableColumn id="3" xr3:uid="{5B23042C-BE2F-4E30-A41F-5DC03A9C6C4D}" name="CREDENCIAL" dataDxfId="194" totalsRowDxfId="193"/>
    <tableColumn id="4" xr3:uid="{9B4226F9-249A-4A0A-B259-362B9DB0BAF7}" name="NOMBRE DEL ALUMNO" dataDxfId="192" totalsRowDxfId="191"/>
    <tableColumn id="5" xr3:uid="{4A52831D-FAC8-4B99-B890-88CD1DD952B8}" name="COMISION" totalsRowFunction="sum" dataDxfId="190" totalsRowDxfId="189">
      <calculatedColumnFormula>IF(
    OR(
        Tabla_Coordinador[[#This Row],[GRUPO]] = 501,
        Tabla_Coordinador[[#This Row],[GRUPO]] = 505,
        Tabla_Coordinador[[#This Row],[GRUPO]] = 503,
        Tabla_Coordinador[[#This Row],[GRUPO]] = "",
        Tabla_Coordinador[[#This Row],[GRUPO]] = 500,
        Tabla_Coordinador[[#This Row],[PAGO]] &lt; 299,
        COUNTIF(Tabla_Coordinador[CREDENCIAL], Tabla_Coordinador[[#This Row],[CREDENCIAL]]) &gt; 1,
        COUNTIF(Tabla_Gerente[CREDENCIAL], Tabla_Coordinador[[#This Row],[CREDENCIAL]]) &gt; 1
    ),
    0,
    VLOOKUP(
        Total_Registros_Coordinador,
        Tabulador_Coordinador[],
        3,
        TRUE
    )
)</calculatedColumnFormula>
    </tableColumn>
    <tableColumn id="6" xr3:uid="{98E6506C-CDC5-4BF4-B0EC-396314124A1E}" name="PLANTEL" dataDxfId="188" totalsRowDxfId="187"/>
    <tableColumn id="7" xr3:uid="{E2569798-5824-4510-854E-E7A571E0E564}" name="CURSO" dataDxfId="186" totalsRowDxfId="185"/>
    <tableColumn id="8" xr3:uid="{67FDCAF1-8329-4126-BC1C-00F4EAAF6E00}" name="GRUPO" dataDxfId="184" totalsRowDxfId="183"/>
    <tableColumn id="9" xr3:uid="{AC40ABEB-FD9B-4099-9F83-E129B1162F76}" name="PAGO" dataDxfId="182" totalsRowDxfId="181" dataCellStyle="Currency">
      <calculatedColumnFormula>IFERROR(VLOOKUP(Tabla_Coordinador[[#This Row],[CREDENCIAL]], Tabla_Gerente[[CREDENCIAL]:[PAGO]], 7, FALSE), 0)</calculatedColumnFormula>
    </tableColumn>
    <tableColumn id="10" xr3:uid="{55740D8C-1BC1-4A82-82C0-69D58AD70CE8}" name="FECHA" dataDxfId="180" totalsRowDxfId="179"/>
    <tableColumn id="12" xr3:uid="{DD2945A0-712B-4694-BEE8-E37BE99A65ED}" name="TS PLANTEL " dataDxfId="178" totalsRowDxfId="177"/>
    <tableColumn id="13" xr3:uid="{9F84B062-DFF3-455F-907E-2FFD77D79C98}" name="TS CREDENCIAL " dataDxfId="176" totalsRowDxfId="175"/>
  </tableColumns>
  <tableStyleInfo name="TableStyleMedium16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71DDCE0-811A-4D44-9CD0-772974577224}" name="Tabla_Promotor" displayName="Tabla_Promotor" ref="A8:K10" totalsRowCount="1" headerRowDxfId="174" dataDxfId="173" totalsRowDxfId="171" tableBorderDxfId="172">
  <autoFilter ref="A8:K9" xr:uid="{C71DDCE0-811A-4D44-9CD0-772974577224}"/>
  <tableColumns count="11">
    <tableColumn id="1" xr3:uid="{A6779933-13F4-45D5-B0BE-0E76DC3825EC}" name="PROMOTOR" totalsRowLabel="TOTAL COMISION" dataDxfId="170" totalsRowDxfId="169"/>
    <tableColumn id="3" xr3:uid="{B062B3B6-A816-4FF4-94DB-3941B90A3AFB}" name="CREDENCIAL" dataDxfId="168" totalsRowDxfId="167"/>
    <tableColumn id="4" xr3:uid="{AC623468-4FBB-4F5F-B2C6-7CA181BD4972}" name="NOMBRE DEL ALUMNO " dataDxfId="166" totalsRowDxfId="165"/>
    <tableColumn id="5" xr3:uid="{1F089BDE-6469-4A0B-BAE3-84045AEC151E}" name="COMISION" totalsRowFunction="sum" dataDxfId="164" totalsRowDxfId="163">
      <calculatedColumnFormula>IF(
    OR(
        Tabla_Promotor[[#This Row],[GRUPO]] = "",
        Tabla_Promotor[[#This Row],[GRUPO]] = 500,
        COUNTIF(Tabla_Promotor[CREDENCIAL], Tabla_Promotor[[#This Row],[CREDENCIAL]]) &gt; 1,
        COUNTIF(Tabla_Gerente[CREDENCIAL], Tabla_Promotor[[#This Row],[CREDENCIAL]]) &gt; 1,
    ),
    0,
    IF(
        Tabla_Promotor[[#This Row],[GRUPO]] = 503,
        Tabla_Promotor[[#This Row],[PAGO]],
        IF(
            Tabla_Promotor[[#This Row],[PAGO]] &gt;= 299,
            Tabla_Promotor[[#This Row],[PAGO]] - 150,
            0
        )
    )
)</calculatedColumnFormula>
    </tableColumn>
    <tableColumn id="6" xr3:uid="{3C3A7400-D457-4E2F-96C3-73C9DB45BA5C}" name="PLANTEL" dataDxfId="162" totalsRowDxfId="161"/>
    <tableColumn id="7" xr3:uid="{0B52D944-9BCE-465A-9E0A-16ACA93A916E}" name="CURSO" dataDxfId="160" totalsRowDxfId="159"/>
    <tableColumn id="8" xr3:uid="{6ED92993-524D-44AC-BCB5-42E120A94D27}" name="GRUPO" dataDxfId="158" totalsRowDxfId="157"/>
    <tableColumn id="9" xr3:uid="{2C6EF25D-446E-444A-B421-53BBA5381135}" name="PAGO" dataDxfId="156" totalsRowDxfId="155">
      <calculatedColumnFormula>IFERROR(VLOOKUP(Tabla_Promotor[[#This Row],[CREDENCIAL]], Tabla_Gerente[[CREDENCIAL]:[PAGO]], 7, FALSE), 0)</calculatedColumnFormula>
    </tableColumn>
    <tableColumn id="10" xr3:uid="{655EAA6F-3524-4914-B588-4867B57FC713}" name="FECHA" dataDxfId="154" totalsRowDxfId="153"/>
    <tableColumn id="12" xr3:uid="{2EB107FE-318E-48B7-A8DC-B15BE97A41DE}" name="TS PLANTEL " dataDxfId="152" totalsRowDxfId="151"/>
    <tableColumn id="13" xr3:uid="{4C94A03A-F424-4744-A7E6-CCB2193F2A8D}" name="TS CREDENCIAL " dataDxfId="150" totalsRowDxfId="149"/>
  </tableColumns>
  <tableStyleInfo name="TableStyleMedium2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305F6E2-D5D6-4EBD-8B3C-0D248B73A287}" name="Tabla_Gerente" displayName="Tabla_Gerente" ref="A8:L11" totalsRowCount="1" headerRowDxfId="148" dataDxfId="147" totalsRowDxfId="145" tableBorderDxfId="146">
  <autoFilter ref="A8:L10" xr:uid="{A305F6E2-D5D6-4EBD-8B3C-0D248B73A287}"/>
  <sortState xmlns:xlrd2="http://schemas.microsoft.com/office/spreadsheetml/2017/richdata2" ref="A9:L10">
    <sortCondition ref="A9:A10"/>
  </sortState>
  <tableColumns count="12">
    <tableColumn id="1" xr3:uid="{7448FB15-C3FC-46D5-9295-B52A380565C0}" name="COORDINADOR" totalsRowLabel="TOTAL COMISION" dataDxfId="144" totalsRowDxfId="143"/>
    <tableColumn id="3" xr3:uid="{F7FE17D9-8003-43E0-96E2-9B972F359B57}" name="CREDENCIAL" dataDxfId="142" totalsRowDxfId="141"/>
    <tableColumn id="4" xr3:uid="{AC7EEA83-9F8E-44E3-B123-B0B53E6B8EC1}" name="NOMBRE DEL ALUMNO" dataDxfId="140" totalsRowDxfId="139"/>
    <tableColumn id="5" xr3:uid="{0692000D-513F-4924-BAA4-74F65B866529}" name="COMISION" totalsRowFunction="sum" dataDxfId="138" totalsRowDxfId="137">
      <calculatedColumnFormula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calculatedColumnFormula>
    </tableColumn>
    <tableColumn id="6" xr3:uid="{CA4978CE-10CF-48A8-948B-4C6B5BEB8BF5}" name="PLANTEL" dataDxfId="136" totalsRowDxfId="135"/>
    <tableColumn id="7" xr3:uid="{579CE2E3-347A-4C5C-82DC-98E153BDF40A}" name="CURSO" dataDxfId="134" totalsRowDxfId="133"/>
    <tableColumn id="8" xr3:uid="{0EBAAD61-5825-4628-90D2-2F35F3DA04C7}" name="GRUPO" dataDxfId="132" totalsRowDxfId="131"/>
    <tableColumn id="9" xr3:uid="{DA401AF7-4D16-49DC-8E7E-9B3EC63EABF5}" name="PAGO" dataDxfId="130" totalsRowDxfId="129" dataCellStyle="Currency"/>
    <tableColumn id="10" xr3:uid="{A2F8A34B-2DE7-44AF-8657-CBB70F6C2E5D}" name="FECHA" dataDxfId="128" totalsRowDxfId="127"/>
    <tableColumn id="11" xr3:uid="{9A6A3285-8D3A-4278-8063-F75D4C5AADAC}" name="PROMOTOR" dataDxfId="126" totalsRowDxfId="125"/>
    <tableColumn id="12" xr3:uid="{B6E9C414-52E7-489F-AE3D-3AE657C11D5F}" name="TS PLANTEL " dataDxfId="124" totalsRowDxfId="123"/>
    <tableColumn id="13" xr3:uid="{94FB8847-55A2-4AB1-892D-CC285D0C120B}" name="TS CREDENCIAL " dataDxfId="122" totalsRowDxfId="121"/>
  </tableColumns>
  <tableStyleInfo name="TableStyleMedium1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3CC0A00-68C1-4C11-B1BB-2228B63AC0E4}" name="Tabla_Coordinador17" displayName="Tabla_Coordinador17" ref="A8:K10" totalsRowCount="1" headerRowDxfId="120" dataDxfId="119" totalsRowDxfId="118" tableBorderDxfId="117">
  <autoFilter ref="A8:K9" xr:uid="{9C0FA07F-0DE0-4099-9974-17C69221CC48}"/>
  <tableColumns count="11">
    <tableColumn id="1" xr3:uid="{EEC3B31F-1C90-4B35-A75F-AA96CCD99EAD}" name="PROMOTOR" totalsRowLabel="TOTAL COMISION" dataDxfId="116" totalsRowDxfId="90"/>
    <tableColumn id="3" xr3:uid="{4A3773EC-480C-4595-A834-2F8BC3D9043A}" name="CREDENCIAL" dataDxfId="115" totalsRowDxfId="89"/>
    <tableColumn id="4" xr3:uid="{092324A6-7CDB-4361-B2EE-35492227E2D5}" name="NOMBRE DEL ALUMNO" dataDxfId="114" totalsRowDxfId="88"/>
    <tableColumn id="5" xr3:uid="{3CF3AB95-DF20-42E3-AC08-A687E63BED99}" name="COMISION" totalsRowFunction="sum" dataDxfId="113" totalsRowDxfId="87">
      <calculatedColumnFormula>IF(
    OR(
        Tabla_Coordinador17[[#This Row],[GRUPO]] = 501,
        Tabla_Coordinador17[[#This Row],[GRUPO]] = 505,
        Tabla_Coordinador17[[#This Row],[GRUPO]] = 503,
        Tabla_Coordinador17[[#This Row],[GRUPO]] = "",
        Tabla_Coordinador17[[#This Row],[GRUPO]] = 500,
        Tabla_Coordinador17[[#This Row],[PAGO]] &lt; 299,
        COUNTIF(Tabla_Coordinador17[CREDENCIAL], Tabla_Coordinador17[[#This Row],[CREDENCIAL]]) &gt; 1,
        COUNTIF(Tabla_Gerente[CREDENCIAL], Tabla_Coordinador17[[#This Row],[CREDENCIAL]]) &gt; 1
    ),
    0,
    VLOOKUP(
        Total_Registros_Coordinador,
        Tabulador_Coordinador[],
        3,
        TRUE
    )
)</calculatedColumnFormula>
    </tableColumn>
    <tableColumn id="6" xr3:uid="{1C0FA234-D02C-4FEA-9637-F238051FB35F}" name="PLANTEL" dataDxfId="112" totalsRowDxfId="86"/>
    <tableColumn id="7" xr3:uid="{36145644-A8F5-47A8-8565-5FB9C5CF7404}" name="CURSO" dataDxfId="111" totalsRowDxfId="85"/>
    <tableColumn id="8" xr3:uid="{AB2B2E25-F3BC-423B-AB53-CD3EBE02EB7E}" name="GRUPO" dataDxfId="110" totalsRowDxfId="84"/>
    <tableColumn id="9" xr3:uid="{1DDA5F72-1513-41AA-ACD4-5437D7C348D0}" name="PAGO" dataDxfId="109" totalsRowDxfId="83" dataCellStyle="Currency">
      <calculatedColumnFormula>IFERROR(VLOOKUP(Tabla_Coordinador17[[#This Row],[CREDENCIAL]], Tabla_Gerente[[CREDENCIAL]:[PAGO]], 7, FALSE), 0)</calculatedColumnFormula>
    </tableColumn>
    <tableColumn id="10" xr3:uid="{E921AE52-530C-46CB-BE0C-6F3DDB1FDD78}" name="FECHA" dataDxfId="108" totalsRowDxfId="82"/>
    <tableColumn id="12" xr3:uid="{E7B27099-5A6D-4FE1-B1DE-964C1AFC60D2}" name="TS PLANTEL " dataDxfId="107" totalsRowDxfId="81"/>
    <tableColumn id="13" xr3:uid="{3B2E190F-BE6C-4151-9EBA-54B2DE0674BD}" name="TS CREDENCIAL " dataDxfId="106" totalsRowDxfId="80"/>
  </tableColumns>
  <tableStyleInfo name="TableStyleMedium16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18862986-3DD0-4CDC-A3D1-17FF49A11AA8}" name="Tabla_Coordinador18" displayName="Tabla_Coordinador18" ref="A8:K10" totalsRowCount="1" headerRowDxfId="105" dataDxfId="104" totalsRowDxfId="103" tableBorderDxfId="102">
  <autoFilter ref="A8:K9" xr:uid="{9C0FA07F-0DE0-4099-9974-17C69221CC48}"/>
  <sortState xmlns:xlrd2="http://schemas.microsoft.com/office/spreadsheetml/2017/richdata2" ref="A9:K9">
    <sortCondition ref="A9"/>
  </sortState>
  <tableColumns count="11">
    <tableColumn id="1" xr3:uid="{8F4CB675-8785-40B9-80E2-8B753E945B36}" name="PROMOTOR" totalsRowLabel="TOTAL COMISION" dataDxfId="101" totalsRowDxfId="79"/>
    <tableColumn id="3" xr3:uid="{7FC6CB79-ACA1-4D70-A3E4-8497851476B7}" name="CREDENCIAL" dataDxfId="100" totalsRowDxfId="78"/>
    <tableColumn id="4" xr3:uid="{7C6005D4-F3A2-4F6D-8659-384C0586038F}" name="NOMBRE DEL ALUMNO" dataDxfId="99" totalsRowDxfId="77"/>
    <tableColumn id="5" xr3:uid="{889F9326-79EE-41F4-A47A-28EE3E44DD2E}" name="COMISION" totalsRowFunction="sum" dataDxfId="98" totalsRowDxfId="76">
      <calculatedColumnFormula>IF(
    OR(
        Tabla_Coordinador18[[#This Row],[GRUPO]] = 501,
        Tabla_Coordinador18[[#This Row],[GRUPO]] = 505,
        Tabla_Coordinador18[[#This Row],[GRUPO]] = 503,
        Tabla_Coordinador18[[#This Row],[GRUPO]] = "",
        Tabla_Coordinador18[[#This Row],[GRUPO]] = 500,
        Tabla_Coordinador18[[#This Row],[PAGO]] &lt; 299,
        COUNTIF(Tabla_Coordinador18[CREDENCIAL], Tabla_Coordinador18[[#This Row],[CREDENCIAL]]) &gt; 1,
        COUNTIF(Tabla_Gerente[CREDENCIAL], Tabla_Coordinador18[[#This Row],[CREDENCIAL]]) &gt; 1
    ),
    0,
    VLOOKUP(
        Total_Registros_Coordinador,
        Tabulador_Coordinador[],
        3,
        TRUE
    )
)</calculatedColumnFormula>
    </tableColumn>
    <tableColumn id="6" xr3:uid="{96741F87-7186-4AD9-B0AA-6CC26184114D}" name="PLANTEL" dataDxfId="97" totalsRowDxfId="75"/>
    <tableColumn id="7" xr3:uid="{845F5E1A-E858-4AA2-ADA3-B114E83AFB41}" name="CURSO" dataDxfId="96" totalsRowDxfId="74"/>
    <tableColumn id="8" xr3:uid="{EC1CD0D7-14BD-4877-A173-1E74540CEF39}" name="GRUPO" dataDxfId="95" totalsRowDxfId="73"/>
    <tableColumn id="9" xr3:uid="{654AE641-0443-4E16-8BF0-915474FA2005}" name="PAGO" dataDxfId="94" totalsRowDxfId="72" dataCellStyle="Currency">
      <calculatedColumnFormula>IFERROR(VLOOKUP(Tabla_Coordinador18[[#This Row],[CREDENCIAL]], Tabla_Gerente[[CREDENCIAL]:[PAGO]], 7, FALSE), 0)</calculatedColumnFormula>
    </tableColumn>
    <tableColumn id="10" xr3:uid="{FB57605C-75CD-4FBA-AF5F-330346DCFC8E}" name="FECHA" dataDxfId="93" totalsRowDxfId="71"/>
    <tableColumn id="12" xr3:uid="{CC86DA84-2435-4EC0-B3EA-FE9CE1B113C7}" name="TS PLANTEL " dataDxfId="92" totalsRowDxfId="70"/>
    <tableColumn id="13" xr3:uid="{BE0A8B97-FE6A-4D5A-818B-5A78F5FDF91E}" name="TS CREDENCIAL " dataDxfId="91" totalsRowDxfId="69"/>
  </tableColumns>
  <tableStyleInfo name="TableStyleMedium16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4914A6E-B76C-4927-8F1A-CDB6E038709A}" name="Tabla_Promotor19" displayName="Tabla_Promotor19" ref="A8:K10" totalsRowCount="1" headerRowDxfId="68" dataDxfId="67" totalsRowDxfId="66" tableBorderDxfId="65">
  <autoFilter ref="A8:K9" xr:uid="{C71DDCE0-811A-4D44-9CD0-772974577224}"/>
  <tableColumns count="11">
    <tableColumn id="1" xr3:uid="{94C3A197-3FB9-41A5-8498-941B8C336DCB}" name="PROMOTOR" totalsRowLabel="TOTAL COMISION" dataDxfId="64" totalsRowDxfId="10"/>
    <tableColumn id="3" xr3:uid="{6A7500AF-82E7-466F-BD20-FDCF00FEDAB9}" name="CREDENCIAL" dataDxfId="63" totalsRowDxfId="9"/>
    <tableColumn id="4" xr3:uid="{A2882858-3035-4342-B7BF-96F3928F49A3}" name="NOMBRE DEL ALUMNO " dataDxfId="62" totalsRowDxfId="8"/>
    <tableColumn id="5" xr3:uid="{A59D5C6A-2B70-41E2-A299-F992A9857021}" name="COMISION" totalsRowFunction="sum" dataDxfId="61" totalsRowDxfId="7">
      <calculatedColumnFormula>IF(
    OR(
        Tabla_Promotor19[[#This Row],[GRUPO]] = "",
        Tabla_Promotor19[[#This Row],[GRUPO]] = 500,
        COUNTIF(Tabla_Promotor19[CREDENCIAL], Tabla_Promotor19[[#This Row],[CREDENCIAL]]) &gt; 1,
        COUNTIF(Tabla_Gerente[CREDENCIAL], Tabla_Promotor19[[#This Row],[CREDENCIAL]]) &gt; 1,
    ),
    0,
    IF(
        Tabla_Promotor19[[#This Row],[GRUPO]] = 503,
        Tabla_Promotor19[[#This Row],[PAGO]],
        IF(
            Tabla_Promotor19[[#This Row],[PAGO]] &gt;= 299,
            Tabla_Promotor19[[#This Row],[PAGO]] - 150,
            0
        )
    )
)</calculatedColumnFormula>
    </tableColumn>
    <tableColumn id="6" xr3:uid="{5D7AF780-1F33-43BE-88BA-A059D6F31495}" name="PLANTEL" dataDxfId="60" totalsRowDxfId="6"/>
    <tableColumn id="7" xr3:uid="{49289B58-F9F7-490A-9B1C-D1B4EF88BE0E}" name="CURSO" dataDxfId="59" totalsRowDxfId="5"/>
    <tableColumn id="8" xr3:uid="{F1DD3D01-7559-413D-8B1D-4C59BDC3AE99}" name="GRUPO" dataDxfId="58" totalsRowDxfId="4"/>
    <tableColumn id="9" xr3:uid="{AB825AB7-3439-4EBB-AA6D-EDF15E09A2B6}" name="PAGO" dataDxfId="57" totalsRowDxfId="3">
      <calculatedColumnFormula>IFERROR(VLOOKUP(Tabla_Promotor19[[#This Row],[CREDENCIAL]], Tabla_Gerente[[CREDENCIAL]:[PAGO]], 7, FALSE), 0)</calculatedColumnFormula>
    </tableColumn>
    <tableColumn id="10" xr3:uid="{7891EFEF-7744-4D2A-8194-829B9122DF98}" name="FECHA" dataDxfId="56" totalsRowDxfId="2"/>
    <tableColumn id="12" xr3:uid="{5CC278C0-DAA3-48E3-B187-F0CCEFDA59F9}" name="TS PLANTEL " dataDxfId="55" totalsRowDxfId="1"/>
    <tableColumn id="13" xr3:uid="{C018F29D-8923-4C92-953E-74A3712CC734}" name="TS CREDENCIAL " dataDxfId="54" totalsRowDxfId="0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5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17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18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1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086E4-5530-4216-88F7-E275E0D59BCF}">
  <sheetPr codeName="Sheet3">
    <tabColor rgb="FFFFFF00"/>
  </sheetPr>
  <dimension ref="A1:M29"/>
  <sheetViews>
    <sheetView workbookViewId="0">
      <selection activeCell="G17" sqref="G17"/>
    </sheetView>
  </sheetViews>
  <sheetFormatPr defaultColWidth="22.28515625" defaultRowHeight="15" x14ac:dyDescent="0.25"/>
  <cols>
    <col min="1" max="1" width="22.42578125" bestFit="1" customWidth="1"/>
    <col min="2" max="2" width="24.7109375" bestFit="1" customWidth="1"/>
    <col min="3" max="6" width="11.5703125" bestFit="1" customWidth="1"/>
    <col min="7" max="7" width="2.85546875" customWidth="1"/>
    <col min="8" max="8" width="23.140625" bestFit="1" customWidth="1"/>
    <col min="9" max="9" width="11.5703125" bestFit="1" customWidth="1"/>
    <col min="10" max="10" width="2.85546875" customWidth="1"/>
    <col min="11" max="11" width="16.28515625" bestFit="1" customWidth="1"/>
    <col min="12" max="12" width="11.5703125" bestFit="1" customWidth="1"/>
  </cols>
  <sheetData>
    <row r="1" spans="1:13" ht="20.25" thickBot="1" x14ac:dyDescent="0.35">
      <c r="A1" s="68" t="s">
        <v>0</v>
      </c>
      <c r="B1" s="63"/>
      <c r="C1" s="63"/>
      <c r="D1" s="63"/>
      <c r="E1" s="63"/>
      <c r="F1" s="63"/>
      <c r="H1" s="68" t="s">
        <v>9</v>
      </c>
      <c r="I1" s="63"/>
      <c r="J1" s="7"/>
      <c r="K1" s="63" t="s">
        <v>3</v>
      </c>
      <c r="L1" s="63"/>
      <c r="M1" s="6"/>
    </row>
    <row r="2" spans="1:13" ht="15" customHeight="1" thickTop="1" x14ac:dyDescent="0.25">
      <c r="A2" s="7"/>
      <c r="B2" s="7"/>
      <c r="C2" s="7"/>
      <c r="D2" s="7"/>
      <c r="E2" s="7"/>
      <c r="F2" s="7"/>
      <c r="H2" s="7"/>
      <c r="I2" s="7"/>
      <c r="J2" s="7"/>
      <c r="K2" s="6"/>
      <c r="L2" s="6"/>
      <c r="M2" s="6"/>
    </row>
    <row r="3" spans="1:13" ht="15.75" x14ac:dyDescent="0.25">
      <c r="B3" s="6" t="s">
        <v>4</v>
      </c>
      <c r="C3" s="6"/>
      <c r="D3" s="6"/>
      <c r="E3" s="6"/>
      <c r="F3" s="6"/>
      <c r="H3" s="6"/>
      <c r="I3" s="6"/>
      <c r="J3" s="6"/>
      <c r="K3" s="6"/>
      <c r="L3" s="6"/>
      <c r="M3" s="6"/>
    </row>
    <row r="4" spans="1:13" ht="15.75" x14ac:dyDescent="0.25">
      <c r="A4" s="4" t="s">
        <v>2</v>
      </c>
      <c r="B4" s="4" t="s">
        <v>58</v>
      </c>
      <c r="C4" s="71" t="s">
        <v>56</v>
      </c>
      <c r="D4" s="71" t="s">
        <v>10</v>
      </c>
      <c r="E4" s="71" t="s">
        <v>11</v>
      </c>
      <c r="F4" s="71" t="s">
        <v>12</v>
      </c>
      <c r="H4" s="70" t="s">
        <v>5</v>
      </c>
      <c r="I4" s="70" t="s">
        <v>1</v>
      </c>
      <c r="J4" s="6"/>
      <c r="K4" s="70" t="s">
        <v>5</v>
      </c>
      <c r="L4" s="70" t="s">
        <v>1</v>
      </c>
      <c r="M4" s="6"/>
    </row>
    <row r="5" spans="1:13" ht="15.75" x14ac:dyDescent="0.25">
      <c r="A5" s="67">
        <v>4</v>
      </c>
      <c r="B5" s="5">
        <v>0</v>
      </c>
      <c r="C5" s="5">
        <v>0</v>
      </c>
      <c r="D5" s="2">
        <v>300</v>
      </c>
      <c r="E5" s="2">
        <v>400</v>
      </c>
      <c r="F5" s="2">
        <v>500</v>
      </c>
      <c r="H5" s="1">
        <v>13</v>
      </c>
      <c r="I5" s="5">
        <v>400</v>
      </c>
      <c r="J5" s="5"/>
      <c r="K5" s="1">
        <v>30</v>
      </c>
      <c r="L5" s="5">
        <v>1500</v>
      </c>
      <c r="M5" s="5"/>
    </row>
    <row r="6" spans="1:13" ht="15.75" x14ac:dyDescent="0.25">
      <c r="A6" s="67">
        <v>6</v>
      </c>
      <c r="B6" s="5">
        <v>0</v>
      </c>
      <c r="C6" s="5">
        <v>0</v>
      </c>
      <c r="D6" s="2">
        <v>500</v>
      </c>
      <c r="E6" s="2">
        <v>700</v>
      </c>
      <c r="F6" s="2">
        <v>800</v>
      </c>
      <c r="H6" s="1">
        <v>15</v>
      </c>
      <c r="I6" s="5">
        <v>1000</v>
      </c>
      <c r="J6" s="5"/>
      <c r="K6" s="1">
        <v>40</v>
      </c>
      <c r="L6" s="5">
        <v>2000</v>
      </c>
      <c r="M6" s="5"/>
    </row>
    <row r="7" spans="1:13" ht="15.75" x14ac:dyDescent="0.25">
      <c r="A7" s="67">
        <v>9</v>
      </c>
      <c r="B7" s="5">
        <v>0</v>
      </c>
      <c r="C7" s="5">
        <v>0</v>
      </c>
      <c r="D7" s="2">
        <v>800</v>
      </c>
      <c r="E7" s="2">
        <v>1000</v>
      </c>
      <c r="F7" s="2">
        <v>1200</v>
      </c>
      <c r="H7" s="1">
        <v>20</v>
      </c>
      <c r="I7" s="5">
        <v>2000</v>
      </c>
      <c r="J7" s="5"/>
      <c r="K7" s="1">
        <v>50</v>
      </c>
      <c r="L7" s="5">
        <v>2500</v>
      </c>
      <c r="M7" s="5"/>
    </row>
    <row r="8" spans="1:13" ht="15.75" x14ac:dyDescent="0.25">
      <c r="A8" s="67">
        <v>13</v>
      </c>
      <c r="B8" s="5">
        <v>0</v>
      </c>
      <c r="C8" s="5">
        <v>1700</v>
      </c>
      <c r="D8" s="5">
        <v>1700</v>
      </c>
      <c r="E8" s="5">
        <v>1700</v>
      </c>
      <c r="F8" s="5">
        <v>1700</v>
      </c>
      <c r="H8" s="1">
        <v>30</v>
      </c>
      <c r="I8" s="5">
        <v>2500</v>
      </c>
      <c r="J8" s="5"/>
      <c r="K8" s="1">
        <v>60</v>
      </c>
      <c r="L8" s="5">
        <v>3000</v>
      </c>
      <c r="M8" s="5"/>
    </row>
    <row r="9" spans="1:13" ht="15.75" x14ac:dyDescent="0.25">
      <c r="A9" s="67">
        <v>15</v>
      </c>
      <c r="B9" s="5">
        <v>0</v>
      </c>
      <c r="C9" s="5">
        <v>2000</v>
      </c>
      <c r="D9" s="5">
        <v>2000</v>
      </c>
      <c r="E9" s="5">
        <v>2000</v>
      </c>
      <c r="F9" s="5">
        <v>2000</v>
      </c>
      <c r="H9" s="1">
        <v>40</v>
      </c>
      <c r="I9" s="5">
        <v>4000</v>
      </c>
      <c r="J9" s="5"/>
      <c r="K9" s="1">
        <v>80</v>
      </c>
      <c r="L9" s="5">
        <v>4200</v>
      </c>
      <c r="M9" s="5"/>
    </row>
    <row r="10" spans="1:13" ht="15.75" x14ac:dyDescent="0.25">
      <c r="A10" s="67">
        <v>18</v>
      </c>
      <c r="B10" s="5">
        <v>0</v>
      </c>
      <c r="C10" s="5">
        <v>2400</v>
      </c>
      <c r="D10" s="5">
        <v>2400</v>
      </c>
      <c r="E10" s="5">
        <v>2400</v>
      </c>
      <c r="F10" s="5">
        <v>2400</v>
      </c>
      <c r="H10" s="1">
        <v>50</v>
      </c>
      <c r="I10" s="5">
        <v>5000</v>
      </c>
      <c r="J10" s="5"/>
      <c r="K10" s="1">
        <v>100</v>
      </c>
      <c r="L10" s="5">
        <v>5500</v>
      </c>
      <c r="M10" s="5"/>
    </row>
    <row r="11" spans="1:13" ht="15.75" x14ac:dyDescent="0.25">
      <c r="A11" s="67"/>
      <c r="B11" s="5"/>
      <c r="C11" s="1"/>
      <c r="D11" s="1"/>
      <c r="E11" s="1"/>
      <c r="F11" s="1"/>
      <c r="H11" s="1">
        <v>60</v>
      </c>
      <c r="I11" s="5">
        <v>6000</v>
      </c>
      <c r="J11" s="5"/>
      <c r="K11" s="1">
        <v>120</v>
      </c>
      <c r="L11" s="5">
        <v>6000</v>
      </c>
      <c r="M11" s="5"/>
    </row>
    <row r="12" spans="1:13" ht="15.75" x14ac:dyDescent="0.25">
      <c r="A12" s="72" t="s">
        <v>54</v>
      </c>
      <c r="B12" s="72" t="s">
        <v>55</v>
      </c>
      <c r="C12" s="1"/>
      <c r="D12" s="1"/>
      <c r="E12" s="1"/>
      <c r="F12" s="1"/>
      <c r="K12" s="1">
        <v>150</v>
      </c>
      <c r="L12" s="5">
        <v>7000</v>
      </c>
      <c r="M12" s="5"/>
    </row>
    <row r="13" spans="1:13" ht="15.75" x14ac:dyDescent="0.25">
      <c r="A13" s="1">
        <v>0</v>
      </c>
      <c r="B13" s="1">
        <f>COLUMN(Premios_Promotor[[#Headers],[0]])</f>
        <v>2</v>
      </c>
      <c r="C13" s="1"/>
      <c r="K13" s="1">
        <v>200</v>
      </c>
      <c r="L13" s="5">
        <v>8000</v>
      </c>
      <c r="M13" s="5"/>
    </row>
    <row r="14" spans="1:13" ht="15.75" x14ac:dyDescent="0.25">
      <c r="A14" s="1">
        <v>13</v>
      </c>
      <c r="B14" s="1">
        <f>COLUMN(Premios_Promotor[[#Headers],[13]])</f>
        <v>3</v>
      </c>
    </row>
    <row r="15" spans="1:13" x14ac:dyDescent="0.25">
      <c r="A15">
        <v>15</v>
      </c>
      <c r="B15">
        <f>COLUMN(Premios_Promotor[[#Headers],[15]])</f>
        <v>4</v>
      </c>
    </row>
    <row r="16" spans="1:13" x14ac:dyDescent="0.25">
      <c r="A16">
        <v>30</v>
      </c>
      <c r="B16">
        <f>COLUMN(Premios_Promotor[[#Headers],[30]])</f>
        <v>5</v>
      </c>
    </row>
    <row r="17" spans="1:12" x14ac:dyDescent="0.25">
      <c r="A17">
        <v>40</v>
      </c>
      <c r="B17">
        <f>COLUMN(Premios_Promotor[[#Headers],[40]])</f>
        <v>6</v>
      </c>
    </row>
    <row r="19" spans="1:12" ht="15.75" x14ac:dyDescent="0.25">
      <c r="A19" s="13"/>
      <c r="B19" s="13"/>
      <c r="C19" s="29"/>
      <c r="D19" s="28"/>
      <c r="E19" s="26"/>
      <c r="F19" s="26"/>
      <c r="G19" s="13"/>
      <c r="H19" s="13"/>
      <c r="I19" s="13"/>
      <c r="J19" s="13"/>
      <c r="K19" s="13"/>
      <c r="L19" s="13"/>
    </row>
    <row r="20" spans="1:12" ht="15.75" x14ac:dyDescent="0.25">
      <c r="A20" s="13"/>
      <c r="B20" s="13"/>
      <c r="C20" s="13"/>
      <c r="D20" s="13"/>
    </row>
    <row r="21" spans="1:12" ht="15.75" x14ac:dyDescent="0.25">
      <c r="A21" s="13"/>
      <c r="B21" s="13"/>
      <c r="C21" s="13"/>
      <c r="D21" s="13"/>
    </row>
    <row r="22" spans="1:12" ht="15.75" x14ac:dyDescent="0.25">
      <c r="A22" s="13"/>
      <c r="B22" s="13"/>
      <c r="C22" s="13"/>
      <c r="D22" s="13"/>
    </row>
    <row r="23" spans="1:12" ht="15.75" x14ac:dyDescent="0.25">
      <c r="A23" s="13"/>
      <c r="B23" s="13"/>
      <c r="C23" s="13"/>
      <c r="D23" s="13"/>
    </row>
    <row r="24" spans="1:12" ht="15.75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</row>
    <row r="25" spans="1:12" ht="15.75" x14ac:dyDescent="0.25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</row>
    <row r="26" spans="1:12" ht="15.75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</row>
    <row r="27" spans="1:12" ht="15.75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</row>
    <row r="28" spans="1:12" ht="15.75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</row>
    <row r="29" spans="1:12" x14ac:dyDescent="0.25">
      <c r="B29" s="41"/>
    </row>
  </sheetData>
  <sheetProtection sheet="1" formatCells="0" formatColumns="0" formatRows="0" insertColumns="0" insertRows="0" insertHyperlinks="0" deleteColumns="0" deleteRows="0" sort="0" autoFilter="0" pivotTables="0"/>
  <phoneticPr fontId="6" type="noConversion"/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BD9C9-2602-4C4E-80C4-95B700292557}">
  <sheetPr codeName="Sheet5">
    <tabColor rgb="FFCC99FF"/>
  </sheetPr>
  <dimension ref="A1:L26"/>
  <sheetViews>
    <sheetView workbookViewId="0">
      <selection activeCell="G17" sqref="G17"/>
    </sheetView>
  </sheetViews>
  <sheetFormatPr defaultRowHeight="15" x14ac:dyDescent="0.25"/>
  <cols>
    <col min="1" max="1" width="19.42578125" bestFit="1" customWidth="1"/>
    <col min="2" max="2" width="21" bestFit="1" customWidth="1"/>
  </cols>
  <sheetData>
    <row r="1" spans="1:2" ht="20.25" thickBot="1" x14ac:dyDescent="0.35">
      <c r="A1" s="63" t="s">
        <v>64</v>
      </c>
      <c r="B1" s="63"/>
    </row>
    <row r="2" spans="1:2" ht="20.25" thickTop="1" x14ac:dyDescent="0.3">
      <c r="A2" s="65"/>
    </row>
    <row r="3" spans="1:2" x14ac:dyDescent="0.25">
      <c r="A3" t="s">
        <v>57</v>
      </c>
      <c r="B3" t="s">
        <v>65</v>
      </c>
    </row>
    <row r="4" spans="1:2" x14ac:dyDescent="0.25">
      <c r="A4" t="s">
        <v>47</v>
      </c>
    </row>
    <row r="5" spans="1:2" x14ac:dyDescent="0.25">
      <c r="A5" t="s">
        <v>35</v>
      </c>
    </row>
    <row r="6" spans="1:2" x14ac:dyDescent="0.25">
      <c r="A6" t="s">
        <v>23</v>
      </c>
    </row>
    <row r="7" spans="1:2" x14ac:dyDescent="0.25">
      <c r="A7" t="s">
        <v>41</v>
      </c>
    </row>
    <row r="8" spans="1:2" x14ac:dyDescent="0.25">
      <c r="A8" t="s">
        <v>44</v>
      </c>
    </row>
    <row r="9" spans="1:2" x14ac:dyDescent="0.25">
      <c r="A9" t="s">
        <v>36</v>
      </c>
    </row>
    <row r="10" spans="1:2" x14ac:dyDescent="0.25">
      <c r="A10" t="s">
        <v>37</v>
      </c>
    </row>
    <row r="11" spans="1:2" x14ac:dyDescent="0.25">
      <c r="A11" t="s">
        <v>112</v>
      </c>
    </row>
    <row r="12" spans="1:2" x14ac:dyDescent="0.25">
      <c r="A12" t="s">
        <v>42</v>
      </c>
      <c r="B12" t="s">
        <v>66</v>
      </c>
    </row>
    <row r="13" spans="1:2" x14ac:dyDescent="0.25">
      <c r="A13" t="s">
        <v>39</v>
      </c>
      <c r="B13" t="s">
        <v>66</v>
      </c>
    </row>
    <row r="14" spans="1:2" x14ac:dyDescent="0.25">
      <c r="A14" t="s">
        <v>43</v>
      </c>
    </row>
    <row r="15" spans="1:2" x14ac:dyDescent="0.25">
      <c r="A15" t="s">
        <v>38</v>
      </c>
      <c r="B15" t="s">
        <v>66</v>
      </c>
    </row>
    <row r="16" spans="1:2" x14ac:dyDescent="0.25">
      <c r="A16" t="s">
        <v>40</v>
      </c>
    </row>
    <row r="17" spans="1:12" ht="15.75" x14ac:dyDescent="0.25">
      <c r="A17" s="13"/>
      <c r="B17" s="13"/>
      <c r="C17" s="29"/>
      <c r="D17" s="28"/>
      <c r="E17" s="26"/>
      <c r="F17" s="26"/>
      <c r="G17" s="13"/>
      <c r="H17" s="13"/>
      <c r="I17" s="13"/>
      <c r="J17" s="13"/>
      <c r="K17" s="13"/>
      <c r="L17" s="13"/>
    </row>
    <row r="18" spans="1:12" ht="15.75" x14ac:dyDescent="0.25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</row>
    <row r="19" spans="1:12" ht="15.75" x14ac:dyDescent="0.25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</row>
    <row r="20" spans="1:12" ht="15.75" x14ac:dyDescent="0.25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</row>
    <row r="21" spans="1:12" ht="15.75" x14ac:dyDescent="0.25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</row>
    <row r="22" spans="1:12" ht="15.75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</row>
    <row r="23" spans="1:12" ht="15.75" x14ac:dyDescent="0.25">
      <c r="J23" s="13"/>
      <c r="K23" s="13"/>
      <c r="L23" s="13"/>
    </row>
    <row r="24" spans="1:12" ht="15.75" x14ac:dyDescent="0.25">
      <c r="J24" s="13"/>
      <c r="K24" s="13"/>
      <c r="L24" s="13"/>
    </row>
    <row r="25" spans="1:12" ht="15.75" x14ac:dyDescent="0.25">
      <c r="J25" s="13"/>
      <c r="K25" s="13"/>
      <c r="L25" s="13"/>
    </row>
    <row r="26" spans="1:12" ht="15.75" x14ac:dyDescent="0.25">
      <c r="J26" s="13"/>
      <c r="K26" s="13"/>
      <c r="L26" s="13"/>
    </row>
  </sheetData>
  <sheetProtection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B050"/>
    <pageSetUpPr fitToPage="1"/>
  </sheetPr>
  <dimension ref="A1:W51"/>
  <sheetViews>
    <sheetView workbookViewId="0">
      <selection activeCell="G17" sqref="G17"/>
    </sheetView>
  </sheetViews>
  <sheetFormatPr defaultColWidth="11.42578125" defaultRowHeight="15.75" x14ac:dyDescent="0.25"/>
  <cols>
    <col min="1" max="1" width="15" style="1" bestFit="1" customWidth="1"/>
    <col min="2" max="2" width="8.140625" style="2" bestFit="1" customWidth="1"/>
    <col min="3" max="3" width="2.85546875" style="2" customWidth="1"/>
    <col min="4" max="4" width="16.5703125" style="1" bestFit="1" customWidth="1"/>
    <col min="5" max="5" width="5.7109375" style="1" bestFit="1" customWidth="1"/>
    <col min="6" max="6" width="9.85546875" style="1" bestFit="1" customWidth="1"/>
    <col min="7" max="7" width="2.85546875" style="1" customWidth="1"/>
    <col min="8" max="8" width="11" style="1" bestFit="1" customWidth="1"/>
    <col min="9" max="9" width="5.7109375" style="1" bestFit="1" customWidth="1"/>
    <col min="10" max="10" width="9.85546875" style="1" bestFit="1" customWidth="1"/>
    <col min="11" max="11" width="2.85546875" style="1" customWidth="1"/>
    <col min="12" max="12" width="41.7109375" style="1" bestFit="1" customWidth="1"/>
    <col min="13" max="13" width="16.7109375" style="1" bestFit="1" customWidth="1"/>
    <col min="14" max="14" width="12.42578125" bestFit="1" customWidth="1"/>
    <col min="15" max="15" width="20.28515625" style="1" bestFit="1" customWidth="1"/>
    <col min="16" max="16" width="24" style="1" bestFit="1" customWidth="1"/>
    <col min="17" max="17" width="2.85546875" style="1" customWidth="1"/>
    <col min="18" max="18" width="41.7109375" style="1" bestFit="1" customWidth="1"/>
    <col min="19" max="19" width="16.7109375" style="1" bestFit="1" customWidth="1"/>
    <col min="20" max="20" width="39.140625" style="1" bestFit="1" customWidth="1"/>
    <col min="21" max="21" width="15.85546875" style="1" bestFit="1" customWidth="1"/>
    <col min="22" max="22" width="20.28515625" style="1" bestFit="1" customWidth="1"/>
    <col min="23" max="23" width="24" style="1" bestFit="1" customWidth="1"/>
    <col min="24" max="16384" width="11.42578125" style="1"/>
  </cols>
  <sheetData>
    <row r="1" spans="1:23" ht="20.25" thickBot="1" x14ac:dyDescent="0.35">
      <c r="A1" s="63" t="s">
        <v>8</v>
      </c>
      <c r="B1" s="63"/>
      <c r="D1" s="64" t="s">
        <v>14</v>
      </c>
      <c r="E1" s="63"/>
      <c r="F1" s="63"/>
      <c r="H1" s="64" t="s">
        <v>15</v>
      </c>
      <c r="I1" s="63"/>
      <c r="J1" s="63"/>
      <c r="L1" s="64" t="s">
        <v>122</v>
      </c>
      <c r="M1" s="63"/>
      <c r="N1" s="63"/>
      <c r="O1" s="63"/>
      <c r="P1" s="63"/>
      <c r="R1" s="64" t="s">
        <v>125</v>
      </c>
      <c r="S1" s="63"/>
      <c r="T1" s="63"/>
      <c r="U1" s="63"/>
      <c r="V1" s="63"/>
      <c r="W1" s="63"/>
    </row>
    <row r="2" spans="1:23" ht="16.5" thickTop="1" x14ac:dyDescent="0.25">
      <c r="A2" s="76"/>
      <c r="B2" s="5"/>
      <c r="D2" s="77"/>
      <c r="E2" s="4"/>
      <c r="H2" s="77"/>
      <c r="I2" s="4"/>
      <c r="N2" s="1"/>
    </row>
    <row r="3" spans="1:23" x14ac:dyDescent="0.25">
      <c r="A3" s="3" t="s">
        <v>51</v>
      </c>
      <c r="B3" s="8" t="s">
        <v>1</v>
      </c>
      <c r="D3" s="4" t="s">
        <v>52</v>
      </c>
      <c r="E3" s="4" t="s">
        <v>53</v>
      </c>
      <c r="F3" s="8" t="s">
        <v>1</v>
      </c>
      <c r="G3" s="8"/>
      <c r="H3" s="4" t="s">
        <v>52</v>
      </c>
      <c r="I3" s="4" t="s">
        <v>53</v>
      </c>
      <c r="J3" s="9" t="s">
        <v>1</v>
      </c>
      <c r="L3" s="1" t="s">
        <v>120</v>
      </c>
      <c r="M3" s="1" t="s">
        <v>13</v>
      </c>
      <c r="N3" s="1"/>
      <c r="R3" s="1" t="s">
        <v>123</v>
      </c>
      <c r="S3" s="1" t="s">
        <v>126</v>
      </c>
      <c r="T3" s="1" t="s">
        <v>128</v>
      </c>
      <c r="U3" s="1" t="s">
        <v>120</v>
      </c>
      <c r="V3" s="1" t="s">
        <v>104</v>
      </c>
      <c r="W3" s="1" t="s">
        <v>103</v>
      </c>
    </row>
    <row r="4" spans="1:23" x14ac:dyDescent="0.25">
      <c r="A4" s="66">
        <v>500</v>
      </c>
      <c r="B4" s="66">
        <v>350</v>
      </c>
      <c r="C4" s="7"/>
      <c r="D4" s="67">
        <v>0</v>
      </c>
      <c r="E4" s="67">
        <v>4</v>
      </c>
      <c r="F4" s="5">
        <v>0</v>
      </c>
      <c r="G4" s="5"/>
      <c r="H4" s="67">
        <v>0</v>
      </c>
      <c r="I4" s="67">
        <v>9</v>
      </c>
      <c r="J4" s="5">
        <v>0</v>
      </c>
      <c r="L4" s="12" t="s">
        <v>121</v>
      </c>
      <c r="M4" s="75">
        <v>1000</v>
      </c>
      <c r="N4" s="1"/>
      <c r="R4" s="1" t="s">
        <v>84</v>
      </c>
      <c r="S4" s="75">
        <f>SUMIF(Sueldos_Base[COORDINACION],Descuentos[[#This Row],[COORDINACION]],Sueldos_Base[SUELDO BASE])*0.3 * -1</f>
        <v>-630</v>
      </c>
      <c r="T4" s="75" t="s">
        <v>129</v>
      </c>
      <c r="U4" s="1" t="s">
        <v>6</v>
      </c>
      <c r="V4" s="1" t="s">
        <v>79</v>
      </c>
      <c r="W4" s="1" t="s">
        <v>72</v>
      </c>
    </row>
    <row r="5" spans="1:23" x14ac:dyDescent="0.25">
      <c r="A5" s="7"/>
      <c r="B5" s="7"/>
      <c r="C5" s="7"/>
      <c r="D5" s="67">
        <v>5</v>
      </c>
      <c r="E5" s="67">
        <v>9</v>
      </c>
      <c r="F5" s="5">
        <v>70</v>
      </c>
      <c r="G5" s="5"/>
      <c r="H5" s="67">
        <v>10</v>
      </c>
      <c r="I5" s="67">
        <v>19</v>
      </c>
      <c r="J5" s="5">
        <v>50</v>
      </c>
      <c r="L5" s="1" t="s">
        <v>6</v>
      </c>
      <c r="M5" s="75">
        <v>500</v>
      </c>
      <c r="N5" s="1"/>
      <c r="S5" s="75"/>
      <c r="T5" s="75"/>
    </row>
    <row r="6" spans="1:23" x14ac:dyDescent="0.25">
      <c r="A6" s="13"/>
      <c r="B6" s="13"/>
      <c r="C6" s="29"/>
      <c r="D6" s="67">
        <v>10</v>
      </c>
      <c r="E6" s="67">
        <v>14</v>
      </c>
      <c r="F6" s="5">
        <v>100</v>
      </c>
      <c r="G6" s="13"/>
      <c r="H6" s="67">
        <v>20</v>
      </c>
      <c r="I6" s="67">
        <v>29</v>
      </c>
      <c r="J6" s="5">
        <v>70</v>
      </c>
      <c r="K6" s="13"/>
      <c r="L6" s="13" t="s">
        <v>7</v>
      </c>
      <c r="M6" s="75">
        <v>0</v>
      </c>
      <c r="N6" s="1"/>
      <c r="S6" s="75"/>
      <c r="T6" s="75"/>
    </row>
    <row r="7" spans="1:23" x14ac:dyDescent="0.25">
      <c r="A7" s="13"/>
      <c r="B7" s="13"/>
      <c r="C7" s="27"/>
      <c r="D7" s="67">
        <v>15</v>
      </c>
      <c r="E7" s="67">
        <v>19</v>
      </c>
      <c r="F7" s="5">
        <v>120</v>
      </c>
      <c r="G7" s="13"/>
      <c r="H7" s="67">
        <v>30</v>
      </c>
      <c r="I7" s="67">
        <v>49</v>
      </c>
      <c r="J7" s="5">
        <v>100</v>
      </c>
      <c r="K7" s="13"/>
      <c r="L7" s="13"/>
      <c r="N7" s="1"/>
      <c r="S7" s="75"/>
      <c r="T7" s="75"/>
    </row>
    <row r="8" spans="1:23" x14ac:dyDescent="0.25">
      <c r="A8" s="13"/>
      <c r="B8" s="13"/>
      <c r="C8" s="29"/>
      <c r="D8" s="67">
        <v>20</v>
      </c>
      <c r="E8" s="67" t="s">
        <v>63</v>
      </c>
      <c r="F8" s="5">
        <v>140</v>
      </c>
      <c r="G8" s="13"/>
      <c r="H8" s="67">
        <v>50</v>
      </c>
      <c r="I8" s="67" t="s">
        <v>63</v>
      </c>
      <c r="J8" s="5">
        <v>120</v>
      </c>
      <c r="K8" s="13"/>
      <c r="L8" s="13"/>
      <c r="N8" s="1"/>
      <c r="S8" s="75"/>
      <c r="T8" s="75"/>
    </row>
    <row r="9" spans="1:23" x14ac:dyDescent="0.25">
      <c r="A9" s="13"/>
      <c r="B9" s="13"/>
      <c r="C9" s="13"/>
      <c r="D9" s="28"/>
      <c r="E9" s="13"/>
      <c r="F9" s="13"/>
      <c r="H9" s="13"/>
      <c r="I9" s="13"/>
      <c r="J9" s="13"/>
      <c r="K9" s="13"/>
      <c r="L9" s="13"/>
      <c r="N9" s="1"/>
      <c r="S9" s="75"/>
      <c r="T9" s="75"/>
    </row>
    <row r="10" spans="1:23" x14ac:dyDescent="0.25">
      <c r="A10" s="13"/>
      <c r="B10" s="13"/>
      <c r="C10" s="13"/>
      <c r="D10" s="13"/>
      <c r="L10" s="1" t="s">
        <v>123</v>
      </c>
      <c r="M10" s="1" t="s">
        <v>13</v>
      </c>
      <c r="N10" s="1" t="s">
        <v>120</v>
      </c>
      <c r="O10" s="1" t="s">
        <v>104</v>
      </c>
      <c r="P10" s="1" t="s">
        <v>103</v>
      </c>
      <c r="S10" s="75"/>
      <c r="T10" s="75"/>
    </row>
    <row r="11" spans="1:23" x14ac:dyDescent="0.25">
      <c r="A11" s="13"/>
      <c r="B11" s="13"/>
      <c r="C11" s="13"/>
      <c r="D11" s="13"/>
      <c r="L11" s="1" t="s">
        <v>87</v>
      </c>
      <c r="M11" s="75">
        <v>700</v>
      </c>
      <c r="N11" s="1" t="s">
        <v>7</v>
      </c>
      <c r="O11" s="1" t="s">
        <v>79</v>
      </c>
      <c r="P11" s="1" t="s">
        <v>72</v>
      </c>
      <c r="S11" s="75"/>
      <c r="T11" s="75"/>
    </row>
    <row r="12" spans="1:23" x14ac:dyDescent="0.25">
      <c r="A12" s="13"/>
      <c r="B12" s="13"/>
      <c r="C12" s="13"/>
      <c r="D12" s="13"/>
      <c r="G12" s="13"/>
      <c r="L12" s="1" t="s">
        <v>88</v>
      </c>
      <c r="M12" s="75">
        <v>700</v>
      </c>
      <c r="N12" s="1" t="s">
        <v>7</v>
      </c>
      <c r="O12" s="1" t="s">
        <v>79</v>
      </c>
      <c r="P12" s="1" t="s">
        <v>72</v>
      </c>
    </row>
    <row r="13" spans="1:23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" t="s">
        <v>89</v>
      </c>
      <c r="M13" s="75">
        <v>700</v>
      </c>
      <c r="N13" s="1" t="s">
        <v>7</v>
      </c>
      <c r="O13" s="1" t="s">
        <v>79</v>
      </c>
      <c r="P13" s="1" t="s">
        <v>72</v>
      </c>
    </row>
    <row r="14" spans="1:23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" t="s">
        <v>98</v>
      </c>
      <c r="M14" s="75">
        <v>700</v>
      </c>
      <c r="N14" s="1" t="s">
        <v>7</v>
      </c>
      <c r="O14" s="1" t="s">
        <v>80</v>
      </c>
      <c r="P14" s="1" t="s">
        <v>72</v>
      </c>
    </row>
    <row r="15" spans="1:23" x14ac:dyDescent="0.25">
      <c r="A15" s="13"/>
      <c r="B15" s="1"/>
      <c r="C15" s="1"/>
      <c r="D15" s="13"/>
      <c r="E15" s="13"/>
      <c r="F15" s="13"/>
      <c r="H15" s="13"/>
      <c r="I15" s="13"/>
      <c r="J15" s="13"/>
      <c r="K15" s="13"/>
      <c r="L15" s="1" t="s">
        <v>97</v>
      </c>
      <c r="M15" s="75">
        <v>700</v>
      </c>
      <c r="N15" s="1" t="s">
        <v>7</v>
      </c>
      <c r="O15" s="1" t="s">
        <v>80</v>
      </c>
      <c r="P15" s="1" t="s">
        <v>72</v>
      </c>
    </row>
    <row r="16" spans="1:23" x14ac:dyDescent="0.25">
      <c r="B16" s="1"/>
      <c r="C16" s="1"/>
      <c r="L16" s="1" t="s">
        <v>99</v>
      </c>
      <c r="M16" s="75">
        <v>1000</v>
      </c>
      <c r="N16" s="1" t="s">
        <v>7</v>
      </c>
      <c r="O16" s="1" t="s">
        <v>80</v>
      </c>
      <c r="P16" s="1" t="s">
        <v>72</v>
      </c>
    </row>
    <row r="17" spans="2:16" x14ac:dyDescent="0.25">
      <c r="B17" s="1"/>
      <c r="C17" s="1"/>
      <c r="L17" s="1" t="s">
        <v>100</v>
      </c>
      <c r="M17" s="75">
        <v>1000</v>
      </c>
      <c r="N17" s="1" t="s">
        <v>7</v>
      </c>
      <c r="O17" s="1" t="s">
        <v>80</v>
      </c>
      <c r="P17" s="1" t="s">
        <v>72</v>
      </c>
    </row>
    <row r="18" spans="2:16" x14ac:dyDescent="0.25">
      <c r="B18" s="1"/>
      <c r="C18" s="1"/>
      <c r="L18" s="1" t="s">
        <v>96</v>
      </c>
      <c r="M18" s="75">
        <v>1000</v>
      </c>
      <c r="N18" s="1" t="s">
        <v>7</v>
      </c>
      <c r="O18" s="1" t="s">
        <v>74</v>
      </c>
      <c r="P18" s="1" t="s">
        <v>72</v>
      </c>
    </row>
    <row r="19" spans="2:16" x14ac:dyDescent="0.25">
      <c r="B19" s="1"/>
      <c r="C19" s="1"/>
      <c r="L19" s="1" t="s">
        <v>94</v>
      </c>
      <c r="M19" s="75">
        <v>500</v>
      </c>
      <c r="N19" s="1" t="s">
        <v>7</v>
      </c>
      <c r="O19" s="1" t="s">
        <v>74</v>
      </c>
      <c r="P19" s="1" t="s">
        <v>72</v>
      </c>
    </row>
    <row r="20" spans="2:16" x14ac:dyDescent="0.25">
      <c r="B20" s="1"/>
      <c r="C20" s="1"/>
    </row>
    <row r="21" spans="2:16" x14ac:dyDescent="0.25">
      <c r="B21" s="1"/>
      <c r="C21" s="1"/>
    </row>
    <row r="27" spans="2:16" x14ac:dyDescent="0.25">
      <c r="B27" s="1"/>
      <c r="C27" s="9"/>
    </row>
    <row r="28" spans="2:16" x14ac:dyDescent="0.25">
      <c r="B28" s="1"/>
      <c r="C28" s="9"/>
    </row>
    <row r="29" spans="2:16" x14ac:dyDescent="0.25">
      <c r="B29" s="1"/>
      <c r="C29" s="5"/>
    </row>
    <row r="30" spans="2:16" x14ac:dyDescent="0.25">
      <c r="B30" s="1"/>
      <c r="C30" s="5"/>
    </row>
    <row r="31" spans="2:16" x14ac:dyDescent="0.25">
      <c r="B31" s="1"/>
      <c r="C31" s="5"/>
    </row>
    <row r="32" spans="2:16" x14ac:dyDescent="0.25">
      <c r="B32" s="1"/>
      <c r="C32" s="5"/>
    </row>
    <row r="38" spans="2:5" x14ac:dyDescent="0.25">
      <c r="B38" s="10"/>
      <c r="C38" s="10"/>
    </row>
    <row r="39" spans="2:5" x14ac:dyDescent="0.25">
      <c r="B39" s="10"/>
      <c r="C39" s="10"/>
      <c r="D39" s="10"/>
      <c r="E39" s="10"/>
    </row>
    <row r="40" spans="2:5" x14ac:dyDescent="0.25">
      <c r="B40" s="10"/>
      <c r="C40" s="10"/>
      <c r="D40" s="10"/>
      <c r="E40" s="10"/>
    </row>
    <row r="41" spans="2:5" x14ac:dyDescent="0.25">
      <c r="B41" s="10"/>
      <c r="C41" s="10"/>
      <c r="D41" s="10"/>
      <c r="E41" s="10"/>
    </row>
    <row r="42" spans="2:5" x14ac:dyDescent="0.25">
      <c r="B42" s="1"/>
      <c r="C42" s="1"/>
      <c r="D42" s="10"/>
      <c r="E42" s="10"/>
    </row>
    <row r="43" spans="2:5" x14ac:dyDescent="0.25">
      <c r="B43" s="11"/>
      <c r="C43" s="11"/>
    </row>
    <row r="44" spans="2:5" x14ac:dyDescent="0.25">
      <c r="B44" s="11"/>
      <c r="C44" s="11"/>
      <c r="D44" s="11"/>
      <c r="E44" s="11"/>
    </row>
    <row r="45" spans="2:5" x14ac:dyDescent="0.25">
      <c r="B45" s="11"/>
      <c r="C45" s="11"/>
      <c r="D45" s="11"/>
      <c r="E45" s="11"/>
    </row>
    <row r="46" spans="2:5" x14ac:dyDescent="0.25">
      <c r="B46" s="11"/>
      <c r="C46" s="11"/>
      <c r="D46" s="11"/>
      <c r="E46" s="11"/>
    </row>
    <row r="47" spans="2:5" x14ac:dyDescent="0.25">
      <c r="B47" s="1"/>
      <c r="C47" s="1"/>
      <c r="D47" s="11"/>
      <c r="E47" s="11"/>
    </row>
    <row r="48" spans="2:5" x14ac:dyDescent="0.25">
      <c r="B48" s="1"/>
      <c r="C48" s="1"/>
    </row>
    <row r="49" spans="2:3" x14ac:dyDescent="0.25">
      <c r="B49" s="1"/>
      <c r="C49" s="1"/>
    </row>
    <row r="50" spans="2:3" x14ac:dyDescent="0.25">
      <c r="B50" s="1"/>
      <c r="C50" s="1"/>
    </row>
    <row r="51" spans="2:3" x14ac:dyDescent="0.25">
      <c r="B51" s="1"/>
      <c r="C51" s="1"/>
    </row>
  </sheetData>
  <sheetProtection sheet="1" formatCells="0" formatColumns="0" formatRows="0" insertColumns="0" insertRows="0" insertHyperlinks="0" deleteColumns="0" deleteRows="0" sort="0" autoFilter="0" pivotTables="0"/>
  <dataValidations count="4">
    <dataValidation type="custom" allowBlank="1" showInputMessage="1" showErrorMessage="1" sqref="N4:N6" xr:uid="{9DE67A79-93A9-49DC-93B1-1C84AE8DBF0C}">
      <formula1>Alias_Coordinadores</formula1>
    </dataValidation>
    <dataValidation type="list" allowBlank="1" showInputMessage="1" showErrorMessage="1" sqref="N11:N19 U4" xr:uid="{342D9635-3C48-4326-82D8-7F8C3C5FF452}">
      <formula1>Puestos</formula1>
    </dataValidation>
    <dataValidation type="list" allowBlank="1" showInputMessage="1" showErrorMessage="1" sqref="O11:O19 V4" xr:uid="{2CEA4F90-913C-4F7E-A844-C80F62AB1BC2}">
      <formula1>Alias_Coordinadores</formula1>
    </dataValidation>
    <dataValidation type="list" allowBlank="1" showInputMessage="1" showErrorMessage="1" sqref="P11:P19 W4" xr:uid="{D57AA25B-EFC2-4916-B551-2CC8B6E8A91F}">
      <formula1>Alias_Gerentes</formula1>
    </dataValidation>
  </dataValidations>
  <pageMargins left="0.70866141732283472" right="0.70866141732283472" top="0.74803149606299213" bottom="0.74803149606299213" header="0.31496062992125984" footer="0.31496062992125984"/>
  <pageSetup scale="83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D4973-C15C-4DCD-9BB0-92D48C3BBF9C}">
  <sheetPr codeName="Sheet9">
    <tabColor rgb="FFFF0000"/>
  </sheetPr>
  <dimension ref="A1:R52"/>
  <sheetViews>
    <sheetView topLeftCell="A20" workbookViewId="0">
      <selection activeCell="E18" sqref="E18"/>
    </sheetView>
  </sheetViews>
  <sheetFormatPr defaultRowHeight="15" x14ac:dyDescent="0.25"/>
  <cols>
    <col min="1" max="1" width="32.42578125" bestFit="1" customWidth="1"/>
    <col min="2" max="2" width="22.5703125" bestFit="1" customWidth="1"/>
    <col min="3" max="3" width="2.85546875" customWidth="1"/>
    <col min="4" max="4" width="33.42578125" bestFit="1" customWidth="1"/>
    <col min="5" max="6" width="22.5703125" bestFit="1" customWidth="1"/>
    <col min="7" max="7" width="2.85546875" customWidth="1"/>
    <col min="8" max="8" width="38.42578125" bestFit="1" customWidth="1"/>
    <col min="9" max="9" width="25.7109375" bestFit="1" customWidth="1"/>
    <col min="10" max="11" width="22.5703125" bestFit="1" customWidth="1"/>
    <col min="13" max="13" width="113.42578125" bestFit="1" customWidth="1"/>
    <col min="14" max="14" width="15.28515625" bestFit="1" customWidth="1"/>
    <col min="15" max="15" width="18.28515625" bestFit="1" customWidth="1"/>
    <col min="16" max="16" width="16.5703125" bestFit="1" customWidth="1"/>
    <col min="17" max="17" width="17.42578125" bestFit="1" customWidth="1"/>
    <col min="18" max="18" width="13.140625" bestFit="1" customWidth="1"/>
    <col min="19" max="19" width="18.5703125" bestFit="1" customWidth="1"/>
    <col min="20" max="20" width="14.5703125" bestFit="1" customWidth="1"/>
  </cols>
  <sheetData>
    <row r="1" spans="1:18" ht="20.25" thickBot="1" x14ac:dyDescent="0.35">
      <c r="A1" s="63" t="s">
        <v>61</v>
      </c>
      <c r="B1" s="63"/>
      <c r="D1" s="63" t="s">
        <v>60</v>
      </c>
      <c r="E1" s="63"/>
      <c r="F1" s="63"/>
      <c r="H1" s="63" t="s">
        <v>62</v>
      </c>
      <c r="I1" s="63"/>
      <c r="J1" s="63"/>
      <c r="K1" s="63"/>
    </row>
    <row r="2" spans="1:18" ht="20.25" thickTop="1" x14ac:dyDescent="0.3">
      <c r="A2" s="65"/>
      <c r="B2" s="65"/>
      <c r="D2" s="65"/>
      <c r="E2" s="65"/>
      <c r="H2" s="65"/>
      <c r="I2" s="65"/>
    </row>
    <row r="3" spans="1:18" x14ac:dyDescent="0.25">
      <c r="A3" t="s">
        <v>101</v>
      </c>
      <c r="B3" t="s">
        <v>102</v>
      </c>
      <c r="D3" t="s">
        <v>101</v>
      </c>
      <c r="E3" t="s">
        <v>102</v>
      </c>
      <c r="F3" t="s">
        <v>103</v>
      </c>
      <c r="H3" t="s">
        <v>101</v>
      </c>
      <c r="I3" t="s">
        <v>102</v>
      </c>
      <c r="J3" t="s">
        <v>104</v>
      </c>
      <c r="K3" t="s">
        <v>103</v>
      </c>
    </row>
    <row r="4" spans="1:18" x14ac:dyDescent="0.25">
      <c r="A4" t="s">
        <v>81</v>
      </c>
      <c r="B4" t="s">
        <v>72</v>
      </c>
      <c r="D4" s="61" t="s">
        <v>81</v>
      </c>
      <c r="E4" s="61" t="s">
        <v>196</v>
      </c>
      <c r="F4" t="s">
        <v>72</v>
      </c>
      <c r="H4" s="69" t="s">
        <v>98</v>
      </c>
      <c r="I4" s="69" t="s">
        <v>71</v>
      </c>
      <c r="J4" s="69" t="s">
        <v>80</v>
      </c>
      <c r="K4" s="69" t="s">
        <v>72</v>
      </c>
      <c r="M4" s="60"/>
      <c r="N4" s="60"/>
      <c r="O4" s="60"/>
      <c r="P4" s="60"/>
      <c r="Q4" s="60"/>
      <c r="R4" s="60"/>
    </row>
    <row r="5" spans="1:18" x14ac:dyDescent="0.25">
      <c r="A5" t="s">
        <v>134</v>
      </c>
      <c r="B5" t="s">
        <v>135</v>
      </c>
      <c r="D5" s="61" t="s">
        <v>84</v>
      </c>
      <c r="E5" s="61" t="s">
        <v>79</v>
      </c>
      <c r="F5" t="s">
        <v>72</v>
      </c>
      <c r="H5" s="69" t="s">
        <v>87</v>
      </c>
      <c r="I5" s="69" t="s">
        <v>107</v>
      </c>
      <c r="J5" s="69" t="s">
        <v>79</v>
      </c>
      <c r="K5" s="69" t="s">
        <v>72</v>
      </c>
      <c r="N5" s="60"/>
    </row>
    <row r="6" spans="1:18" x14ac:dyDescent="0.25">
      <c r="A6" s="60" t="s">
        <v>158</v>
      </c>
      <c r="B6" s="60" t="s">
        <v>156</v>
      </c>
      <c r="C6" s="60"/>
      <c r="D6" t="s">
        <v>83</v>
      </c>
      <c r="E6" t="s">
        <v>80</v>
      </c>
      <c r="F6" t="s">
        <v>72</v>
      </c>
      <c r="G6" s="62"/>
      <c r="H6" s="69" t="s">
        <v>97</v>
      </c>
      <c r="I6" s="69" t="s">
        <v>111</v>
      </c>
      <c r="J6" s="69" t="s">
        <v>80</v>
      </c>
      <c r="K6" s="69" t="s">
        <v>72</v>
      </c>
      <c r="L6" s="60"/>
    </row>
    <row r="7" spans="1:18" x14ac:dyDescent="0.25">
      <c r="A7" s="60"/>
      <c r="B7" s="60"/>
      <c r="C7" s="60"/>
      <c r="D7" t="s">
        <v>82</v>
      </c>
      <c r="E7" t="s">
        <v>74</v>
      </c>
      <c r="F7" t="s">
        <v>72</v>
      </c>
      <c r="G7" s="60"/>
      <c r="H7" s="69" t="s">
        <v>86</v>
      </c>
      <c r="I7" s="69" t="s">
        <v>77</v>
      </c>
      <c r="J7" s="69" t="s">
        <v>79</v>
      </c>
      <c r="K7" s="69" t="s">
        <v>72</v>
      </c>
      <c r="L7" s="60"/>
    </row>
    <row r="8" spans="1:18" x14ac:dyDescent="0.25">
      <c r="A8" s="60"/>
      <c r="B8" s="60"/>
      <c r="C8" s="60"/>
      <c r="D8" t="s">
        <v>85</v>
      </c>
      <c r="E8" t="s">
        <v>105</v>
      </c>
      <c r="F8" t="s">
        <v>72</v>
      </c>
      <c r="G8" s="60"/>
      <c r="H8" s="69" t="s">
        <v>95</v>
      </c>
      <c r="I8" s="69" t="s">
        <v>73</v>
      </c>
      <c r="J8" s="69" t="s">
        <v>74</v>
      </c>
      <c r="K8" s="69" t="s">
        <v>72</v>
      </c>
      <c r="L8" s="60"/>
    </row>
    <row r="9" spans="1:18" x14ac:dyDescent="0.25">
      <c r="A9" s="60"/>
      <c r="B9" s="60"/>
      <c r="C9" s="60"/>
      <c r="D9" s="61" t="s">
        <v>138</v>
      </c>
      <c r="E9" s="61" t="s">
        <v>139</v>
      </c>
      <c r="F9" t="s">
        <v>135</v>
      </c>
      <c r="G9" s="60"/>
      <c r="H9" s="69" t="s">
        <v>99</v>
      </c>
      <c r="I9" s="69" t="s">
        <v>194</v>
      </c>
      <c r="J9" s="69" t="s">
        <v>80</v>
      </c>
      <c r="K9" s="69" t="s">
        <v>72</v>
      </c>
      <c r="L9" s="60"/>
    </row>
    <row r="10" spans="1:18" x14ac:dyDescent="0.25">
      <c r="A10" s="60"/>
      <c r="B10" s="60"/>
      <c r="C10" s="60"/>
      <c r="D10" t="s">
        <v>136</v>
      </c>
      <c r="E10" t="s">
        <v>137</v>
      </c>
      <c r="F10" t="s">
        <v>135</v>
      </c>
      <c r="G10" s="60"/>
      <c r="H10" s="69" t="s">
        <v>81</v>
      </c>
      <c r="I10" s="69" t="s">
        <v>119</v>
      </c>
      <c r="J10" s="69" t="s">
        <v>196</v>
      </c>
      <c r="K10" s="69" t="s">
        <v>72</v>
      </c>
      <c r="L10" s="60"/>
    </row>
    <row r="11" spans="1:18" x14ac:dyDescent="0.25">
      <c r="A11" s="60"/>
      <c r="B11" s="60"/>
      <c r="D11" t="s">
        <v>134</v>
      </c>
      <c r="E11" t="s">
        <v>197</v>
      </c>
      <c r="F11" t="s">
        <v>135</v>
      </c>
      <c r="H11" s="69" t="s">
        <v>93</v>
      </c>
      <c r="I11" s="69" t="s">
        <v>75</v>
      </c>
      <c r="J11" s="69" t="s">
        <v>74</v>
      </c>
      <c r="K11" s="69" t="s">
        <v>72</v>
      </c>
    </row>
    <row r="12" spans="1:18" x14ac:dyDescent="0.25">
      <c r="A12" s="60"/>
      <c r="B12" s="60"/>
      <c r="D12" s="61" t="s">
        <v>159</v>
      </c>
      <c r="E12" s="61" t="s">
        <v>160</v>
      </c>
      <c r="F12" t="s">
        <v>156</v>
      </c>
      <c r="H12" s="69" t="s">
        <v>84</v>
      </c>
      <c r="I12" s="69" t="s">
        <v>118</v>
      </c>
      <c r="J12" s="69" t="s">
        <v>79</v>
      </c>
      <c r="K12" s="69" t="s">
        <v>72</v>
      </c>
    </row>
    <row r="13" spans="1:18" x14ac:dyDescent="0.25">
      <c r="A13" s="60"/>
      <c r="B13" s="60"/>
      <c r="D13" s="61" t="s">
        <v>155</v>
      </c>
      <c r="E13" s="61" t="s">
        <v>195</v>
      </c>
      <c r="F13" t="s">
        <v>156</v>
      </c>
      <c r="H13" s="69" t="s">
        <v>100</v>
      </c>
      <c r="I13" s="69" t="s">
        <v>70</v>
      </c>
      <c r="J13" s="69" t="s">
        <v>80</v>
      </c>
      <c r="K13" s="69" t="s">
        <v>72</v>
      </c>
    </row>
    <row r="14" spans="1:18" x14ac:dyDescent="0.25">
      <c r="A14" s="60"/>
      <c r="B14" s="60"/>
      <c r="D14" t="s">
        <v>179</v>
      </c>
      <c r="E14" t="s">
        <v>157</v>
      </c>
      <c r="F14" t="s">
        <v>156</v>
      </c>
      <c r="H14" s="69" t="s">
        <v>90</v>
      </c>
      <c r="I14" s="69" t="s">
        <v>108</v>
      </c>
      <c r="J14" s="69" t="s">
        <v>79</v>
      </c>
      <c r="K14" s="69" t="s">
        <v>72</v>
      </c>
    </row>
    <row r="15" spans="1:18" x14ac:dyDescent="0.25">
      <c r="A15" s="60"/>
      <c r="B15" s="60"/>
      <c r="H15" s="69" t="s">
        <v>92</v>
      </c>
      <c r="I15" s="69" t="s">
        <v>106</v>
      </c>
      <c r="J15" s="69" t="s">
        <v>105</v>
      </c>
      <c r="K15" s="69" t="s">
        <v>72</v>
      </c>
    </row>
    <row r="16" spans="1:18" x14ac:dyDescent="0.25">
      <c r="H16" s="69" t="s">
        <v>83</v>
      </c>
      <c r="I16" s="69" t="s">
        <v>115</v>
      </c>
      <c r="J16" s="69" t="s">
        <v>80</v>
      </c>
      <c r="K16" s="69" t="s">
        <v>72</v>
      </c>
    </row>
    <row r="17" spans="8:11" x14ac:dyDescent="0.25">
      <c r="H17" s="69" t="s">
        <v>88</v>
      </c>
      <c r="I17" s="69" t="s">
        <v>69</v>
      </c>
      <c r="J17" s="69" t="s">
        <v>79</v>
      </c>
      <c r="K17" s="69" t="s">
        <v>72</v>
      </c>
    </row>
    <row r="18" spans="8:11" x14ac:dyDescent="0.25">
      <c r="H18" s="69" t="s">
        <v>89</v>
      </c>
      <c r="I18" s="69" t="s">
        <v>78</v>
      </c>
      <c r="J18" s="69" t="s">
        <v>79</v>
      </c>
      <c r="K18" s="69" t="s">
        <v>72</v>
      </c>
    </row>
    <row r="19" spans="8:11" x14ac:dyDescent="0.25">
      <c r="H19" s="69" t="s">
        <v>82</v>
      </c>
      <c r="I19" s="69" t="s">
        <v>116</v>
      </c>
      <c r="J19" s="69" t="s">
        <v>74</v>
      </c>
      <c r="K19" s="69" t="s">
        <v>72</v>
      </c>
    </row>
    <row r="20" spans="8:11" x14ac:dyDescent="0.25">
      <c r="H20" s="69" t="s">
        <v>96</v>
      </c>
      <c r="I20" s="69" t="s">
        <v>109</v>
      </c>
      <c r="J20" s="69" t="s">
        <v>74</v>
      </c>
      <c r="K20" s="69" t="s">
        <v>72</v>
      </c>
    </row>
    <row r="21" spans="8:11" x14ac:dyDescent="0.25">
      <c r="H21" s="69" t="s">
        <v>91</v>
      </c>
      <c r="I21" s="69" t="s">
        <v>76</v>
      </c>
      <c r="J21" s="69" t="s">
        <v>79</v>
      </c>
      <c r="K21" s="69" t="s">
        <v>72</v>
      </c>
    </row>
    <row r="22" spans="8:11" x14ac:dyDescent="0.25">
      <c r="H22" s="69" t="s">
        <v>94</v>
      </c>
      <c r="I22" s="69" t="s">
        <v>110</v>
      </c>
      <c r="J22" s="69" t="s">
        <v>74</v>
      </c>
      <c r="K22" s="69" t="s">
        <v>72</v>
      </c>
    </row>
    <row r="23" spans="8:11" x14ac:dyDescent="0.25">
      <c r="H23" s="69" t="s">
        <v>85</v>
      </c>
      <c r="I23" s="69" t="s">
        <v>117</v>
      </c>
      <c r="J23" s="69" t="s">
        <v>105</v>
      </c>
      <c r="K23" s="69" t="s">
        <v>72</v>
      </c>
    </row>
    <row r="24" spans="8:11" x14ac:dyDescent="0.25">
      <c r="H24" s="69" t="s">
        <v>145</v>
      </c>
      <c r="I24" s="69" t="s">
        <v>132</v>
      </c>
      <c r="J24" s="69" t="s">
        <v>137</v>
      </c>
      <c r="K24" s="69" t="s">
        <v>135</v>
      </c>
    </row>
    <row r="25" spans="8:11" x14ac:dyDescent="0.25">
      <c r="H25" s="69" t="s">
        <v>146</v>
      </c>
      <c r="I25" s="69" t="s">
        <v>133</v>
      </c>
      <c r="J25" s="69" t="s">
        <v>137</v>
      </c>
      <c r="K25" s="69" t="s">
        <v>135</v>
      </c>
    </row>
    <row r="26" spans="8:11" x14ac:dyDescent="0.25">
      <c r="H26" s="69" t="s">
        <v>143</v>
      </c>
      <c r="I26" s="69" t="s">
        <v>130</v>
      </c>
      <c r="J26" s="69" t="s">
        <v>137</v>
      </c>
      <c r="K26" s="69" t="s">
        <v>135</v>
      </c>
    </row>
    <row r="27" spans="8:11" x14ac:dyDescent="0.25">
      <c r="H27" s="69" t="s">
        <v>147</v>
      </c>
      <c r="I27" s="69" t="s">
        <v>152</v>
      </c>
      <c r="J27" s="69" t="s">
        <v>139</v>
      </c>
      <c r="K27" s="69" t="s">
        <v>135</v>
      </c>
    </row>
    <row r="28" spans="8:11" x14ac:dyDescent="0.25">
      <c r="H28" s="69" t="s">
        <v>149</v>
      </c>
      <c r="I28" s="69" t="s">
        <v>154</v>
      </c>
      <c r="J28" s="69" t="s">
        <v>139</v>
      </c>
      <c r="K28" s="69" t="s">
        <v>135</v>
      </c>
    </row>
    <row r="29" spans="8:11" x14ac:dyDescent="0.25">
      <c r="H29" s="69" t="s">
        <v>144</v>
      </c>
      <c r="I29" s="69" t="s">
        <v>131</v>
      </c>
      <c r="J29" s="69" t="s">
        <v>137</v>
      </c>
      <c r="K29" s="69" t="s">
        <v>135</v>
      </c>
    </row>
    <row r="30" spans="8:11" x14ac:dyDescent="0.25">
      <c r="H30" s="69" t="s">
        <v>148</v>
      </c>
      <c r="I30" s="69" t="s">
        <v>151</v>
      </c>
      <c r="J30" s="69" t="s">
        <v>139</v>
      </c>
      <c r="K30" s="69" t="s">
        <v>135</v>
      </c>
    </row>
    <row r="31" spans="8:11" x14ac:dyDescent="0.25">
      <c r="H31" s="78" t="s">
        <v>138</v>
      </c>
      <c r="I31" s="69" t="s">
        <v>141</v>
      </c>
      <c r="J31" s="69" t="s">
        <v>139</v>
      </c>
      <c r="K31" s="69" t="s">
        <v>135</v>
      </c>
    </row>
    <row r="32" spans="8:11" x14ac:dyDescent="0.25">
      <c r="H32" s="69" t="s">
        <v>150</v>
      </c>
      <c r="I32" s="69" t="s">
        <v>153</v>
      </c>
      <c r="J32" s="69" t="s">
        <v>139</v>
      </c>
      <c r="K32" s="69" t="s">
        <v>135</v>
      </c>
    </row>
    <row r="33" spans="8:11" x14ac:dyDescent="0.25">
      <c r="H33" s="69" t="s">
        <v>136</v>
      </c>
      <c r="I33" s="69" t="s">
        <v>140</v>
      </c>
      <c r="J33" s="69" t="s">
        <v>137</v>
      </c>
      <c r="K33" s="69" t="s">
        <v>135</v>
      </c>
    </row>
    <row r="34" spans="8:11" x14ac:dyDescent="0.25">
      <c r="H34" s="69" t="s">
        <v>134</v>
      </c>
      <c r="I34" s="69" t="s">
        <v>142</v>
      </c>
      <c r="J34" s="69" t="s">
        <v>197</v>
      </c>
      <c r="K34" s="69" t="s">
        <v>135</v>
      </c>
    </row>
    <row r="35" spans="8:11" x14ac:dyDescent="0.25">
      <c r="H35" s="69" t="s">
        <v>168</v>
      </c>
      <c r="I35" s="69" t="s">
        <v>168</v>
      </c>
      <c r="J35" s="69" t="s">
        <v>157</v>
      </c>
      <c r="K35" s="69" t="s">
        <v>156</v>
      </c>
    </row>
    <row r="36" spans="8:11" x14ac:dyDescent="0.25">
      <c r="H36" s="69" t="s">
        <v>180</v>
      </c>
      <c r="I36" s="69" t="s">
        <v>181</v>
      </c>
      <c r="J36" s="69" t="s">
        <v>157</v>
      </c>
      <c r="K36" s="69" t="s">
        <v>156</v>
      </c>
    </row>
    <row r="37" spans="8:11" x14ac:dyDescent="0.25">
      <c r="H37" s="69" t="s">
        <v>188</v>
      </c>
      <c r="I37" s="69" t="s">
        <v>169</v>
      </c>
      <c r="J37" s="69" t="s">
        <v>160</v>
      </c>
      <c r="K37" s="69" t="s">
        <v>156</v>
      </c>
    </row>
    <row r="38" spans="8:11" x14ac:dyDescent="0.25">
      <c r="H38" s="69" t="s">
        <v>183</v>
      </c>
      <c r="I38" s="69" t="s">
        <v>176</v>
      </c>
      <c r="J38" s="69" t="s">
        <v>157</v>
      </c>
      <c r="K38" s="69" t="s">
        <v>156</v>
      </c>
    </row>
    <row r="39" spans="8:11" x14ac:dyDescent="0.25">
      <c r="H39" s="69" t="s">
        <v>190</v>
      </c>
      <c r="I39" s="69" t="s">
        <v>177</v>
      </c>
      <c r="J39" s="69" t="s">
        <v>160</v>
      </c>
      <c r="K39" s="69" t="s">
        <v>156</v>
      </c>
    </row>
    <row r="40" spans="8:11" x14ac:dyDescent="0.25">
      <c r="H40" s="69" t="s">
        <v>185</v>
      </c>
      <c r="I40" s="69" t="s">
        <v>167</v>
      </c>
      <c r="J40" s="69" t="s">
        <v>157</v>
      </c>
      <c r="K40" s="69" t="s">
        <v>156</v>
      </c>
    </row>
    <row r="41" spans="8:11" x14ac:dyDescent="0.25">
      <c r="H41" s="78" t="s">
        <v>159</v>
      </c>
      <c r="I41" s="61" t="s">
        <v>163</v>
      </c>
      <c r="J41" s="69" t="s">
        <v>160</v>
      </c>
      <c r="K41" s="69" t="s">
        <v>156</v>
      </c>
    </row>
    <row r="42" spans="8:11" x14ac:dyDescent="0.25">
      <c r="H42" s="69" t="s">
        <v>192</v>
      </c>
      <c r="I42" s="69" t="s">
        <v>172</v>
      </c>
      <c r="J42" s="69" t="s">
        <v>160</v>
      </c>
      <c r="K42" s="69" t="s">
        <v>156</v>
      </c>
    </row>
    <row r="43" spans="8:11" x14ac:dyDescent="0.25">
      <c r="H43" s="69" t="s">
        <v>191</v>
      </c>
      <c r="I43" s="69" t="s">
        <v>171</v>
      </c>
      <c r="J43" s="69" t="s">
        <v>160</v>
      </c>
      <c r="K43" s="69" t="s">
        <v>156</v>
      </c>
    </row>
    <row r="44" spans="8:11" x14ac:dyDescent="0.25">
      <c r="H44" s="69" t="s">
        <v>189</v>
      </c>
      <c r="I44" s="69" t="s">
        <v>170</v>
      </c>
      <c r="J44" s="69" t="s">
        <v>160</v>
      </c>
      <c r="K44" s="69" t="s">
        <v>156</v>
      </c>
    </row>
    <row r="45" spans="8:11" x14ac:dyDescent="0.25">
      <c r="H45" s="69" t="s">
        <v>173</v>
      </c>
      <c r="I45" s="69" t="s">
        <v>174</v>
      </c>
      <c r="J45" s="69" t="s">
        <v>160</v>
      </c>
      <c r="K45" s="69" t="s">
        <v>156</v>
      </c>
    </row>
    <row r="46" spans="8:11" x14ac:dyDescent="0.25">
      <c r="H46" s="69" t="s">
        <v>184</v>
      </c>
      <c r="I46" s="69" t="s">
        <v>166</v>
      </c>
      <c r="J46" s="69" t="s">
        <v>157</v>
      </c>
      <c r="K46" s="69" t="s">
        <v>156</v>
      </c>
    </row>
    <row r="47" spans="8:11" x14ac:dyDescent="0.25">
      <c r="H47" s="69" t="s">
        <v>182</v>
      </c>
      <c r="I47" s="69" t="s">
        <v>165</v>
      </c>
      <c r="J47" s="69" t="s">
        <v>157</v>
      </c>
      <c r="K47" s="69" t="s">
        <v>156</v>
      </c>
    </row>
    <row r="48" spans="8:11" x14ac:dyDescent="0.25">
      <c r="H48" s="69" t="s">
        <v>193</v>
      </c>
      <c r="I48" s="69" t="s">
        <v>178</v>
      </c>
      <c r="J48" s="69" t="s">
        <v>160</v>
      </c>
      <c r="K48" s="69" t="s">
        <v>156</v>
      </c>
    </row>
    <row r="49" spans="8:11" x14ac:dyDescent="0.25">
      <c r="H49" s="69" t="s">
        <v>186</v>
      </c>
      <c r="I49" s="69" t="s">
        <v>187</v>
      </c>
      <c r="J49" s="69" t="s">
        <v>157</v>
      </c>
      <c r="K49" s="69" t="s">
        <v>156</v>
      </c>
    </row>
    <row r="50" spans="8:11" x14ac:dyDescent="0.25">
      <c r="H50" s="69" t="s">
        <v>164</v>
      </c>
      <c r="I50" s="69" t="s">
        <v>164</v>
      </c>
      <c r="J50" s="69" t="s">
        <v>157</v>
      </c>
      <c r="K50" s="69" t="s">
        <v>156</v>
      </c>
    </row>
    <row r="51" spans="8:11" x14ac:dyDescent="0.25">
      <c r="H51" s="69" t="s">
        <v>155</v>
      </c>
      <c r="I51" s="61" t="s">
        <v>161</v>
      </c>
      <c r="J51" s="69" t="s">
        <v>195</v>
      </c>
      <c r="K51" s="69" t="s">
        <v>156</v>
      </c>
    </row>
    <row r="52" spans="8:11" x14ac:dyDescent="0.25">
      <c r="H52" t="s">
        <v>179</v>
      </c>
      <c r="I52" t="s">
        <v>162</v>
      </c>
      <c r="J52" s="69" t="s">
        <v>157</v>
      </c>
      <c r="K52" s="69" t="s">
        <v>156</v>
      </c>
    </row>
  </sheetData>
  <sheetProtection formatCells="0" formatColumns="0" formatRows="0" insertColumns="0" insertRows="0" insertHyperlinks="0" deleteColumns="0" deleteRows="0" sort="0" autoFilter="0" pivotTables="0"/>
  <phoneticPr fontId="6" type="noConversion"/>
  <conditionalFormatting sqref="I4:I52">
    <cfRule type="duplicateValues" dxfId="53" priority="1"/>
  </conditionalFormatting>
  <dataValidations count="4">
    <dataValidation type="list" allowBlank="1" showInputMessage="1" showErrorMessage="1" sqref="F4:F14 K4:K52" xr:uid="{782D795E-2BAC-487C-9A7E-2ACC2252D51E}">
      <formula1>Alias_Gerentes</formula1>
    </dataValidation>
    <dataValidation type="list" allowBlank="1" showInputMessage="1" showErrorMessage="1" sqref="J4:J52" xr:uid="{8286D5F4-693B-47AA-AB0B-AEA73A2B0A7B}">
      <formula1>Alias_Coordinadores</formula1>
    </dataValidation>
    <dataValidation type="list" allowBlank="1" showInputMessage="1" showErrorMessage="1" sqref="M5" xr:uid="{57E46199-E3EE-4F07-B0D2-A607025C740D}">
      <formula1>_xlfn.TEXTSPLIT(#REF!,",")</formula1>
    </dataValidation>
    <dataValidation type="custom" allowBlank="1" showInputMessage="1" showErrorMessage="1" sqref="M6" xr:uid="{35DF180B-93C5-49DB-B974-A47F8455B96A}">
      <formula1>N5</formula1>
    </dataValidation>
  </dataValidations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52918-F284-4156-BD82-B452CD8136A7}">
  <sheetPr codeName="Sheet6">
    <tabColor rgb="FF0070C0"/>
  </sheetPr>
  <dimension ref="A1:P29"/>
  <sheetViews>
    <sheetView workbookViewId="0">
      <selection activeCell="D9" sqref="D9"/>
    </sheetView>
  </sheetViews>
  <sheetFormatPr defaultColWidth="14.42578125" defaultRowHeight="15.75" x14ac:dyDescent="0.25"/>
  <cols>
    <col min="1" max="1" width="24.85546875" style="13" bestFit="1" customWidth="1"/>
    <col min="2" max="2" width="17.42578125" style="13" bestFit="1" customWidth="1"/>
    <col min="3" max="3" width="28.5703125" style="13" bestFit="1" customWidth="1"/>
    <col min="4" max="4" width="16.42578125" style="13" bestFit="1" customWidth="1"/>
    <col min="5" max="5" width="14.140625" style="13" bestFit="1" customWidth="1"/>
    <col min="6" max="6" width="12.140625" style="13" bestFit="1" customWidth="1"/>
    <col min="7" max="7" width="15.85546875" style="13" bestFit="1" customWidth="1"/>
    <col min="8" max="8" width="12" style="13" bestFit="1" customWidth="1"/>
    <col min="9" max="9" width="30.140625" style="19" bestFit="1" customWidth="1"/>
    <col min="10" max="10" width="17.7109375" style="13" bestFit="1" customWidth="1"/>
    <col min="11" max="11" width="21" style="13" bestFit="1" customWidth="1"/>
    <col min="12" max="12" width="3.28515625" style="13" bestFit="1" customWidth="1"/>
    <col min="13" max="14" width="12.5703125" style="13" customWidth="1"/>
    <col min="15" max="15" width="3.28515625" style="13" bestFit="1" customWidth="1"/>
    <col min="16" max="16" width="25.7109375" style="13" customWidth="1"/>
    <col min="17" max="23" width="10.7109375" style="13" customWidth="1"/>
    <col min="24" max="16384" width="14.42578125" style="13"/>
  </cols>
  <sheetData>
    <row r="1" spans="1:16" ht="16.5" thickBot="1" x14ac:dyDescent="0.3">
      <c r="A1" s="32" t="s">
        <v>28</v>
      </c>
      <c r="B1" s="117"/>
      <c r="C1" s="117"/>
      <c r="D1" s="117"/>
      <c r="F1" s="43" t="s">
        <v>120</v>
      </c>
      <c r="G1" s="46" t="s">
        <v>6</v>
      </c>
      <c r="I1" s="31" t="s">
        <v>59</v>
      </c>
      <c r="J1" s="34">
        <f>Total_Registros_Gerente</f>
        <v>2</v>
      </c>
      <c r="M1" s="83"/>
      <c r="N1" s="83"/>
      <c r="P1" s="81" t="s">
        <v>0</v>
      </c>
    </row>
    <row r="2" spans="1:16" ht="16.5" thickBot="1" x14ac:dyDescent="0.3">
      <c r="A2" s="43" t="s">
        <v>31</v>
      </c>
      <c r="B2" s="118"/>
      <c r="C2" s="118"/>
      <c r="D2" s="118"/>
      <c r="M2" s="83"/>
      <c r="N2" s="83"/>
      <c r="P2" s="13" t="str" cm="1">
        <f t="array" ref="P2">IFERROR(INDEX(Alias_Promotores, SMALL(IF((Promotores[COORDINACION] = VLOOKUP(Nombre_Coordinador, Coordinadores[], 2, FALSE)) * (Alias_Promotores &lt;&gt; ""), ROW(Alias_Promotores) - MIN(ROW(Alias_Promotores)) + 1), ROWS($B$2:B2))), "")</f>
        <v/>
      </c>
    </row>
    <row r="3" spans="1:16" ht="16.5" thickBot="1" x14ac:dyDescent="0.3">
      <c r="A3" s="43" t="s">
        <v>29</v>
      </c>
      <c r="B3" s="56"/>
      <c r="C3" s="45" t="s">
        <v>30</v>
      </c>
      <c r="D3" s="57"/>
      <c r="F3" s="20"/>
      <c r="G3" s="21"/>
      <c r="I3" s="16"/>
      <c r="M3" s="83"/>
      <c r="N3" s="83"/>
      <c r="P3" s="13" t="str" cm="1">
        <f t="array" ref="P3">IFERROR(INDEX(Alias_Promotores, SMALL(IF((Promotores[COORDINACION] = VLOOKUP(Nombre_Coordinador, Coordinadores[], 2, FALSE)) * (Alias_Promotores &lt;&gt; ""), ROW(Alias_Promotores) - MIN(ROW(Alias_Promotores)) + 1), ROWS($B$2:B3))), "")</f>
        <v/>
      </c>
    </row>
    <row r="4" spans="1:16" ht="16.5" thickBot="1" x14ac:dyDescent="0.3">
      <c r="A4" s="43" t="s">
        <v>17</v>
      </c>
      <c r="B4" s="108" cm="1">
        <f t="array" ref="B4">IF(COUNTA(Tabla_Coordinador[GRUPO]) = 0, 0,
   COUNTIFS(Tabla_Coordinador[GRUPO], "&lt;&gt;",
            Tabla_Coordinador[GRUPO], "&lt;&gt;503",
            Tabla_Coordinador[GRUPO], "&lt;&gt;500",
            Tabla_Coordinador[PAGO], "&gt;=299")
   - SUMPRODUCT(COUNTIF(Tabla_Gerente[CREDENCIAL], Tabla_Coordinador[CREDENCIAL]) - 1))</f>
        <v>0</v>
      </c>
      <c r="C4" s="17"/>
      <c r="F4" s="18"/>
      <c r="G4" s="18"/>
      <c r="H4" s="17"/>
      <c r="I4" s="31" t="s">
        <v>48</v>
      </c>
      <c r="J4" s="79">
        <v>0</v>
      </c>
      <c r="K4" s="19"/>
      <c r="M4" s="83"/>
      <c r="N4" s="83"/>
      <c r="P4" s="13" t="str" cm="1">
        <f t="array" ref="P4">IFERROR(INDEX(Alias_Promotores, SMALL(IF((Promotores[COORDINACION] = VLOOKUP(Nombre_Coordinador, Coordinadores[], 2, FALSE)) * (Alias_Promotores &lt;&gt; ""), ROW(Alias_Promotores) - MIN(ROW(Alias_Promotores)) + 1), ROWS($B$2:B4))), "")</f>
        <v/>
      </c>
    </row>
    <row r="5" spans="1:16" ht="16.5" thickBot="1" x14ac:dyDescent="0.3">
      <c r="A5" s="43" t="s">
        <v>32</v>
      </c>
      <c r="B5" s="47">
        <f>WEEKNUM(B3)</f>
        <v>0</v>
      </c>
      <c r="C5" s="17"/>
      <c r="E5" s="18"/>
      <c r="F5" s="18"/>
      <c r="G5" s="18"/>
      <c r="H5" s="17"/>
      <c r="J5" s="23"/>
      <c r="K5" s="23"/>
      <c r="P5" s="13" t="str" cm="1">
        <f t="array" ref="P5">IFERROR(INDEX(Alias_Promotores, SMALL(IF((Promotores[COORDINACION] = VLOOKUP(Nombre_Coordinador, Coordinadores[], 2, FALSE)) * (Alias_Promotores &lt;&gt; ""), ROW(Alias_Promotores) - MIN(ROW(Alias_Promotores)) + 1), ROWS($B$2:B5))), "")</f>
        <v/>
      </c>
    </row>
    <row r="6" spans="1:16" ht="16.5" thickBot="1" x14ac:dyDescent="0.3">
      <c r="A6" s="43" t="s">
        <v>27</v>
      </c>
      <c r="B6" s="46"/>
      <c r="C6" s="17"/>
      <c r="E6" s="18"/>
      <c r="F6" s="18"/>
      <c r="G6" s="18"/>
      <c r="H6" s="17"/>
      <c r="J6" s="23"/>
      <c r="K6" s="23"/>
      <c r="M6" s="82"/>
      <c r="N6" s="82"/>
      <c r="P6" s="13" t="str" cm="1">
        <f t="array" ref="P6">IFERROR(INDEX(Alias_Promotores, SMALL(IF((Promotores[COORDINACION] = VLOOKUP(Nombre_Coordinador, Coordinadores[], 2, FALSE)) * (Alias_Promotores &lt;&gt; ""), ROW(Alias_Promotores) - MIN(ROW(Alias_Promotores)) + 1), ROWS($B$2:B6))), "")</f>
        <v/>
      </c>
    </row>
    <row r="7" spans="1:16" x14ac:dyDescent="0.25">
      <c r="M7" s="82"/>
      <c r="N7" s="82"/>
      <c r="P7" s="13" t="str" cm="1">
        <f t="array" ref="P7">IFERROR(INDEX(Alias_Promotores, SMALL(IF((Promotores[COORDINACION] = VLOOKUP(Nombre_Coordinador, Coordinadores[], 2, FALSE)) * (Alias_Promotores &lt;&gt; ""), ROW(Alias_Promotores) - MIN(ROW(Alias_Promotores)) + 1), ROWS($B$2:B7))), "")</f>
        <v/>
      </c>
    </row>
    <row r="8" spans="1:16" x14ac:dyDescent="0.25">
      <c r="A8" s="16" t="s">
        <v>7</v>
      </c>
      <c r="B8" s="16" t="s">
        <v>18</v>
      </c>
      <c r="C8" s="16" t="s">
        <v>113</v>
      </c>
      <c r="D8" s="28" t="s">
        <v>34</v>
      </c>
      <c r="E8" s="16" t="s">
        <v>33</v>
      </c>
      <c r="F8" s="16" t="s">
        <v>67</v>
      </c>
      <c r="G8" s="16" t="s">
        <v>20</v>
      </c>
      <c r="H8" s="28" t="s">
        <v>1</v>
      </c>
      <c r="I8" s="16" t="s">
        <v>68</v>
      </c>
      <c r="J8" s="16" t="s">
        <v>21</v>
      </c>
      <c r="K8" s="16" t="s">
        <v>22</v>
      </c>
      <c r="M8" s="82"/>
      <c r="N8" s="82"/>
      <c r="P8" s="13" t="str" cm="1">
        <f t="array" ref="P8">IFERROR(INDEX(Alias_Promotores, SMALL(IF((Promotores[COORDINACION] = VLOOKUP(Nombre_Coordinador, Coordinadores[], 2, FALSE)) * (Alias_Promotores &lt;&gt; ""), ROW(Alias_Promotores) - MIN(ROW(Alias_Promotores)) + 1), ROWS($B$2:B8))), "")</f>
        <v/>
      </c>
    </row>
    <row r="9" spans="1:16" x14ac:dyDescent="0.25">
      <c r="A9" s="17"/>
      <c r="B9" s="18"/>
      <c r="C9" s="18"/>
      <c r="D9" s="51">
        <f>IF(
    OR(
        Tabla_Coordinador[[#This Row],[GRUPO]] = 501,
        Tabla_Coordinador[[#This Row],[GRUPO]] = 505,
        Tabla_Coordinador[[#This Row],[GRUPO]] = 503,
        Tabla_Coordinador[[#This Row],[GRUPO]] = "",
        Tabla_Coordinador[[#This Row],[GRUPO]] = 500,
        Tabla_Coordinador[[#This Row],[PAGO]] &lt; 299,
        COUNTIF(Tabla_Coordinador[CREDENCIAL], Tabla_Coordinador[[#This Row],[CREDENCIAL]]) &gt; 1,
        COUNTIF(Tabla_Gerente[CREDENCIAL], Tabla_Coordinador[[#This Row],[CREDENCIAL]]) &gt; 1
    ),
    0,
    VLOOKUP(
        Total_Registros_Coordinador,
        Tabulador_Coordinador[],
        3,
        TRUE
    )
)</f>
        <v>0</v>
      </c>
      <c r="E9" s="18"/>
      <c r="F9" s="18"/>
      <c r="G9" s="42"/>
      <c r="H9" s="73">
        <f>IFERROR(VLOOKUP(Tabla_Coordinador[[#This Row],[CREDENCIAL]], Tabla_Gerente[[CREDENCIAL]:[PAGO]], 7, FALSE), 0)</f>
        <v>0</v>
      </c>
      <c r="I9" s="53"/>
      <c r="J9" s="19"/>
      <c r="K9" s="19"/>
      <c r="M9" s="82"/>
      <c r="N9" s="82"/>
      <c r="P9" s="13" t="str" cm="1">
        <f t="array" ref="P9">IFERROR(INDEX(Alias_Promotores, SMALL(IF((Promotores[COORDINACION] = VLOOKUP(Nombre_Coordinador, Coordinadores[], 2, FALSE)) * (Alias_Promotores &lt;&gt; ""), ROW(Alias_Promotores) - MIN(ROW(Alias_Promotores)) + 1), ROWS($B$2:B9))), "")</f>
        <v/>
      </c>
    </row>
    <row r="10" spans="1:16" x14ac:dyDescent="0.25">
      <c r="A10" s="27" t="s">
        <v>50</v>
      </c>
      <c r="B10" s="14"/>
      <c r="C10" s="15"/>
      <c r="D10" s="54">
        <f>SUBTOTAL(109,Tabla_Coordinador[COMISION])</f>
        <v>0</v>
      </c>
      <c r="E10" s="14"/>
      <c r="F10" s="14"/>
      <c r="G10" s="14"/>
      <c r="H10" s="14"/>
      <c r="I10" s="16"/>
      <c r="J10" s="16"/>
      <c r="K10" s="16"/>
      <c r="P10" s="13" t="str" cm="1">
        <f t="array" ref="P10">IFERROR(INDEX(Alias_Promotores, SMALL(IF((Promotores[COORDINACION] = VLOOKUP(Nombre_Coordinador, Coordinadores[], 2, FALSE)) * (Alias_Promotores &lt;&gt; ""), ROW(Alias_Promotores) - MIN(ROW(Alias_Promotores)) + 1), ROWS($B$2:B10))), "")</f>
        <v/>
      </c>
    </row>
    <row r="11" spans="1:16" x14ac:dyDescent="0.25">
      <c r="A11" s="27"/>
      <c r="B11" s="14"/>
      <c r="C11" s="15"/>
      <c r="D11" s="54"/>
      <c r="E11" s="14"/>
      <c r="F11" s="14"/>
      <c r="G11" s="14"/>
      <c r="H11" s="55"/>
      <c r="I11" s="16"/>
      <c r="J11" s="16"/>
      <c r="K11" s="16"/>
      <c r="P11" s="13" t="str" cm="1">
        <f t="array" ref="P11">IFERROR(INDEX(Alias_Promotores, SMALL(IF((Promotores[COORDINACION] = VLOOKUP(Nombre_Coordinador, Coordinadores[], 2, FALSE)) * (Alias_Promotores &lt;&gt; ""), ROW(Alias_Promotores) - MIN(ROW(Alias_Promotores)) + 1), ROWS($B$2:B11))), "")</f>
        <v/>
      </c>
    </row>
    <row r="12" spans="1:16" x14ac:dyDescent="0.25">
      <c r="A12" s="27" t="s">
        <v>13</v>
      </c>
      <c r="D12" s="26">
        <f>Sueldo_Base_Coordinador</f>
        <v>500</v>
      </c>
      <c r="E12" s="16"/>
      <c r="F12" s="15"/>
      <c r="H12" s="15"/>
      <c r="J12" s="24"/>
      <c r="P12" s="13" t="str" cm="1">
        <f t="array" ref="P12">IFERROR(INDEX(Alias_Promotores, SMALL(IF((Promotores[COORDINACION] = VLOOKUP(Nombre_Coordinador, Coordinadores[], 2, FALSE)) * (Alias_Promotores &lt;&gt; ""), ROW(Alias_Promotores) - MIN(ROW(Alias_Promotores)) + 1), ROWS($B$2:B12))), "")</f>
        <v/>
      </c>
    </row>
    <row r="13" spans="1:16" ht="16.5" thickBot="1" x14ac:dyDescent="0.3">
      <c r="A13" s="37" t="s">
        <v>45</v>
      </c>
      <c r="B13" s="38">
        <f>IF(Total_Registros_Coordinador &gt;= Premios!H5,
    VLOOKUP(Total_Registros_Coordinador, Premios_Coordinador[], 1, TRUE),
    0
)</f>
        <v>0</v>
      </c>
      <c r="C13" s="34"/>
      <c r="D13" s="36">
        <f>IF(Premio_Coordinador &gt; 0, VLOOKUP(Premio_Coordinador, Premios_Coordinador[], 2, FALSE), 0)</f>
        <v>0</v>
      </c>
      <c r="E13" s="16"/>
      <c r="F13" s="15"/>
      <c r="H13" s="15"/>
      <c r="J13" s="24"/>
      <c r="P13" s="13" t="str" cm="1">
        <f t="array" ref="P13">IFERROR(INDEX(Alias_Promotores, SMALL(IF((Promotores[COORDINACION] = VLOOKUP(Nombre_Coordinador, Coordinadores[], 2, FALSE)) * (Alias_Promotores &lt;&gt; ""), ROW(Alias_Promotores) - MIN(ROW(Alias_Promotores)) + 1), ROWS($B$2:B13))), "")</f>
        <v/>
      </c>
    </row>
    <row r="14" spans="1:16" x14ac:dyDescent="0.25">
      <c r="A14" s="27" t="s">
        <v>46</v>
      </c>
      <c r="B14" s="18"/>
      <c r="D14" s="28">
        <f>Tabla_Coordinador[[#Totals],[COMISION]] + Pago_Sueldo_Base_Coordinador + Pago_Premio_Coordinador</f>
        <v>500</v>
      </c>
      <c r="E14" s="16"/>
      <c r="F14" s="15"/>
      <c r="H14" s="15"/>
      <c r="J14" s="24"/>
      <c r="P14" s="13" t="str" cm="1">
        <f t="array" ref="P14">IFERROR(INDEX(Alias_Promotores, SMALL(IF((Promotores[COORDINACION] = VLOOKUP(Nombre_Coordinador, Coordinadores[], 2, FALSE)) * (Alias_Promotores &lt;&gt; ""), ROW(Alias_Promotores) - MIN(ROW(Alias_Promotores)) + 1), ROWS($B$2:B14))), "")</f>
        <v/>
      </c>
    </row>
    <row r="15" spans="1:16" x14ac:dyDescent="0.25">
      <c r="A15" s="27" t="s">
        <v>124</v>
      </c>
      <c r="B15" s="18"/>
      <c r="C15" s="29"/>
      <c r="D15" s="40">
        <f>_xlfn.IFNA(SUMIFS(Descuentos[DESCUENTO], Descuentos[COLABORADOR], Nombre_Coordinador, Descuentos[PUESTO], Puesto_Coordinador), 0)</f>
        <v>0</v>
      </c>
      <c r="E15" s="16"/>
      <c r="F15" s="15"/>
      <c r="H15" s="15"/>
      <c r="J15" s="22"/>
      <c r="K15" s="22"/>
      <c r="P15" s="13" t="str" cm="1">
        <f t="array" ref="P15">IFERROR(INDEX(Alias_Promotores, SMALL(IF((Promotores[COORDINACION] = VLOOKUP(Nombre_Coordinador, Coordinadores[], 2, FALSE)) * (Alias_Promotores &lt;&gt; ""), ROW(Alias_Promotores) - MIN(ROW(Alias_Promotores)) + 1), ROWS($B$2:B15))), "")</f>
        <v/>
      </c>
    </row>
    <row r="16" spans="1:16" ht="16.5" thickBot="1" x14ac:dyDescent="0.3">
      <c r="A16" s="37" t="s">
        <v>24</v>
      </c>
      <c r="B16" s="34"/>
      <c r="C16" s="34"/>
      <c r="D16" s="49">
        <f>(Pago_Subtotal_Coordinador * 0.05) * -1</f>
        <v>-25</v>
      </c>
      <c r="E16" s="16"/>
      <c r="F16" s="15"/>
      <c r="H16" s="15"/>
      <c r="P16" s="13" t="str" cm="1">
        <f t="array" ref="P16">IFERROR(INDEX(Alias_Promotores, SMALL(IF((Promotores[COORDINACION] = VLOOKUP(Nombre_Coordinador, Coordinadores[], 2, FALSE)) * (Alias_Promotores &lt;&gt; ""), ROW(Alias_Promotores) - MIN(ROW(Alias_Promotores)) + 1), ROWS($B$2:B16))), "")</f>
        <v/>
      </c>
    </row>
    <row r="17" spans="1:16" ht="16.5" thickBot="1" x14ac:dyDescent="0.3">
      <c r="A17" s="42"/>
      <c r="C17" s="29"/>
      <c r="D17" s="28"/>
      <c r="E17" s="16"/>
      <c r="F17" s="15"/>
      <c r="P17" s="13" t="str" cm="1">
        <f t="array" ref="P17">IFERROR(INDEX(Alias_Promotores, SMALL(IF((Promotores[COORDINACION] = VLOOKUP(Nombre_Coordinador, Coordinadores[], 2, FALSE)) * (Alias_Promotores &lt;&gt; ""), ROW(Alias_Promotores) - MIN(ROW(Alias_Promotores)) + 1), ROWS($B$2:B17))), "")</f>
        <v/>
      </c>
    </row>
    <row r="18" spans="1:16" ht="16.5" thickBot="1" x14ac:dyDescent="0.3">
      <c r="A18" s="37" t="s">
        <v>49</v>
      </c>
      <c r="B18" s="34"/>
      <c r="C18" s="50"/>
      <c r="D18" s="30">
        <f>Pago_Subtotal_Coordinador + Descuento_Coordinador + Deduccion_Coordinador</f>
        <v>475</v>
      </c>
      <c r="E18" s="16"/>
      <c r="F18" s="15"/>
      <c r="P18" s="13" t="str" cm="1">
        <f t="array" ref="P18">IFERROR(INDEX(Alias_Promotores, SMALL(IF((Promotores[COORDINACION] = VLOOKUP(Nombre_Coordinador, Coordinadores[], 2, FALSE)) * (Alias_Promotores &lt;&gt; ""), ROW(Alias_Promotores) - MIN(ROW(Alias_Promotores)) + 1), ROWS($B$2:B18))), "")</f>
        <v/>
      </c>
    </row>
    <row r="19" spans="1:16" x14ac:dyDescent="0.25">
      <c r="C19" s="29"/>
      <c r="D19" s="28"/>
      <c r="E19" s="26"/>
      <c r="F19" s="26"/>
      <c r="P19" s="13" t="str" cm="1">
        <f t="array" ref="P19">IFERROR(INDEX(Alias_Promotores, SMALL(IF((Promotores[COORDINACION] = VLOOKUP(Nombre_Coordinador, Coordinadores[], 2, FALSE)) * (Alias_Promotores &lt;&gt; ""), ROW(Alias_Promotores) - MIN(ROW(Alias_Promotores)) + 1), ROWS($B$2:B19))), "")</f>
        <v/>
      </c>
    </row>
    <row r="20" spans="1:16" x14ac:dyDescent="0.25">
      <c r="C20" s="29"/>
      <c r="D20" s="28"/>
      <c r="E20" s="26"/>
      <c r="F20" s="26"/>
      <c r="I20" s="13"/>
      <c r="P20" s="13" t="str" cm="1">
        <f t="array" ref="P20">IFERROR(INDEX(Alias_Promotores, SMALL(IF((Promotores[COORDINACION] = VLOOKUP(Nombre_Coordinador, Coordinadores[], 2, FALSE)) * (Alias_Promotores &lt;&gt; ""), ROW(Alias_Promotores) - MIN(ROW(Alias_Promotores)) + 1), ROWS($B$2:B20))), "")</f>
        <v/>
      </c>
    </row>
    <row r="21" spans="1:16" ht="16.5" thickBot="1" x14ac:dyDescent="0.3">
      <c r="C21" s="37" t="s">
        <v>25</v>
      </c>
      <c r="D21" s="119" t="str" cm="1">
        <f t="array" ref="D21">NumeroATexto(Pago_Neto_Coordinador)</f>
        <v>CUATROCIENTOS SETENTA Y CINCO PESOS 00/100</v>
      </c>
      <c r="E21" s="119"/>
      <c r="F21" s="119"/>
      <c r="G21" s="119"/>
      <c r="H21" s="119"/>
      <c r="I21" s="119"/>
      <c r="P21" s="13" t="str" cm="1">
        <f t="array" ref="P21">IFERROR(INDEX(Alias_Promotores, SMALL(IF((Promotores[COORDINACION] = VLOOKUP(Nombre_Coordinador, Coordinadores[], 2, FALSE)) * (Alias_Promotores &lt;&gt; ""), ROW(Alias_Promotores) - MIN(ROW(Alias_Promotores)) + 1), ROWS($B$2:B21))), "")</f>
        <v/>
      </c>
    </row>
    <row r="22" spans="1:16" x14ac:dyDescent="0.25">
      <c r="C22" s="27"/>
      <c r="D22" s="26"/>
      <c r="E22" s="16"/>
      <c r="F22" s="15"/>
      <c r="I22" s="13"/>
    </row>
    <row r="23" spans="1:16" x14ac:dyDescent="0.25">
      <c r="C23" s="29"/>
      <c r="D23" s="28"/>
      <c r="I23" s="13"/>
    </row>
    <row r="24" spans="1:16" ht="16.5" thickBot="1" x14ac:dyDescent="0.3">
      <c r="C24" s="33" t="s">
        <v>26</v>
      </c>
      <c r="D24" s="120"/>
      <c r="E24" s="120"/>
      <c r="F24" s="120"/>
      <c r="G24" s="120"/>
      <c r="H24" s="120"/>
      <c r="I24" s="120"/>
    </row>
    <row r="25" spans="1:16" x14ac:dyDescent="0.25">
      <c r="I25" s="13"/>
    </row>
    <row r="26" spans="1:16" x14ac:dyDescent="0.25">
      <c r="I26" s="13"/>
    </row>
    <row r="27" spans="1:16" x14ac:dyDescent="0.25">
      <c r="I27" s="13"/>
    </row>
    <row r="28" spans="1:16" x14ac:dyDescent="0.25">
      <c r="I28" s="13"/>
    </row>
    <row r="29" spans="1:16" x14ac:dyDescent="0.25">
      <c r="I29" s="13"/>
    </row>
  </sheetData>
  <mergeCells count="4">
    <mergeCell ref="B1:D1"/>
    <mergeCell ref="B2:D2"/>
    <mergeCell ref="D21:I21"/>
    <mergeCell ref="D24:I24"/>
  </mergeCells>
  <conditionalFormatting sqref="D9">
    <cfRule type="cellIs" dxfId="52" priority="7" operator="equal">
      <formula>0</formula>
    </cfRule>
    <cfRule type="cellIs" dxfId="51" priority="16" operator="equal">
      <formula>$G9=501</formula>
    </cfRule>
  </conditionalFormatting>
  <conditionalFormatting sqref="G9">
    <cfRule type="cellIs" dxfId="50" priority="1" operator="equal">
      <formula>505</formula>
    </cfRule>
    <cfRule type="cellIs" dxfId="49" priority="5" operator="equal">
      <formula>501</formula>
    </cfRule>
    <cfRule type="containsBlanks" dxfId="48" priority="8">
      <formula>LEN(TRIM(G9))=0</formula>
    </cfRule>
  </conditionalFormatting>
  <conditionalFormatting sqref="B9">
    <cfRule type="duplicateValues" dxfId="47" priority="24"/>
  </conditionalFormatting>
  <conditionalFormatting sqref="A9:K9">
    <cfRule type="expression" dxfId="46" priority="3">
      <formula>$G9 = 503</formula>
    </cfRule>
  </conditionalFormatting>
  <dataValidations count="5">
    <dataValidation type="list" allowBlank="1" showInputMessage="1" showErrorMessage="1" sqref="B1" xr:uid="{E696B7E1-0B38-47F3-B286-84BD83122CB9}">
      <formula1>Nombres_Coordinadores</formula1>
    </dataValidation>
    <dataValidation type="list" allowBlank="1" showInputMessage="1" showErrorMessage="1" sqref="E9" xr:uid="{D2E534D9-C8AB-4C0C-A78D-08BAA8D49E2E}">
      <formula1>Nombres_Planteles</formula1>
    </dataValidation>
    <dataValidation type="custom" allowBlank="1" showInputMessage="1" showErrorMessage="1" sqref="G9" xr:uid="{52BC982C-73BF-49F1-83E3-D19029599E49}">
      <formula1>G9&lt;&gt;500</formula1>
    </dataValidation>
    <dataValidation type="date" allowBlank="1" showInputMessage="1" showErrorMessage="1" sqref="I9" xr:uid="{1CA7AFF2-EBEA-4BE0-BADB-645AB346CABC}">
      <formula1>B3</formula1>
      <formula2>D3</formula2>
    </dataValidation>
    <dataValidation type="list" showInputMessage="1" showErrorMessage="1" sqref="A9" xr:uid="{FE1C4E0D-2F6C-482C-9073-AD83A343D7D3}">
      <formula1>Promotores_de_Coordinacion_Activos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7" r:id="rId4" name="Button 7">
              <controlPr defaultSize="0" print="0" autoFill="0" autoPict="0" macro="[0]!CreatePromotorTabs">
                <anchor moveWithCells="1">
                  <from>
                    <xdr:col>12</xdr:col>
                    <xdr:colOff>104775</xdr:colOff>
                    <xdr:row>0</xdr:row>
                    <xdr:rowOff>47625</xdr:rowOff>
                  </from>
                  <to>
                    <xdr:col>13</xdr:col>
                    <xdr:colOff>733425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5" name="Button 8">
              <controlPr defaultSize="0" print="0" autoFill="0" autoPict="0" macro="[0]!SumPagoNetoCoordinacion">
                <anchor moveWithCells="1">
                  <from>
                    <xdr:col>12</xdr:col>
                    <xdr:colOff>104775</xdr:colOff>
                    <xdr:row>5</xdr:row>
                    <xdr:rowOff>47625</xdr:rowOff>
                  </from>
                  <to>
                    <xdr:col>13</xdr:col>
                    <xdr:colOff>733425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50" id="{A96C4622-7921-4E82-92DE-710E97186F01}">
            <xm:f>COUNTIF('PEDRO MORA'!#REF!, $B9) &gt;1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8451E6-0AF1-470E-84DE-BA92C470A910}">
          <x14:formula1>
            <xm:f>Planteles!$A$4:$A$15</xm:f>
          </x14:formula1>
          <xm:sqref>J9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B33B3-8F13-4F5B-86F6-CF48FAC147A0}">
  <sheetPr codeName="Sheet7">
    <tabColor rgb="FF00B050"/>
    <pageSetUpPr fitToPage="1"/>
  </sheetPr>
  <dimension ref="A1:K23"/>
  <sheetViews>
    <sheetView workbookViewId="0">
      <selection activeCell="G17" sqref="G17"/>
    </sheetView>
  </sheetViews>
  <sheetFormatPr defaultColWidth="14.42578125" defaultRowHeight="15.75" x14ac:dyDescent="0.25"/>
  <cols>
    <col min="1" max="1" width="24.85546875" style="13" bestFit="1" customWidth="1"/>
    <col min="2" max="2" width="17.42578125" style="13" bestFit="1" customWidth="1"/>
    <col min="3" max="3" width="29.140625" style="13" bestFit="1" customWidth="1"/>
    <col min="4" max="4" width="16.42578125" style="13" bestFit="1" customWidth="1"/>
    <col min="5" max="5" width="14.140625" style="13" bestFit="1" customWidth="1"/>
    <col min="6" max="6" width="12.140625" style="13" bestFit="1" customWidth="1"/>
    <col min="7" max="7" width="12.5703125" style="13" bestFit="1" customWidth="1"/>
    <col min="8" max="8" width="12" style="13" bestFit="1" customWidth="1"/>
    <col min="9" max="9" width="29.42578125" style="13" bestFit="1" customWidth="1"/>
    <col min="10" max="10" width="17.7109375" style="13" bestFit="1" customWidth="1"/>
    <col min="11" max="11" width="21" style="13" customWidth="1"/>
    <col min="12" max="12" width="3.28515625" style="13" bestFit="1" customWidth="1"/>
    <col min="13" max="23" width="10.7109375" style="13" customWidth="1"/>
    <col min="24" max="16384" width="14.42578125" style="13"/>
  </cols>
  <sheetData>
    <row r="1" spans="1:11" ht="16.5" thickBot="1" x14ac:dyDescent="0.3">
      <c r="A1" s="32" t="s">
        <v>28</v>
      </c>
      <c r="B1" s="117"/>
      <c r="C1" s="117"/>
      <c r="D1" s="117"/>
      <c r="F1" s="43" t="s">
        <v>120</v>
      </c>
      <c r="G1" s="46" t="s">
        <v>7</v>
      </c>
      <c r="I1" s="31" t="s">
        <v>59</v>
      </c>
      <c r="J1" s="34">
        <f>Total_Registros_Gerente</f>
        <v>2</v>
      </c>
    </row>
    <row r="2" spans="1:11" ht="16.5" thickBot="1" x14ac:dyDescent="0.3">
      <c r="A2" s="43" t="s">
        <v>31</v>
      </c>
      <c r="B2" s="118"/>
      <c r="C2" s="118"/>
      <c r="D2" s="118"/>
    </row>
    <row r="3" spans="1:11" ht="16.5" thickBot="1" x14ac:dyDescent="0.3">
      <c r="A3" s="43" t="s">
        <v>29</v>
      </c>
      <c r="B3" s="44"/>
      <c r="C3" s="45" t="s">
        <v>30</v>
      </c>
      <c r="D3" s="46"/>
      <c r="F3" s="20"/>
      <c r="G3" s="21"/>
      <c r="I3" s="14"/>
    </row>
    <row r="4" spans="1:11" ht="16.5" thickBot="1" x14ac:dyDescent="0.3">
      <c r="A4" s="43" t="s">
        <v>17</v>
      </c>
      <c r="B4" s="48">
        <f>COUNTIFS(Tabla_Promotor[GRUPO], "&lt;&gt;",
          Tabla_Promotor[GRUPO], "&lt;&gt;503",
          Tabla_Promotor[GRUPO], "&lt;&gt;500")</f>
        <v>0</v>
      </c>
      <c r="C4" s="17"/>
      <c r="F4" s="18"/>
      <c r="G4" s="18"/>
      <c r="H4" s="17"/>
      <c r="K4" s="19"/>
    </row>
    <row r="5" spans="1:11" ht="16.5" thickBot="1" x14ac:dyDescent="0.3">
      <c r="A5" s="43" t="s">
        <v>32</v>
      </c>
      <c r="B5" s="47">
        <f>WEEKNUM(B3)</f>
        <v>0</v>
      </c>
      <c r="C5" s="17"/>
      <c r="E5" s="18"/>
      <c r="F5" s="18"/>
      <c r="G5" s="18"/>
      <c r="H5" s="17"/>
      <c r="K5" s="23"/>
    </row>
    <row r="6" spans="1:11" ht="16.5" thickBot="1" x14ac:dyDescent="0.3">
      <c r="A6" s="43" t="s">
        <v>27</v>
      </c>
      <c r="B6" s="46"/>
      <c r="C6" s="17"/>
      <c r="E6" s="18"/>
      <c r="F6" s="18"/>
      <c r="G6" s="18"/>
      <c r="H6" s="17"/>
      <c r="J6" s="23"/>
      <c r="K6" s="23"/>
    </row>
    <row r="8" spans="1:11" x14ac:dyDescent="0.25">
      <c r="A8" s="16" t="s">
        <v>7</v>
      </c>
      <c r="B8" s="16" t="s">
        <v>18</v>
      </c>
      <c r="C8" s="16" t="s">
        <v>19</v>
      </c>
      <c r="D8" s="28" t="s">
        <v>34</v>
      </c>
      <c r="E8" s="16" t="s">
        <v>33</v>
      </c>
      <c r="F8" s="16" t="s">
        <v>67</v>
      </c>
      <c r="G8" s="16" t="s">
        <v>20</v>
      </c>
      <c r="H8" s="28" t="s">
        <v>1</v>
      </c>
      <c r="I8" s="16" t="s">
        <v>68</v>
      </c>
      <c r="J8" s="16" t="s">
        <v>21</v>
      </c>
      <c r="K8" s="16" t="s">
        <v>22</v>
      </c>
    </row>
    <row r="9" spans="1:11" x14ac:dyDescent="0.25">
      <c r="A9" s="17"/>
      <c r="B9" s="18"/>
      <c r="C9" s="18"/>
      <c r="D9" s="51">
        <f>IF(
    OR(
        Tabla_Promotor[[#This Row],[GRUPO]] = "",
        Tabla_Promotor[[#This Row],[GRUPO]] = 500,
        COUNTIF(Tabla_Promotor[CREDENCIAL], Tabla_Promotor[[#This Row],[CREDENCIAL]]) &gt; 1,
        COUNTIF(Tabla_Gerente[CREDENCIAL], Tabla_Promotor[[#This Row],[CREDENCIAL]]) &gt; 1,
    ),
    0,
    IF(
        Tabla_Promotor[[#This Row],[GRUPO]] = 503,
        Tabla_Promotor[[#This Row],[PAGO]],
        IF(
            Tabla_Promotor[[#This Row],[PAGO]] &gt;= 299,
            Tabla_Promotor[[#This Row],[PAGO]] - 150,
            0
        )
    )
)</f>
        <v>0</v>
      </c>
      <c r="E9" s="18"/>
      <c r="F9" s="18"/>
      <c r="G9" s="42"/>
      <c r="H9" s="52">
        <f>IFERROR(VLOOKUP(Tabla_Promotor[[#This Row],[CREDENCIAL]], Tabla_Gerente[[CREDENCIAL]:[PAGO]], 7, FALSE), 0)</f>
        <v>0</v>
      </c>
      <c r="I9" s="58"/>
      <c r="J9" s="19"/>
      <c r="K9" s="19"/>
    </row>
    <row r="10" spans="1:11" x14ac:dyDescent="0.25">
      <c r="A10" s="25" t="s">
        <v>50</v>
      </c>
      <c r="B10" s="14"/>
      <c r="C10" s="15"/>
      <c r="D10" s="54">
        <f>SUBTOTAL(109,Tabla_Promotor[COMISION])</f>
        <v>0</v>
      </c>
      <c r="E10" s="14"/>
      <c r="F10" s="14"/>
      <c r="G10" s="27"/>
      <c r="H10" s="55"/>
      <c r="I10" s="14"/>
      <c r="J10" s="16"/>
      <c r="K10" s="16"/>
    </row>
    <row r="11" spans="1:11" x14ac:dyDescent="0.25">
      <c r="A11" s="25"/>
      <c r="B11" s="14"/>
      <c r="C11" s="15"/>
      <c r="D11" s="54"/>
      <c r="E11" s="14"/>
      <c r="F11" s="14"/>
      <c r="G11" s="27"/>
      <c r="H11" s="55"/>
      <c r="I11" s="14"/>
      <c r="J11" s="16"/>
      <c r="K11" s="16"/>
    </row>
    <row r="12" spans="1:11" x14ac:dyDescent="0.25">
      <c r="A12" s="25" t="s">
        <v>13</v>
      </c>
      <c r="D12" s="74">
        <f>_xlfn.IFNA(VLOOKUP(Nombre_Promotor,Sueldos_Base[],2,FALSE),0)</f>
        <v>0</v>
      </c>
      <c r="E12" s="16"/>
      <c r="F12" s="15"/>
      <c r="H12" s="15"/>
      <c r="J12" s="24"/>
    </row>
    <row r="13" spans="1:11" ht="16.5" thickBot="1" x14ac:dyDescent="0.3">
      <c r="A13" s="37" t="s">
        <v>45</v>
      </c>
      <c r="B13" s="38">
        <f>IF(Total_Registros_Promotor &lt; Premios!A5, 0,
   VLOOKUP(Total_Registros_Promotor, Premios_Promotor[], 1, TRUE))</f>
        <v>0</v>
      </c>
      <c r="C13" s="34"/>
      <c r="D13" s="36">
        <f>IF(Premio_Promotor &gt; 0,
   VLOOKUP(Premio_Promotor, Premios_Promotor[],
      VLOOKUP(Total_Registros_Gerente, Tabulador_Premio_Promotor_Total_Gerencia[], 2, TRUE),
   FALSE),
   0)</f>
        <v>0</v>
      </c>
      <c r="E13" s="16"/>
      <c r="F13" s="15"/>
      <c r="H13" s="15"/>
      <c r="J13" s="24"/>
    </row>
    <row r="14" spans="1:11" x14ac:dyDescent="0.25">
      <c r="A14" s="27" t="s">
        <v>46</v>
      </c>
      <c r="B14" s="18"/>
      <c r="D14" s="28">
        <f>Tabla_Promotor[[#Totals],[COMISION]] + Pago_Sueldo_Base_Promotor + Pago_Premio_Promotor</f>
        <v>0</v>
      </c>
      <c r="E14" s="16"/>
      <c r="F14" s="15"/>
      <c r="H14" s="15"/>
      <c r="J14" s="24"/>
    </row>
    <row r="15" spans="1:11" x14ac:dyDescent="0.25">
      <c r="A15" s="27" t="s">
        <v>124</v>
      </c>
      <c r="B15" s="18"/>
      <c r="C15" s="29"/>
      <c r="D15" s="39">
        <f>_xlfn.IFNA(SUMIFS(Descuentos[DESCUENTO], Descuentos[COLABORADOR], Nombre_Promotor, Descuentos[PUESTO], Puesto_Promotor), 0)</f>
        <v>0</v>
      </c>
      <c r="E15" s="16" t="s">
        <v>127</v>
      </c>
      <c r="F15" s="15"/>
      <c r="H15" s="15"/>
      <c r="I15" s="18"/>
      <c r="J15" s="22"/>
      <c r="K15" s="22"/>
    </row>
    <row r="16" spans="1:11" ht="16.5" thickBot="1" x14ac:dyDescent="0.3">
      <c r="A16" s="35"/>
      <c r="C16" s="29"/>
      <c r="D16" s="28"/>
      <c r="E16" s="16"/>
      <c r="F16" s="15"/>
    </row>
    <row r="17" spans="1:9" ht="16.5" thickBot="1" x14ac:dyDescent="0.3">
      <c r="A17" s="37" t="s">
        <v>49</v>
      </c>
      <c r="B17" s="34"/>
      <c r="C17" s="50"/>
      <c r="D17" s="30">
        <f>Pago_Subtotal_Promotor + Descuento_Promotor</f>
        <v>0</v>
      </c>
      <c r="E17" s="16"/>
      <c r="F17" s="15"/>
    </row>
    <row r="18" spans="1:9" x14ac:dyDescent="0.25">
      <c r="C18" s="29"/>
      <c r="D18" s="28"/>
      <c r="E18" s="26"/>
      <c r="F18" s="26"/>
    </row>
    <row r="19" spans="1:9" x14ac:dyDescent="0.25">
      <c r="C19" s="29"/>
      <c r="D19" s="28"/>
      <c r="E19" s="26"/>
      <c r="F19" s="26"/>
    </row>
    <row r="20" spans="1:9" ht="16.5" thickBot="1" x14ac:dyDescent="0.3">
      <c r="C20" s="37" t="s">
        <v>25</v>
      </c>
      <c r="D20" s="119" t="str" cm="1">
        <f t="array" ref="D20">NumeroATexto(Pago_Neto_Promotor)</f>
        <v>CERO PESOS 00/100</v>
      </c>
      <c r="E20" s="119"/>
      <c r="F20" s="119"/>
      <c r="G20" s="119"/>
      <c r="H20" s="119"/>
      <c r="I20" s="119"/>
    </row>
    <row r="21" spans="1:9" x14ac:dyDescent="0.25">
      <c r="C21" s="27"/>
      <c r="D21" s="26"/>
      <c r="E21" s="16"/>
      <c r="F21" s="15"/>
    </row>
    <row r="22" spans="1:9" x14ac:dyDescent="0.25">
      <c r="C22" s="29"/>
      <c r="D22" s="28"/>
    </row>
    <row r="23" spans="1:9" ht="16.5" thickBot="1" x14ac:dyDescent="0.3">
      <c r="C23" s="33" t="s">
        <v>26</v>
      </c>
      <c r="D23" s="120"/>
      <c r="E23" s="120"/>
      <c r="F23" s="120"/>
      <c r="G23" s="120"/>
      <c r="H23" s="120"/>
      <c r="I23" s="120"/>
    </row>
  </sheetData>
  <mergeCells count="4">
    <mergeCell ref="B1:D1"/>
    <mergeCell ref="B2:D2"/>
    <mergeCell ref="D20:I20"/>
    <mergeCell ref="D23:I23"/>
  </mergeCells>
  <phoneticPr fontId="6" type="noConversion"/>
  <conditionalFormatting sqref="D9">
    <cfRule type="expression" dxfId="44" priority="2">
      <formula>$G9=501</formula>
    </cfRule>
    <cfRule type="cellIs" dxfId="43" priority="6" operator="equal">
      <formula>0</formula>
    </cfRule>
  </conditionalFormatting>
  <conditionalFormatting sqref="G9">
    <cfRule type="cellIs" dxfId="42" priority="3" operator="equal">
      <formula>503</formula>
    </cfRule>
    <cfRule type="cellIs" dxfId="41" priority="5" operator="equal">
      <formula>501</formula>
    </cfRule>
  </conditionalFormatting>
  <conditionalFormatting sqref="B9">
    <cfRule type="duplicateValues" dxfId="40" priority="26"/>
  </conditionalFormatting>
  <dataValidations count="4">
    <dataValidation type="list" allowBlank="1" showInputMessage="1" showErrorMessage="1" sqref="B1" xr:uid="{322A9DA1-A27E-4B8C-A0A9-1D7D9C730628}">
      <formula1>Nombres_Promotores</formula1>
    </dataValidation>
    <dataValidation type="list" allowBlank="1" showInputMessage="1" showErrorMessage="1" sqref="E9" xr:uid="{CE75A24A-1C97-4075-AD01-9E3458A5D2F7}">
      <formula1>Nombres_Planteles</formula1>
    </dataValidation>
    <dataValidation type="custom" allowBlank="1" showInputMessage="1" showErrorMessage="1" sqref="G9" xr:uid="{FE5A613E-D7DA-432E-BB91-992FF7C3F51A}">
      <formula1>G9&lt;&gt;500</formula1>
    </dataValidation>
    <dataValidation type="date" allowBlank="1" showInputMessage="1" showErrorMessage="1" sqref="I9" xr:uid="{B41472E2-F336-4DFB-987A-D57541B2589C}">
      <formula1>B3</formula1>
      <formula2>D3</formula2>
    </dataValidation>
  </dataValidations>
  <pageMargins left="0.7" right="0.7" top="0.75" bottom="0.75" header="0.3" footer="0.3"/>
  <pageSetup scale="47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51" id="{686F8BA5-6706-45E7-A1E7-986D6339DEE9}">
            <xm:f>COUNTIF('PEDRO MORA'!#REF!, $B9) &gt; 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3E0698A-06B6-4332-9CB4-35D696D672A5}">
          <x14:formula1>
            <xm:f>Planteles!$A$4:$A$15</xm:f>
          </x14:formula1>
          <xm:sqref>J9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46ABE-343B-4409-BC3A-BF5870DEF2C8}">
  <sheetPr codeName="Sheet1">
    <tabColor rgb="FFFFC000"/>
  </sheetPr>
  <dimension ref="A1:S25"/>
  <sheetViews>
    <sheetView zoomScaleNormal="100" workbookViewId="0">
      <selection activeCell="A9" sqref="A9:L10"/>
    </sheetView>
  </sheetViews>
  <sheetFormatPr defaultColWidth="14.42578125" defaultRowHeight="15.75" x14ac:dyDescent="0.25"/>
  <cols>
    <col min="1" max="1" width="24.85546875" style="13" bestFit="1" customWidth="1"/>
    <col min="2" max="2" width="17.42578125" style="13" bestFit="1" customWidth="1"/>
    <col min="3" max="3" width="43.5703125" style="13" bestFit="1" customWidth="1"/>
    <col min="4" max="4" width="16.42578125" style="13" bestFit="1" customWidth="1"/>
    <col min="5" max="5" width="20.85546875" style="13" bestFit="1" customWidth="1"/>
    <col min="6" max="6" width="18.5703125" style="13" bestFit="1" customWidth="1"/>
    <col min="7" max="7" width="17.7109375" style="13" bestFit="1" customWidth="1"/>
    <col min="8" max="8" width="12" style="13" bestFit="1" customWidth="1"/>
    <col min="9" max="9" width="24.140625" style="13" bestFit="1" customWidth="1"/>
    <col min="10" max="10" width="22.5703125" style="13" bestFit="1" customWidth="1"/>
    <col min="11" max="11" width="20.85546875" style="13" bestFit="1" customWidth="1"/>
    <col min="12" max="12" width="21" style="13" bestFit="1" customWidth="1"/>
    <col min="13" max="13" width="3.28515625" style="13" bestFit="1" customWidth="1"/>
    <col min="14" max="15" width="12.5703125" style="13" customWidth="1"/>
    <col min="16" max="16" width="2.85546875" style="13" customWidth="1"/>
    <col min="17" max="17" width="25.7109375" style="13" customWidth="1"/>
    <col min="18" max="18" width="2.85546875" style="13" customWidth="1"/>
    <col min="19" max="19" width="25.7109375" style="13" customWidth="1"/>
    <col min="20" max="26" width="10.7109375" style="13" customWidth="1"/>
    <col min="27" max="16384" width="14.42578125" style="13"/>
  </cols>
  <sheetData>
    <row r="1" spans="1:19" ht="16.5" thickBot="1" x14ac:dyDescent="0.3">
      <c r="A1" s="32" t="s">
        <v>28</v>
      </c>
      <c r="B1" s="121" t="s">
        <v>134</v>
      </c>
      <c r="C1" s="121"/>
      <c r="D1" s="121"/>
      <c r="F1" s="43" t="s">
        <v>120</v>
      </c>
      <c r="G1" s="46" t="s">
        <v>121</v>
      </c>
      <c r="I1" s="88" t="s">
        <v>175</v>
      </c>
      <c r="J1" s="90">
        <f>Total_De_La_Gerencia/Total_Registros_Gerente</f>
        <v>22038</v>
      </c>
      <c r="N1" s="82"/>
      <c r="O1" s="82"/>
      <c r="Q1" s="80" t="s">
        <v>114</v>
      </c>
      <c r="S1" s="81" t="s">
        <v>0</v>
      </c>
    </row>
    <row r="2" spans="1:19" ht="16.5" thickBot="1" x14ac:dyDescent="0.3">
      <c r="A2" s="43" t="s">
        <v>31</v>
      </c>
      <c r="B2" s="122"/>
      <c r="C2" s="122"/>
      <c r="D2" s="122"/>
      <c r="N2" s="82"/>
      <c r="O2" s="82"/>
      <c r="Q2" s="13" t="str" cm="1">
        <f t="array" ref="Q2">IFERROR(INDEX(Alias_Coordinadores, SMALL(IF((Coordinadores[GERENCIA] = VLOOKUP(Nombre_Gerente, Gerentes[], 2, FALSE)) * (Alias_Coordinadores &lt;&gt; ""), ROW(Alias_Coordinadores)-MIN(ROW(Alias_Coordinadores))+1), ROWS($B$2:B2))), "")</f>
        <v>MARIANA PACHECO</v>
      </c>
      <c r="S2" s="13" t="str" cm="1">
        <f t="array" ref="S2">IFERROR(INDEX(Alias_Promotores, SMALL(IF((Promotores[GERENCIA] = VLOOKUP(Nombre_Gerente, Gerentes[], 2, FALSE)) * (Alias_Promotores &lt;&gt; ""), ROW(Alias_Promotores) - MIN(ROW(Alias_Promotores)) + 1), ROWS($B$2:B2))), "")</f>
        <v>DAMIAN BRAVO</v>
      </c>
    </row>
    <row r="3" spans="1:19" ht="16.5" thickBot="1" x14ac:dyDescent="0.3">
      <c r="A3" s="43" t="s">
        <v>29</v>
      </c>
      <c r="B3" s="44">
        <f>DATE(2025,1,1) + (Numero_de_semana-1)*7 - WEEKDAY(DATE(2025,1,1),2) + 4</f>
        <v>45736</v>
      </c>
      <c r="C3" s="45" t="s">
        <v>30</v>
      </c>
      <c r="D3" s="46">
        <f>DATE(2025,1,1) + (Numero_de_semana-1)*7 - WEEKDAY(DATE(2025,1,1),2) + 11</f>
        <v>45743</v>
      </c>
      <c r="F3" s="20"/>
      <c r="G3" s="21"/>
      <c r="N3" s="82"/>
      <c r="O3" s="82"/>
      <c r="Q3" s="13" t="str" cm="1">
        <f t="array" ref="Q3">IFERROR(INDEX(Alias_Coordinadores, SMALL(IF((Coordinadores[GERENCIA] = VLOOKUP(Nombre_Gerente, Gerentes[], 2, FALSE)) * (Alias_Coordinadores &lt;&gt; ""), ROW(Alias_Coordinadores)-MIN(ROW(Alias_Coordinadores))+1), ROWS($B$2:B3))), "")</f>
        <v>OLIVIA PACHECO</v>
      </c>
      <c r="S3" s="13" t="str" cm="1">
        <f t="array" ref="S3">IFERROR(INDEX(Alias_Promotores, SMALL(IF((Promotores[GERENCIA] = VLOOKUP(Nombre_Gerente, Gerentes[], 2, FALSE)) * (Alias_Promotores &lt;&gt; ""), ROW(Alias_Promotores) - MIN(ROW(Alias_Promotores)) + 1), ROWS($B$2:B3))), "")</f>
        <v>EFRAIN CORTES</v>
      </c>
    </row>
    <row r="4" spans="1:19" s="21" customFormat="1" ht="16.5" thickBot="1" x14ac:dyDescent="0.3">
      <c r="A4" s="110" t="s">
        <v>17</v>
      </c>
      <c r="B4" s="108" cm="1">
        <f t="array" ref="B4">COUNTIFS(
    Tabla_Gerente[GRUPO], "&lt;&gt;",
    Tabla_Gerente[GRUPO], "&lt;&gt;503",
    Tabla_Gerente[GRUPO], "&lt;&gt;500",
    Tabla_Gerente[PAGO], "&gt;=299"
)
-
SUM(
    IF(COUNTIF(Tabla_Gerente[CREDENCIAL], Tabla_Gerente[CREDENCIAL]) &gt; 1,
       1 / COUNTIF(Tabla_Gerente[CREDENCIAL], Tabla_Gerente[CREDENCIAL]),
       0
    )
)</f>
        <v>2</v>
      </c>
      <c r="C4" s="111"/>
      <c r="F4" s="112"/>
      <c r="G4" s="112"/>
      <c r="H4" s="111"/>
      <c r="I4" s="113" t="s">
        <v>16</v>
      </c>
      <c r="J4" s="114">
        <v>44076</v>
      </c>
      <c r="K4" s="115"/>
      <c r="N4" s="116"/>
      <c r="O4" s="116"/>
      <c r="Q4" s="21" t="str" cm="1">
        <f t="array" ref="Q4">IFERROR(INDEX(Alias_Coordinadores, SMALL(IF((Coordinadores[GERENCIA] = VLOOKUP(Nombre_Gerente, Gerentes[], 2, FALSE)) * (Alias_Coordinadores &lt;&gt; ""), ROW(Alias_Coordinadores)-MIN(ROW(Alias_Coordinadores))+1), ROWS($B$2:B4))), "")</f>
        <v>PEDRO MORA (C)</v>
      </c>
      <c r="S4" s="21" t="str" cm="1">
        <f t="array" ref="S4">IFERROR(INDEX(Alias_Promotores, SMALL(IF((Promotores[GERENCIA] = VLOOKUP(Nombre_Gerente, Gerentes[], 2, FALSE)) * (Alias_Promotores &lt;&gt; ""), ROW(Alias_Promotores) - MIN(ROW(Alias_Promotores)) + 1), ROWS($B$2:B4))), "")</f>
        <v>ENRIQUE OJEDA</v>
      </c>
    </row>
    <row r="5" spans="1:19" ht="16.5" thickBot="1" x14ac:dyDescent="0.3">
      <c r="A5" s="43" t="s">
        <v>32</v>
      </c>
      <c r="B5" s="89">
        <v>12</v>
      </c>
      <c r="C5" s="109"/>
      <c r="E5" s="18"/>
      <c r="F5" s="18" t="s">
        <v>127</v>
      </c>
      <c r="G5" s="18"/>
      <c r="H5" s="17"/>
      <c r="K5" s="23"/>
      <c r="Q5" s="13" t="str" cm="1">
        <f t="array" ref="Q5">IFERROR(INDEX(Alias_Coordinadores, SMALL(IF((Coordinadores[GERENCIA] = VLOOKUP(Nombre_Gerente, Gerentes[], 2, FALSE)) * (Alias_Coordinadores &lt;&gt; ""), ROW(Alias_Coordinadores)-MIN(ROW(Alias_Coordinadores))+1), ROWS($B$2:B5))), "")</f>
        <v/>
      </c>
      <c r="S5" s="13" t="str" cm="1">
        <f t="array" ref="S5">IFERROR(INDEX(Alias_Promotores, SMALL(IF((Promotores[GERENCIA] = VLOOKUP(Nombre_Gerente, Gerentes[], 2, FALSE)) * (Alias_Promotores &lt;&gt; ""), ROW(Alias_Promotores) - MIN(ROW(Alias_Promotores)) + 1), ROWS($B$2:B5))), "")</f>
        <v>EUNICE RAMOS</v>
      </c>
    </row>
    <row r="6" spans="1:19" ht="16.5" thickBot="1" x14ac:dyDescent="0.3">
      <c r="A6" s="43" t="s">
        <v>27</v>
      </c>
      <c r="B6" s="57">
        <v>45748</v>
      </c>
      <c r="C6" s="17"/>
      <c r="E6" s="18"/>
      <c r="F6" s="18"/>
      <c r="G6" s="18"/>
      <c r="H6" s="17"/>
      <c r="J6" s="23"/>
      <c r="K6" s="23"/>
      <c r="N6" s="84"/>
      <c r="O6" s="84"/>
      <c r="Q6" s="13" t="str" cm="1">
        <f t="array" ref="Q6">IFERROR(INDEX(Alias_Coordinadores, SMALL(IF((Coordinadores[GERENCIA] = VLOOKUP(Nombre_Gerente, Gerentes[], 2, FALSE)) * (Alias_Coordinadores &lt;&gt; ""), ROW(Alias_Coordinadores)-MIN(ROW(Alias_Coordinadores))+1), ROWS($B$2:B6))), "")</f>
        <v/>
      </c>
      <c r="S6" s="13" t="str" cm="1">
        <f t="array" ref="S6">IFERROR(INDEX(Alias_Promotores, SMALL(IF((Promotores[GERENCIA] = VLOOKUP(Nombre_Gerente, Gerentes[], 2, FALSE)) * (Alias_Promotores &lt;&gt; ""), ROW(Alias_Promotores) - MIN(ROW(Alias_Promotores)) + 1), ROWS($B$2:B6))), "")</f>
        <v>FATIMA HERNANDEZ</v>
      </c>
    </row>
    <row r="7" spans="1:19" x14ac:dyDescent="0.25">
      <c r="E7" s="13" t="s">
        <v>127</v>
      </c>
      <c r="N7" s="84"/>
      <c r="O7" s="84"/>
      <c r="Q7" s="13" t="str" cm="1">
        <f t="array" ref="Q7">IFERROR(INDEX(Alias_Coordinadores, SMALL(IF((Coordinadores[GERENCIA] = VLOOKUP(Nombre_Gerente, Gerentes[], 2, FALSE)) * (Alias_Coordinadores &lt;&gt; ""), ROW(Alias_Coordinadores)-MIN(ROW(Alias_Coordinadores))+1), ROWS($B$2:B7))), "")</f>
        <v/>
      </c>
      <c r="S7" s="13" t="str" cm="1">
        <f t="array" ref="S7">IFERROR(INDEX(Alias_Promotores, SMALL(IF((Promotores[GERENCIA] = VLOOKUP(Nombre_Gerente, Gerentes[], 2, FALSE)) * (Alias_Promotores &lt;&gt; ""), ROW(Alias_Promotores) - MIN(ROW(Alias_Promotores)) + 1), ROWS($B$2:B7))), "")</f>
        <v>HUGO PACHECO</v>
      </c>
    </row>
    <row r="8" spans="1:19" x14ac:dyDescent="0.25">
      <c r="A8" s="91" t="s">
        <v>6</v>
      </c>
      <c r="B8" s="92" t="s">
        <v>18</v>
      </c>
      <c r="C8" s="92" t="s">
        <v>113</v>
      </c>
      <c r="D8" s="93" t="s">
        <v>34</v>
      </c>
      <c r="E8" s="92" t="s">
        <v>33</v>
      </c>
      <c r="F8" s="92" t="s">
        <v>67</v>
      </c>
      <c r="G8" s="92" t="s">
        <v>20</v>
      </c>
      <c r="H8" s="93" t="s">
        <v>1</v>
      </c>
      <c r="I8" s="92" t="s">
        <v>68</v>
      </c>
      <c r="J8" s="92" t="s">
        <v>7</v>
      </c>
      <c r="K8" s="92" t="s">
        <v>21</v>
      </c>
      <c r="L8" s="92" t="s">
        <v>22</v>
      </c>
      <c r="N8" s="84"/>
      <c r="O8" s="84"/>
      <c r="Q8" s="13" t="str" cm="1">
        <f t="array" ref="Q8">IFERROR(INDEX(Alias_Coordinadores, SMALL(IF((Coordinadores[GERENCIA] = VLOOKUP(Nombre_Gerente, Gerentes[], 2, FALSE)) * (Alias_Coordinadores &lt;&gt; ""), ROW(Alias_Coordinadores)-MIN(ROW(Alias_Coordinadores))+1), ROWS($B$2:B8))), "")</f>
        <v/>
      </c>
      <c r="S8" s="13" t="str" cm="1">
        <f t="array" ref="S8">IFERROR(INDEX(Alias_Promotores, SMALL(IF((Promotores[GERENCIA] = VLOOKUP(Nombre_Gerente, Gerentes[], 2, FALSE)) * (Alias_Promotores &lt;&gt; ""), ROW(Alias_Promotores) - MIN(ROW(Alias_Promotores)) + 1), ROWS($B$2:B8))), "")</f>
        <v>LIZBETH RAMOS</v>
      </c>
    </row>
    <row r="9" spans="1:19" x14ac:dyDescent="0.25">
      <c r="A9" s="94" t="s">
        <v>139</v>
      </c>
      <c r="B9" s="95">
        <v>18590</v>
      </c>
      <c r="C9" s="96" t="s">
        <v>198</v>
      </c>
      <c r="D9" s="107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0</v>
      </c>
      <c r="E9" s="97" t="s">
        <v>47</v>
      </c>
      <c r="F9" s="97" t="s">
        <v>200</v>
      </c>
      <c r="G9" s="98">
        <v>9231</v>
      </c>
      <c r="H9" s="105">
        <v>399</v>
      </c>
      <c r="I9" s="106" t="s">
        <v>201</v>
      </c>
      <c r="J9" s="99" t="s">
        <v>152</v>
      </c>
      <c r="K9" s="91"/>
      <c r="L9" s="91"/>
      <c r="N9" s="84"/>
      <c r="O9" s="84"/>
      <c r="Q9" s="13" t="str" cm="1">
        <f t="array" ref="Q9">IFERROR(INDEX(Alias_Coordinadores, SMALL(IF((Coordinadores[GERENCIA] = VLOOKUP(Nombre_Gerente, Gerentes[], 2, FALSE)) * (Alias_Coordinadores &lt;&gt; ""), ROW(Alias_Coordinadores)-MIN(ROW(Alias_Coordinadores))+1), ROWS($B$2:B8))), "")</f>
        <v/>
      </c>
      <c r="S9" s="13" t="str" cm="1">
        <f t="array" ref="S9">IFERROR(INDEX(Alias_Promotores, SMALL(IF((Promotores[GERENCIA] = VLOOKUP(Nombre_Gerente, Gerentes[], 2, FALSE)) * (Alias_Promotores &lt;&gt; ""), ROW(Alias_Promotores) - MIN(ROW(Alias_Promotores)) + 1), ROWS($B$2:B8))), "")</f>
        <v>LIZBETH RAMOS</v>
      </c>
    </row>
    <row r="10" spans="1:19" x14ac:dyDescent="0.25">
      <c r="A10" s="94" t="s">
        <v>137</v>
      </c>
      <c r="B10" s="95">
        <v>18207</v>
      </c>
      <c r="C10" s="96" t="s">
        <v>199</v>
      </c>
      <c r="D10" s="107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0</v>
      </c>
      <c r="E10" s="97" t="s">
        <v>47</v>
      </c>
      <c r="F10" s="97" t="s">
        <v>200</v>
      </c>
      <c r="G10" s="98">
        <v>9208</v>
      </c>
      <c r="H10" s="105">
        <v>349</v>
      </c>
      <c r="I10" s="106" t="s">
        <v>202</v>
      </c>
      <c r="J10" s="99" t="s">
        <v>133</v>
      </c>
      <c r="K10" s="91"/>
      <c r="L10" s="91"/>
      <c r="Q10" s="13" t="str" cm="1">
        <f t="array" ref="Q10">IFERROR(INDEX(Alias_Coordinadores, SMALL(IF((Coordinadores[GERENCIA] = VLOOKUP(Nombre_Gerente, Gerentes[], 2, FALSE)) * (Alias_Coordinadores &lt;&gt; ""), ROW(Alias_Coordinadores)-MIN(ROW(Alias_Coordinadores))+1), ROWS($B$2:B8))), "")</f>
        <v/>
      </c>
      <c r="S10" s="13" t="str" cm="1">
        <f t="array" ref="S10">IFERROR(INDEX(Alias_Promotores, SMALL(IF((Promotores[GERENCIA] = VLOOKUP(Nombre_Gerente, Gerentes[], 2, FALSE)) * (Alias_Promotores &lt;&gt; ""), ROW(Alias_Promotores) - MIN(ROW(Alias_Promotores)) + 1), ROWS($B$2:B9))), "")</f>
        <v>MARIANA PACHECO (P)</v>
      </c>
    </row>
    <row r="11" spans="1:19" x14ac:dyDescent="0.25">
      <c r="A11" s="100" t="s">
        <v>50</v>
      </c>
      <c r="B11" s="101"/>
      <c r="C11" s="102"/>
      <c r="D11" s="103">
        <f>SUBTOTAL(109,Tabla_Gerente[COMISION])</f>
        <v>0</v>
      </c>
      <c r="E11" s="101"/>
      <c r="F11" s="101"/>
      <c r="G11" s="101"/>
      <c r="H11" s="104"/>
      <c r="I11" s="101"/>
      <c r="J11" s="101"/>
      <c r="K11" s="92"/>
      <c r="L11" s="92"/>
      <c r="Q11" s="13" t="str" cm="1">
        <f t="array" ref="Q11">IFERROR(INDEX(Alias_Coordinadores, SMALL(IF((Coordinadores[GERENCIA] = VLOOKUP(Nombre_Gerente, Gerentes[], 2, FALSE)) * (Alias_Coordinadores &lt;&gt; ""), ROW(Alias_Coordinadores)-MIN(ROW(Alias_Coordinadores))+1), ROWS($B$2:B8))), "")</f>
        <v/>
      </c>
      <c r="S11" s="13" t="str" cm="1">
        <f t="array" ref="S11">IFERROR(INDEX(Alias_Promotores, SMALL(IF((Promotores[GERENCIA] = VLOOKUP(Nombre_Gerente, Gerentes[], 2, FALSE)) * (Alias_Promotores &lt;&gt; ""), ROW(Alias_Promotores) - MIN(ROW(Alias_Promotores)) + 1), ROWS($B$2:B11))), "")</f>
        <v>OLIVIA PACHECO (P)</v>
      </c>
    </row>
    <row r="12" spans="1:19" x14ac:dyDescent="0.25">
      <c r="A12" s="25" t="s">
        <v>13</v>
      </c>
      <c r="D12" s="39">
        <f>Sueldo_Base_Gerente</f>
        <v>1000</v>
      </c>
      <c r="E12" s="16"/>
      <c r="F12" s="15"/>
      <c r="H12" s="15"/>
      <c r="J12" s="24"/>
      <c r="Q12" s="13" t="str" cm="1">
        <f t="array" ref="Q12">IFERROR(INDEX(Alias_Coordinadores, SMALL(IF((Coordinadores[GERENCIA] = VLOOKUP(Nombre_Gerente, Gerentes[], 2, FALSE)) * (Alias_Coordinadores &lt;&gt; ""), ROW(Alias_Coordinadores)-MIN(ROW(Alias_Coordinadores))+1), ROWS($B$2:B8))), "")</f>
        <v/>
      </c>
      <c r="S12" s="13" t="str" cm="1">
        <f t="array" ref="S12">IFERROR(INDEX(Alias_Promotores, SMALL(IF((Promotores[GERENCIA] = VLOOKUP(Nombre_Gerente, Gerentes[], 2, FALSE)) * (Alias_Promotores &lt;&gt; ""), ROW(Alias_Promotores) - MIN(ROW(Alias_Promotores)) + 1), ROWS($B$2:B12))), "")</f>
        <v>PEDRO MORA (P)</v>
      </c>
    </row>
    <row r="13" spans="1:19" ht="16.5" thickBot="1" x14ac:dyDescent="0.3">
      <c r="A13" s="33" t="s">
        <v>45</v>
      </c>
      <c r="B13" s="38">
        <f>IF(Total_Registros_Gerente &gt;= Premios!K5,
    VLOOKUP(Total_Registros_Gerente, Premios_Gerente[], 1, TRUE),
    0
)</f>
        <v>0</v>
      </c>
      <c r="C13" s="34"/>
      <c r="D13" s="85">
        <f>IF(Premio_Gerente &gt; 0, VLOOKUP(Premio_Gerente, Premios_Gerente[], 2, FALSE), 0)</f>
        <v>0</v>
      </c>
      <c r="E13" s="16"/>
      <c r="F13" s="15"/>
      <c r="H13" s="15"/>
      <c r="J13" s="24"/>
      <c r="Q13" s="13" t="str" cm="1">
        <f t="array" ref="Q13">IFERROR(INDEX(Alias_Coordinadores, SMALL(IF((Coordinadores[GERENCIA] = VLOOKUP(Nombre_Gerente, Gerentes[], 2, FALSE)) * (Alias_Coordinadores &lt;&gt; ""), ROW(Alias_Coordinadores)-MIN(ROW(Alias_Coordinadores))+1), ROWS($B$2:B8))), "")</f>
        <v/>
      </c>
      <c r="S13" s="13" t="str" cm="1">
        <f t="array" ref="S13">IFERROR(INDEX(Alias_Promotores, SMALL(IF((Promotores[GERENCIA] = VLOOKUP(Nombre_Gerente, Gerentes[], 2, FALSE)) * (Alias_Promotores &lt;&gt; ""), ROW(Alias_Promotores) - MIN(ROW(Alias_Promotores)) + 1), ROWS($B$2:B13))), "")</f>
        <v/>
      </c>
    </row>
    <row r="14" spans="1:19" x14ac:dyDescent="0.25">
      <c r="A14" s="25" t="s">
        <v>46</v>
      </c>
      <c r="B14" s="18"/>
      <c r="D14" s="40">
        <f>Tabla_Gerente[[#Totals],[COMISION]] + Pago_Sueldo_Base_Gerente + Pago_Premio_Gerente</f>
        <v>1000</v>
      </c>
      <c r="E14" s="16"/>
      <c r="F14" s="15"/>
      <c r="H14" s="15"/>
      <c r="J14" s="24"/>
      <c r="Q14" s="13" t="str" cm="1">
        <f t="array" ref="Q14">IFERROR(INDEX(Alias_Coordinadores, SMALL(IF((Coordinadores[GERENCIA] = VLOOKUP(Nombre_Gerente, Gerentes[], 2, FALSE)) * (Alias_Coordinadores &lt;&gt; ""), ROW(Alias_Coordinadores)-MIN(ROW(Alias_Coordinadores))+1), ROWS($B$2:B8))), "")</f>
        <v/>
      </c>
      <c r="S14" s="13" t="str" cm="1">
        <f t="array" ref="S14">IFERROR(INDEX(Alias_Promotores, SMALL(IF((Promotores[GERENCIA] = VLOOKUP(Nombre_Gerente, Gerentes[], 2, FALSE)) * (Alias_Promotores &lt;&gt; ""), ROW(Alias_Promotores) - MIN(ROW(Alias_Promotores)) + 1), ROWS($B$2:B14))), "")</f>
        <v/>
      </c>
    </row>
    <row r="15" spans="1:19" x14ac:dyDescent="0.25">
      <c r="A15" s="27" t="s">
        <v>124</v>
      </c>
      <c r="B15" s="18"/>
      <c r="C15" s="29"/>
      <c r="D15" s="39">
        <f>_xlfn.IFNA(SUMIFS(Descuentos[DESCUENTO], Descuentos[COLABORADOR], Nombre_Gerente, Descuentos[PUESTO], Puesto_Gerente), 0)</f>
        <v>0</v>
      </c>
      <c r="E15" s="16"/>
      <c r="F15" s="15"/>
      <c r="H15" s="15"/>
      <c r="I15" s="18"/>
      <c r="K15" s="22"/>
      <c r="Q15" s="13" t="str" cm="1">
        <f t="array" ref="Q15">IFERROR(INDEX(Alias_Coordinadores, SMALL(IF((Coordinadores[GERENCIA] = VLOOKUP(Nombre_Gerente, Gerentes[], 2, FALSE)) * (Alias_Coordinadores &lt;&gt; ""), ROW(Alias_Coordinadores)-MIN(ROW(Alias_Coordinadores))+1), ROWS($B$2:B8))), "")</f>
        <v/>
      </c>
      <c r="S15" s="13" t="str" cm="1">
        <f t="array" ref="S15">IFERROR(INDEX(Alias_Promotores, SMALL(IF((Promotores[GERENCIA] = VLOOKUP(Nombre_Gerente, Gerentes[], 2, FALSE)) * (Alias_Promotores &lt;&gt; ""), ROW(Alias_Promotores) - MIN(ROW(Alias_Promotores)) + 1), ROWS($B$2:B15))), "")</f>
        <v/>
      </c>
    </row>
    <row r="16" spans="1:19" ht="16.5" thickBot="1" x14ac:dyDescent="0.3">
      <c r="A16" s="33" t="s">
        <v>24</v>
      </c>
      <c r="B16" s="34"/>
      <c r="C16" s="34"/>
      <c r="D16" s="86">
        <f>(Pago_Subtotal_Gerente * 0.05) * -1</f>
        <v>-50</v>
      </c>
      <c r="E16" s="16"/>
      <c r="F16" s="15"/>
      <c r="H16" s="15"/>
      <c r="Q16" s="13" t="str" cm="1">
        <f t="array" ref="Q16">IFERROR(INDEX(Alias_Coordinadores, SMALL(IF((Coordinadores[GERENCIA] = VLOOKUP(Nombre_Gerente, Gerentes[], 2, FALSE)) * (Alias_Coordinadores &lt;&gt; ""), ROW(Alias_Coordinadores)-MIN(ROW(Alias_Coordinadores))+1), ROWS($B$2:B8))), "")</f>
        <v/>
      </c>
      <c r="S16" s="13" t="str" cm="1">
        <f t="array" ref="S16">IFERROR(INDEX(Alias_Promotores, SMALL(IF((Promotores[GERENCIA] = VLOOKUP(Nombre_Gerente, Gerentes[], 2, FALSE)) * (Alias_Promotores &lt;&gt; ""), ROW(Alias_Promotores) - MIN(ROW(Alias_Promotores)) + 1), ROWS($B$2:B16))), "")</f>
        <v/>
      </c>
    </row>
    <row r="17" spans="1:19" ht="16.5" thickBot="1" x14ac:dyDescent="0.3">
      <c r="A17" s="35"/>
      <c r="C17" s="29"/>
      <c r="D17" s="28"/>
      <c r="E17" s="16"/>
      <c r="F17" s="15"/>
      <c r="Q17" s="13" t="str" cm="1">
        <f t="array" ref="Q17">IFERROR(INDEX(Alias_Coordinadores, SMALL(IF((Coordinadores[GERENCIA] = VLOOKUP(Nombre_Gerente, Gerentes[], 2, FALSE)) * (Alias_Coordinadores &lt;&gt; ""), ROW(Alias_Coordinadores)-MIN(ROW(Alias_Coordinadores))+1), ROWS($B$2:B8))), "")</f>
        <v/>
      </c>
      <c r="S17" s="13" t="str" cm="1">
        <f t="array" ref="S17">IFERROR(INDEX(Alias_Promotores, SMALL(IF((Promotores[GERENCIA] = VLOOKUP(Nombre_Gerente, Gerentes[], 2, FALSE)) * (Alias_Promotores &lt;&gt; ""), ROW(Alias_Promotores) - MIN(ROW(Alias_Promotores)) + 1), ROWS($B$2:B17))), "")</f>
        <v/>
      </c>
    </row>
    <row r="18" spans="1:19" ht="16.5" thickBot="1" x14ac:dyDescent="0.3">
      <c r="A18" s="33" t="s">
        <v>49</v>
      </c>
      <c r="B18" s="34"/>
      <c r="C18" s="50"/>
      <c r="D18" s="87">
        <f>Pago_Subtotal_Gerente + Descuento_Gerente + Deduccion_Gerente</f>
        <v>950</v>
      </c>
      <c r="E18" s="16"/>
      <c r="F18" s="15"/>
      <c r="Q18" s="13" t="str" cm="1">
        <f t="array" ref="Q18">IFERROR(INDEX(Alias_Coordinadores, SMALL(IF((Coordinadores[GERENCIA] = VLOOKUP(Nombre_Gerente, Gerentes[], 2, FALSE)) * (Alias_Coordinadores &lt;&gt; ""), ROW(Alias_Coordinadores)-MIN(ROW(Alias_Coordinadores))+1), ROWS($B$2:B8))), "")</f>
        <v/>
      </c>
      <c r="S18" s="13" t="str" cm="1">
        <f t="array" ref="S18">IFERROR(INDEX(Alias_Promotores, SMALL(IF((Promotores[GERENCIA] = VLOOKUP(Nombre_Gerente, Gerentes[], 2, FALSE)) * (Alias_Promotores &lt;&gt; ""), ROW(Alias_Promotores) - MIN(ROW(Alias_Promotores)) + 1), ROWS($B$2:B18))), "")</f>
        <v/>
      </c>
    </row>
    <row r="19" spans="1:19" x14ac:dyDescent="0.25">
      <c r="A19" s="25"/>
      <c r="C19" s="59"/>
      <c r="D19" s="16"/>
      <c r="E19" s="16"/>
      <c r="F19" s="15"/>
      <c r="Q19" s="13" t="str" cm="1">
        <f t="array" ref="Q19">IFERROR(INDEX(Alias_Coordinadores, SMALL(IF((Coordinadores[GERENCIA] = VLOOKUP(Nombre_Gerente, Gerentes[], 2, FALSE)) * (Alias_Coordinadores &lt;&gt; ""), ROW(Alias_Coordinadores)-MIN(ROW(Alias_Coordinadores))+1), ROWS($B$2:B8))), "")</f>
        <v/>
      </c>
      <c r="S19" s="13" t="str" cm="1">
        <f t="array" ref="S19">IFERROR(INDEX(Alias_Promotores, SMALL(IF((Promotores[GERENCIA] = VLOOKUP(Nombre_Gerente, Gerentes[], 2, FALSE)) * (Alias_Promotores &lt;&gt; ""), ROW(Alias_Promotores) - MIN(ROW(Alias_Promotores)) + 1), ROWS($B$2:B19))), "")</f>
        <v/>
      </c>
    </row>
    <row r="20" spans="1:19" x14ac:dyDescent="0.25">
      <c r="C20" s="29"/>
      <c r="D20" s="28"/>
      <c r="E20" s="26"/>
      <c r="F20" s="26"/>
      <c r="Q20" s="13" t="str" cm="1">
        <f t="array" ref="Q20">IFERROR(INDEX(Alias_Coordinadores, SMALL(IF((Coordinadores[GERENCIA] = VLOOKUP(Nombre_Gerente, Gerentes[], 2, FALSE)) * (Alias_Coordinadores &lt;&gt; ""), ROW(Alias_Coordinadores)-MIN(ROW(Alias_Coordinadores))+1), ROWS($B$2:B8))), "")</f>
        <v/>
      </c>
      <c r="S20" s="13" t="str" cm="1">
        <f t="array" ref="S20">IFERROR(INDEX(Alias_Promotores, SMALL(IF((Promotores[GERENCIA] = VLOOKUP(Nombre_Gerente, Gerentes[], 2, FALSE)) * (Alias_Promotores &lt;&gt; ""), ROW(Alias_Promotores) - MIN(ROW(Alias_Promotores)) + 1), ROWS($B$2:B20))), "")</f>
        <v/>
      </c>
    </row>
    <row r="21" spans="1:19" ht="16.5" thickBot="1" x14ac:dyDescent="0.3">
      <c r="C21" s="37" t="s">
        <v>25</v>
      </c>
      <c r="D21" s="119" t="str" cm="1">
        <f t="array" ref="D21">NumeroATexto(Pago_Neto_Gerente)</f>
        <v>NOVECIENTOS CINCUENTA PESOS 00/100</v>
      </c>
      <c r="E21" s="119"/>
      <c r="F21" s="119"/>
      <c r="G21" s="119"/>
      <c r="H21" s="119"/>
      <c r="I21" s="119"/>
      <c r="Q21" s="13" t="str" cm="1">
        <f t="array" ref="Q21">IFERROR(INDEX(Alias_Coordinadores, SMALL(IF((Coordinadores[GERENCIA] = VLOOKUP(Nombre_Gerente, Gerentes[], 2, FALSE)) * (Alias_Coordinadores &lt;&gt; ""), ROW(Alias_Coordinadores)-MIN(ROW(Alias_Coordinadores))+1), ROWS($B$2:B8))), "")</f>
        <v/>
      </c>
      <c r="S21" s="13" t="str" cm="1">
        <f t="array" ref="S21">IFERROR(INDEX(Alias_Promotores, SMALL(IF((Promotores[GERENCIA] = VLOOKUP(Nombre_Gerente, Gerentes[], 2, FALSE)) * (Alias_Promotores &lt;&gt; ""), ROW(Alias_Promotores) - MIN(ROW(Alias_Promotores)) + 1), ROWS($B$2:B21))), "")</f>
        <v/>
      </c>
    </row>
    <row r="22" spans="1:19" x14ac:dyDescent="0.25">
      <c r="C22" s="27"/>
      <c r="D22" s="26"/>
      <c r="E22" s="16"/>
      <c r="F22" s="15"/>
    </row>
    <row r="23" spans="1:19" x14ac:dyDescent="0.25">
      <c r="C23" s="29"/>
      <c r="D23" s="28"/>
    </row>
    <row r="24" spans="1:19" ht="16.5" thickBot="1" x14ac:dyDescent="0.3">
      <c r="C24" s="33" t="s">
        <v>26</v>
      </c>
      <c r="D24" s="120"/>
      <c r="E24" s="120"/>
      <c r="F24" s="120"/>
      <c r="G24" s="120"/>
      <c r="H24" s="120"/>
      <c r="I24" s="120"/>
    </row>
    <row r="25" spans="1:19" x14ac:dyDescent="0.25">
      <c r="Q25" s="13" t="str" cm="1">
        <f t="array" ref="Q25">IFERROR(INDEX(Alias_Coordinadores, SMALL(IF((Coordinadores[GERENCIA] = VLOOKUP(Nombre_Gerente, Gerentes[], 2, FALSE)) * (Alias_Coordinadores &lt;&gt; ""), ROW(Alias_Coordinadores)-MIN(ROW(Alias_Coordinadores))+1), ROWS($B$2:B8))), "")</f>
        <v/>
      </c>
    </row>
  </sheetData>
  <sheetProtection formatCells="0" formatColumns="0" formatRows="0" insertColumns="0" insertRows="0" insertHyperlinks="0" deleteColumns="0" deleteRows="0" sort="0" autoFilter="0"/>
  <mergeCells count="4">
    <mergeCell ref="B1:D1"/>
    <mergeCell ref="B2:D2"/>
    <mergeCell ref="D21:I21"/>
    <mergeCell ref="D24:I24"/>
  </mergeCells>
  <phoneticPr fontId="6" type="noConversion"/>
  <conditionalFormatting sqref="D9:D10">
    <cfRule type="cellIs" dxfId="38" priority="10" operator="equal">
      <formula>0</formula>
    </cfRule>
  </conditionalFormatting>
  <conditionalFormatting sqref="G9:G10">
    <cfRule type="cellIs" dxfId="37" priority="1" operator="equal">
      <formula>505</formula>
    </cfRule>
    <cfRule type="cellIs" dxfId="36" priority="4" operator="equal">
      <formula>501</formula>
    </cfRule>
    <cfRule type="containsBlanks" dxfId="35" priority="19">
      <formula>LEN(TRIM(G9))=0</formula>
    </cfRule>
  </conditionalFormatting>
  <conditionalFormatting sqref="A9:L10">
    <cfRule type="expression" dxfId="34" priority="2">
      <formula>$G9 = 503</formula>
    </cfRule>
  </conditionalFormatting>
  <conditionalFormatting sqref="B9:B10">
    <cfRule type="duplicateValues" dxfId="33" priority="532"/>
  </conditionalFormatting>
  <dataValidations count="7">
    <dataValidation type="date" operator="greaterThan" allowBlank="1" showInputMessage="1" showErrorMessage="1" sqref="B6" xr:uid="{3162D6EA-AE1C-41CB-B4D5-123F2C68F242}">
      <formula1>B3</formula1>
    </dataValidation>
    <dataValidation type="list" showInputMessage="1" showErrorMessage="1" sqref="B1:D1" xr:uid="{80C133E6-181F-4CA9-A954-9E81F4E124CF}">
      <formula1>Nombres_Gerentes</formula1>
    </dataValidation>
    <dataValidation type="list" showInputMessage="1" showErrorMessage="1" sqref="A9:A10" xr:uid="{B11C5B97-822A-4ACE-8B21-BF74863453FD}">
      <formula1>Coordinadores_Activos</formula1>
    </dataValidation>
    <dataValidation type="list" showInputMessage="1" showErrorMessage="1" sqref="E9:E10" xr:uid="{2077F9E4-A8C1-432D-9C47-2CA7B799A19A}">
      <formula1>Nombres_Planteles</formula1>
    </dataValidation>
    <dataValidation type="custom" allowBlank="1" showInputMessage="1" showErrorMessage="1" sqref="G9:G10" xr:uid="{8FB231F2-0366-4A1F-88BC-7081A2D30338}">
      <formula1>G9&lt;&gt;500</formula1>
    </dataValidation>
    <dataValidation type="list" showInputMessage="1" showErrorMessage="1" sqref="J9:J10" xr:uid="{D1E7D980-1B2C-4E70-B725-CD0172F3ACB6}">
      <formula1>Promotores_Activos</formula1>
    </dataValidation>
    <dataValidation type="date" allowBlank="1" showInputMessage="1" showErrorMessage="1" sqref="I9:I10" xr:uid="{DE9432D2-4250-4043-BF09-441879C5BAAD}">
      <formula1>#REF!</formula1>
      <formula2>#REF!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reateCoordinatorTabs">
                <anchor moveWithCells="1">
                  <from>
                    <xdr:col>13</xdr:col>
                    <xdr:colOff>114300</xdr:colOff>
                    <xdr:row>0</xdr:row>
                    <xdr:rowOff>57150</xdr:rowOff>
                  </from>
                  <to>
                    <xdr:col>14</xdr:col>
                    <xdr:colOff>742950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SumPagoNetoGerencia">
                <anchor moveWithCells="1">
                  <from>
                    <xdr:col>13</xdr:col>
                    <xdr:colOff>104775</xdr:colOff>
                    <xdr:row>5</xdr:row>
                    <xdr:rowOff>47625</xdr:rowOff>
                  </from>
                  <to>
                    <xdr:col>14</xdr:col>
                    <xdr:colOff>733425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9FF1065-F168-4E77-8C83-C9A97067E64A}">
          <x14:formula1>
            <xm:f>Planteles!$A$4:$A$15</xm:f>
          </x14:formula1>
          <xm:sqref>K9:K10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DC96C-A865-4BDC-A950-1B64DAB2F611}">
  <sheetPr codeName="Sheet8">
    <tabColor rgb="FF0070C0"/>
  </sheetPr>
  <dimension ref="A1:P29"/>
  <sheetViews>
    <sheetView workbookViewId="0">
      <selection activeCell="D9" sqref="D9"/>
    </sheetView>
  </sheetViews>
  <sheetFormatPr defaultColWidth="14.42578125" defaultRowHeight="15.75" x14ac:dyDescent="0.25"/>
  <cols>
    <col min="1" max="1" width="24.85546875" style="13" bestFit="1" customWidth="1"/>
    <col min="2" max="2" width="17.42578125" style="13" bestFit="1" customWidth="1"/>
    <col min="3" max="3" width="31.28515625" style="13" bestFit="1" customWidth="1"/>
    <col min="4" max="4" width="16.42578125" style="13" bestFit="1" customWidth="1"/>
    <col min="5" max="5" width="14.140625" style="13" bestFit="1" customWidth="1"/>
    <col min="6" max="6" width="12.140625" style="13" bestFit="1" customWidth="1"/>
    <col min="7" max="7" width="15.85546875" style="13" bestFit="1" customWidth="1"/>
    <col min="8" max="8" width="12" style="13" bestFit="1" customWidth="1"/>
    <col min="9" max="9" width="30.140625" style="19" bestFit="1" customWidth="1"/>
    <col min="10" max="10" width="17.7109375" style="13" bestFit="1" customWidth="1"/>
    <col min="11" max="11" width="21" style="13" bestFit="1" customWidth="1"/>
    <col min="12" max="12" width="3.28515625" style="13" bestFit="1" customWidth="1"/>
    <col min="13" max="14" width="12.5703125" style="13" customWidth="1"/>
    <col min="15" max="15" width="3.28515625" style="13" bestFit="1" customWidth="1"/>
    <col min="16" max="16" width="15.140625" style="13" bestFit="1" customWidth="1"/>
    <col min="17" max="23" width="10.7109375" style="13" customWidth="1"/>
    <col min="24" max="16384" width="14.42578125" style="13"/>
  </cols>
  <sheetData>
    <row r="1" spans="1:16" ht="16.5" thickBot="1" x14ac:dyDescent="0.3">
      <c r="A1" s="32" t="s">
        <v>28</v>
      </c>
      <c r="B1" s="117" t="s">
        <v>138</v>
      </c>
      <c r="C1" s="117"/>
      <c r="D1" s="117"/>
      <c r="F1" s="43" t="s">
        <v>120</v>
      </c>
      <c r="G1" s="46" t="s">
        <v>6</v>
      </c>
      <c r="I1" s="31" t="s">
        <v>59</v>
      </c>
      <c r="J1" s="34">
        <f>Total_Registros_Gerente</f>
        <v>2</v>
      </c>
      <c r="M1" s="83"/>
      <c r="N1" s="83"/>
      <c r="P1" s="81" t="s">
        <v>0</v>
      </c>
    </row>
    <row r="2" spans="1:16" ht="16.5" thickBot="1" x14ac:dyDescent="0.3">
      <c r="A2" s="43" t="s">
        <v>31</v>
      </c>
      <c r="B2" s="118"/>
      <c r="C2" s="118"/>
      <c r="D2" s="118"/>
      <c r="M2" s="83"/>
      <c r="N2" s="83"/>
      <c r="P2" s="13" t="str" cm="1">
        <f t="array" ref="P2">IFERROR(INDEX(Alias_Promotores, SMALL(IF((Promotores[COORDINACION] = VLOOKUP(Nombre_Coordinador, Coordinadores[], 2, FALSE)) * (Alias_Promotores &lt;&gt; ""), ROW(Alias_Promotores) - MIN(ROW(Alias_Promotores)) + 1), ROWS($B$2:B2))), "")</f>
        <v>EUNICE RAMOS</v>
      </c>
    </row>
    <row r="3" spans="1:16" ht="16.5" thickBot="1" x14ac:dyDescent="0.3">
      <c r="A3" s="43" t="s">
        <v>29</v>
      </c>
      <c r="B3" s="56">
        <v>45736</v>
      </c>
      <c r="C3" s="45" t="s">
        <v>30</v>
      </c>
      <c r="D3" s="57">
        <v>45743</v>
      </c>
      <c r="F3" s="20"/>
      <c r="G3" s="21"/>
      <c r="I3" s="16"/>
      <c r="M3" s="83"/>
      <c r="N3" s="83"/>
      <c r="P3" s="13" t="str" cm="1">
        <f t="array" ref="P3">IFERROR(INDEX(Alias_Promotores, SMALL(IF((Promotores[COORDINACION] = VLOOKUP(Nombre_Coordinador, Coordinadores[], 2, FALSE)) * (Alias_Promotores &lt;&gt; ""), ROW(Alias_Promotores) - MIN(ROW(Alias_Promotores)) + 1), ROWS($B$2:B3))), "")</f>
        <v>FATIMA HERNANDEZ</v>
      </c>
    </row>
    <row r="4" spans="1:16" ht="16.5" thickBot="1" x14ac:dyDescent="0.3">
      <c r="A4" s="43" t="s">
        <v>17</v>
      </c>
      <c r="B4" s="108" cm="1">
        <f t="array" ref="B4">IF(COUNTA(Tabla_Coordinador17[GRUPO]) = 0, 0,
   COUNTIFS(Tabla_Coordinador17[GRUPO], "&lt;&gt;",
            Tabla_Coordinador17[GRUPO], "&lt;&gt;503",
            Tabla_Coordinador17[GRUPO], "&lt;&gt;500",
            Tabla_Coordinador17[PAGO], "&gt;=299")
   - SUMPRODUCT(COUNTIF(Tabla_Gerente[CREDENCIAL], Tabla_Coordinador17[CREDENCIAL]) - 1))</f>
        <v>1</v>
      </c>
      <c r="C4" s="17"/>
      <c r="F4" s="18"/>
      <c r="G4" s="18"/>
      <c r="H4" s="17"/>
      <c r="I4" s="31" t="s">
        <v>48</v>
      </c>
      <c r="J4" s="79">
        <v>0</v>
      </c>
      <c r="K4" s="19"/>
      <c r="M4" s="83"/>
      <c r="N4" s="83"/>
      <c r="P4" s="13" t="str" cm="1">
        <f t="array" ref="P4">IFERROR(INDEX(Alias_Promotores, SMALL(IF((Promotores[COORDINACION] = VLOOKUP(Nombre_Coordinador, Coordinadores[], 2, FALSE)) * (Alias_Promotores &lt;&gt; ""), ROW(Alias_Promotores) - MIN(ROW(Alias_Promotores)) + 1), ROWS($B$2:B4))), "")</f>
        <v>LIZBETH RAMOS</v>
      </c>
    </row>
    <row r="5" spans="1:16" ht="16.5" thickBot="1" x14ac:dyDescent="0.3">
      <c r="A5" s="43" t="s">
        <v>32</v>
      </c>
      <c r="B5" s="47">
        <f>WEEKNUM(B3)</f>
        <v>12</v>
      </c>
      <c r="C5" s="17"/>
      <c r="E5" s="18"/>
      <c r="F5" s="18"/>
      <c r="G5" s="18"/>
      <c r="H5" s="17"/>
      <c r="J5" s="23"/>
      <c r="K5" s="23"/>
      <c r="P5" s="13" t="str" cm="1">
        <f t="array" ref="P5">IFERROR(INDEX(Alias_Promotores, SMALL(IF((Promotores[COORDINACION] = VLOOKUP(Nombre_Coordinador, Coordinadores[], 2, FALSE)) * (Alias_Promotores &lt;&gt; ""), ROW(Alias_Promotores) - MIN(ROW(Alias_Promotores)) + 1), ROWS($B$2:B5))), "")</f>
        <v>MARIANA PACHECO (P)</v>
      </c>
    </row>
    <row r="6" spans="1:16" ht="16.5" thickBot="1" x14ac:dyDescent="0.3">
      <c r="A6" s="43" t="s">
        <v>27</v>
      </c>
      <c r="B6" s="46">
        <v>45748</v>
      </c>
      <c r="C6" s="17"/>
      <c r="E6" s="18"/>
      <c r="F6" s="18"/>
      <c r="G6" s="18"/>
      <c r="H6" s="17"/>
      <c r="J6" s="23"/>
      <c r="K6" s="23"/>
      <c r="M6" s="82"/>
      <c r="N6" s="82"/>
      <c r="P6" s="13" t="str" cm="1">
        <f t="array" ref="P6">IFERROR(INDEX(Alias_Promotores, SMALL(IF((Promotores[COORDINACION] = VLOOKUP(Nombre_Coordinador, Coordinadores[], 2, FALSE)) * (Alias_Promotores &lt;&gt; ""), ROW(Alias_Promotores) - MIN(ROW(Alias_Promotores)) + 1), ROWS($B$2:B6))), "")</f>
        <v>MIGUEL RODRIGUEZ</v>
      </c>
    </row>
    <row r="7" spans="1:16" x14ac:dyDescent="0.25">
      <c r="M7" s="82"/>
      <c r="N7" s="82"/>
      <c r="P7" s="13" t="str" cm="1">
        <f t="array" ref="P7">IFERROR(INDEX(Alias_Promotores, SMALL(IF((Promotores[COORDINACION] = VLOOKUP(Nombre_Coordinador, Coordinadores[], 2, FALSE)) * (Alias_Promotores &lt;&gt; ""), ROW(Alias_Promotores) - MIN(ROW(Alias_Promotores)) + 1), ROWS($B$2:B7))), "")</f>
        <v/>
      </c>
    </row>
    <row r="8" spans="1:16" x14ac:dyDescent="0.25">
      <c r="A8" s="16" t="s">
        <v>7</v>
      </c>
      <c r="B8" s="16" t="s">
        <v>18</v>
      </c>
      <c r="C8" s="16" t="s">
        <v>113</v>
      </c>
      <c r="D8" s="28" t="s">
        <v>34</v>
      </c>
      <c r="E8" s="16" t="s">
        <v>33</v>
      </c>
      <c r="F8" s="16" t="s">
        <v>67</v>
      </c>
      <c r="G8" s="16" t="s">
        <v>20</v>
      </c>
      <c r="H8" s="28" t="s">
        <v>1</v>
      </c>
      <c r="I8" s="16" t="s">
        <v>68</v>
      </c>
      <c r="J8" s="16" t="s">
        <v>21</v>
      </c>
      <c r="K8" s="16" t="s">
        <v>22</v>
      </c>
      <c r="M8" s="82"/>
      <c r="N8" s="82"/>
      <c r="P8" s="13" t="str" cm="1">
        <f t="array" ref="P8">IFERROR(INDEX(Alias_Promotores, SMALL(IF((Promotores[COORDINACION] = VLOOKUP(Nombre_Coordinador, Coordinadores[], 2, FALSE)) * (Alias_Promotores &lt;&gt; ""), ROW(Alias_Promotores) - MIN(ROW(Alias_Promotores)) + 1), ROWS($B$2:B8))), "")</f>
        <v/>
      </c>
    </row>
    <row r="9" spans="1:16" x14ac:dyDescent="0.25">
      <c r="A9" s="123" t="s">
        <v>152</v>
      </c>
      <c r="B9" s="124">
        <v>18590</v>
      </c>
      <c r="C9" s="124" t="s">
        <v>198</v>
      </c>
      <c r="D9" s="125">
        <f>IF(
    OR(
        Tabla_Coordinador17[[#This Row],[GRUPO]] = 501,
        Tabla_Coordinador17[[#This Row],[GRUPO]] = 505,
        Tabla_Coordinador17[[#This Row],[GRUPO]] = 503,
        Tabla_Coordinador17[[#This Row],[GRUPO]] = "",
        Tabla_Coordinador17[[#This Row],[GRUPO]] = 500,
        Tabla_Coordinador17[[#This Row],[PAGO]] &lt; 299,
        COUNTIF(Tabla_Coordinador17[CREDENCIAL], Tabla_Coordinador17[[#This Row],[CREDENCIAL]]) &gt; 1,
        COUNTIF(Tabla_Gerente[CREDENCIAL], Tabla_Coordinador17[[#This Row],[CREDENCIAL]]) &gt; 1
    ),
    0,
    VLOOKUP(
        Total_Registros_Coordinador,
        Tabulador_Coordinador[],
        3,
        TRUE
    )
)</f>
        <v>0</v>
      </c>
      <c r="E9" s="124" t="s">
        <v>47</v>
      </c>
      <c r="F9" s="124" t="s">
        <v>200</v>
      </c>
      <c r="G9" s="126">
        <v>9231</v>
      </c>
      <c r="H9" s="127">
        <f>IFERROR(VLOOKUP(Tabla_Coordinador17[[#This Row],[CREDENCIAL]], Tabla_Gerente[[CREDENCIAL]:[PAGO]], 7, FALSE), 0)</f>
        <v>399</v>
      </c>
      <c r="I9" s="128">
        <v>45742</v>
      </c>
      <c r="J9" s="129"/>
      <c r="K9" s="129"/>
      <c r="M9" s="82"/>
      <c r="N9" s="82"/>
      <c r="P9" s="13" t="str" cm="1">
        <f t="array" ref="P9">IFERROR(INDEX(Alias_Promotores, SMALL(IF((Promotores[COORDINACION] = VLOOKUP(Nombre_Coordinador, Coordinadores[], 2, FALSE)) * (Alias_Promotores &lt;&gt; ""), ROW(Alias_Promotores) - MIN(ROW(Alias_Promotores)) + 1), ROWS($B$2:B9))), "")</f>
        <v/>
      </c>
    </row>
    <row r="10" spans="1:16" x14ac:dyDescent="0.25">
      <c r="A10" s="123" t="s">
        <v>50</v>
      </c>
      <c r="B10" s="124"/>
      <c r="C10" s="124"/>
      <c r="D10" s="125">
        <f>SUBTOTAL(109,Tabla_Coordinador17[COMISION])</f>
        <v>0</v>
      </c>
      <c r="E10" s="124"/>
      <c r="F10" s="124"/>
      <c r="G10" s="126"/>
      <c r="H10" s="130"/>
      <c r="I10" s="128"/>
      <c r="J10" s="129"/>
      <c r="K10" s="129"/>
      <c r="P10" s="13" t="str" cm="1">
        <f t="array" ref="P10">IFERROR(INDEX(Alias_Promotores, SMALL(IF((Promotores[COORDINACION] = VLOOKUP(Nombre_Coordinador, Coordinadores[], 2, FALSE)) * (Alias_Promotores &lt;&gt; ""), ROW(Alias_Promotores) - MIN(ROW(Alias_Promotores)) + 1), ROWS($B$2:B10))), "")</f>
        <v/>
      </c>
    </row>
    <row r="11" spans="1:16" x14ac:dyDescent="0.25">
      <c r="A11" s="27"/>
      <c r="B11" s="14"/>
      <c r="C11" s="15"/>
      <c r="D11" s="54"/>
      <c r="E11" s="14"/>
      <c r="F11" s="14"/>
      <c r="G11" s="14"/>
      <c r="H11" s="55"/>
      <c r="I11" s="16"/>
      <c r="J11" s="16"/>
      <c r="K11" s="16"/>
      <c r="P11" s="13" t="str" cm="1">
        <f t="array" ref="P11">IFERROR(INDEX(Alias_Promotores, SMALL(IF((Promotores[COORDINACION] = VLOOKUP(Nombre_Coordinador, Coordinadores[], 2, FALSE)) * (Alias_Promotores &lt;&gt; ""), ROW(Alias_Promotores) - MIN(ROW(Alias_Promotores)) + 1), ROWS($B$2:B11))), "")</f>
        <v/>
      </c>
    </row>
    <row r="12" spans="1:16" x14ac:dyDescent="0.25">
      <c r="A12" s="27" t="s">
        <v>13</v>
      </c>
      <c r="D12" s="26">
        <f>Sueldo_Base_Coordinador</f>
        <v>500</v>
      </c>
      <c r="E12" s="16"/>
      <c r="F12" s="15"/>
      <c r="H12" s="15"/>
      <c r="J12" s="24"/>
      <c r="P12" s="13" t="str" cm="1">
        <f t="array" ref="P12">IFERROR(INDEX(Alias_Promotores, SMALL(IF((Promotores[COORDINACION] = VLOOKUP(Nombre_Coordinador, Coordinadores[], 2, FALSE)) * (Alias_Promotores &lt;&gt; ""), ROW(Alias_Promotores) - MIN(ROW(Alias_Promotores)) + 1), ROWS($B$2:B12))), "")</f>
        <v/>
      </c>
    </row>
    <row r="13" spans="1:16" ht="16.5" thickBot="1" x14ac:dyDescent="0.3">
      <c r="A13" s="37" t="s">
        <v>45</v>
      </c>
      <c r="B13" s="38">
        <f>IF(Total_Registros_Coordinador &gt;= Premios!H5,
    VLOOKUP(Total_Registros_Coordinador, Premios_Coordinador[], 1, TRUE),
    0
)</f>
        <v>0</v>
      </c>
      <c r="C13" s="34"/>
      <c r="D13" s="36">
        <f>IF(Premio_Coordinador &gt; 0, VLOOKUP(Premio_Coordinador, Premios_Coordinador[], 2, FALSE), 0)</f>
        <v>0</v>
      </c>
      <c r="E13" s="16"/>
      <c r="F13" s="15"/>
      <c r="H13" s="15"/>
      <c r="J13" s="24"/>
      <c r="P13" s="13" t="str" cm="1">
        <f t="array" ref="P13">IFERROR(INDEX(Alias_Promotores, SMALL(IF((Promotores[COORDINACION] = VLOOKUP(Nombre_Coordinador, Coordinadores[], 2, FALSE)) * (Alias_Promotores &lt;&gt; ""), ROW(Alias_Promotores) - MIN(ROW(Alias_Promotores)) + 1), ROWS($B$2:B13))), "")</f>
        <v/>
      </c>
    </row>
    <row r="14" spans="1:16" x14ac:dyDescent="0.25">
      <c r="A14" s="27" t="s">
        <v>46</v>
      </c>
      <c r="B14" s="18"/>
      <c r="D14" s="28">
        <f>Tabla_Coordinador17[[#Totals],[COMISION]] + Pago_Sueldo_Base_Coordinador + Pago_Premio_Coordinador</f>
        <v>500</v>
      </c>
      <c r="E14" s="16"/>
      <c r="F14" s="15"/>
      <c r="H14" s="15"/>
      <c r="J14" s="24"/>
      <c r="P14" s="13" t="str" cm="1">
        <f t="array" ref="P14">IFERROR(INDEX(Alias_Promotores, SMALL(IF((Promotores[COORDINACION] = VLOOKUP(Nombre_Coordinador, Coordinadores[], 2, FALSE)) * (Alias_Promotores &lt;&gt; ""), ROW(Alias_Promotores) - MIN(ROW(Alias_Promotores)) + 1), ROWS($B$2:B14))), "")</f>
        <v/>
      </c>
    </row>
    <row r="15" spans="1:16" x14ac:dyDescent="0.25">
      <c r="A15" s="27" t="s">
        <v>124</v>
      </c>
      <c r="B15" s="18"/>
      <c r="C15" s="29"/>
      <c r="D15" s="40">
        <f>_xlfn.IFNA(SUMIFS(Descuentos[DESCUENTO], Descuentos[COLABORADOR], Nombre_Coordinador, Descuentos[PUESTO], Puesto_Coordinador), 0)</f>
        <v>0</v>
      </c>
      <c r="E15" s="16"/>
      <c r="F15" s="15"/>
      <c r="H15" s="15"/>
      <c r="J15" s="22"/>
      <c r="K15" s="22"/>
      <c r="P15" s="13" t="str" cm="1">
        <f t="array" ref="P15">IFERROR(INDEX(Alias_Promotores, SMALL(IF((Promotores[COORDINACION] = VLOOKUP(Nombre_Coordinador, Coordinadores[], 2, FALSE)) * (Alias_Promotores &lt;&gt; ""), ROW(Alias_Promotores) - MIN(ROW(Alias_Promotores)) + 1), ROWS($B$2:B15))), "")</f>
        <v/>
      </c>
    </row>
    <row r="16" spans="1:16" ht="16.5" thickBot="1" x14ac:dyDescent="0.3">
      <c r="A16" s="37" t="s">
        <v>24</v>
      </c>
      <c r="B16" s="34"/>
      <c r="C16" s="34"/>
      <c r="D16" s="49">
        <f>(Pago_Subtotal_Coordinador * 0.05) * -1</f>
        <v>-25</v>
      </c>
      <c r="E16" s="16"/>
      <c r="F16" s="15"/>
      <c r="H16" s="15"/>
      <c r="P16" s="13" t="str" cm="1">
        <f t="array" ref="P16">IFERROR(INDEX(Alias_Promotores, SMALL(IF((Promotores[COORDINACION] = VLOOKUP(Nombre_Coordinador, Coordinadores[], 2, FALSE)) * (Alias_Promotores &lt;&gt; ""), ROW(Alias_Promotores) - MIN(ROW(Alias_Promotores)) + 1), ROWS($B$2:B16))), "")</f>
        <v/>
      </c>
    </row>
    <row r="17" spans="1:16" ht="16.5" thickBot="1" x14ac:dyDescent="0.3">
      <c r="A17" s="42"/>
      <c r="C17" s="29"/>
      <c r="D17" s="28"/>
      <c r="E17" s="16"/>
      <c r="F17" s="15"/>
      <c r="P17" s="13" t="str" cm="1">
        <f t="array" ref="P17">IFERROR(INDEX(Alias_Promotores, SMALL(IF((Promotores[COORDINACION] = VLOOKUP(Nombre_Coordinador, Coordinadores[], 2, FALSE)) * (Alias_Promotores &lt;&gt; ""), ROW(Alias_Promotores) - MIN(ROW(Alias_Promotores)) + 1), ROWS($B$2:B17))), "")</f>
        <v/>
      </c>
    </row>
    <row r="18" spans="1:16" ht="16.5" thickBot="1" x14ac:dyDescent="0.3">
      <c r="A18" s="37" t="s">
        <v>49</v>
      </c>
      <c r="B18" s="34"/>
      <c r="C18" s="50"/>
      <c r="D18" s="30">
        <f>Pago_Subtotal_Coordinador + Descuento_Coordinador + Deduccion_Coordinador</f>
        <v>475</v>
      </c>
      <c r="E18" s="16"/>
      <c r="F18" s="15"/>
      <c r="P18" s="13" t="str" cm="1">
        <f t="array" ref="P18">IFERROR(INDEX(Alias_Promotores, SMALL(IF((Promotores[COORDINACION] = VLOOKUP(Nombre_Coordinador, Coordinadores[], 2, FALSE)) * (Alias_Promotores &lt;&gt; ""), ROW(Alias_Promotores) - MIN(ROW(Alias_Promotores)) + 1), ROWS($B$2:B18))), "")</f>
        <v/>
      </c>
    </row>
    <row r="19" spans="1:16" x14ac:dyDescent="0.25">
      <c r="C19" s="29"/>
      <c r="D19" s="28"/>
      <c r="E19" s="26"/>
      <c r="F19" s="26"/>
      <c r="P19" s="13" t="str" cm="1">
        <f t="array" ref="P19">IFERROR(INDEX(Alias_Promotores, SMALL(IF((Promotores[COORDINACION] = VLOOKUP(Nombre_Coordinador, Coordinadores[], 2, FALSE)) * (Alias_Promotores &lt;&gt; ""), ROW(Alias_Promotores) - MIN(ROW(Alias_Promotores)) + 1), ROWS($B$2:B19))), "")</f>
        <v/>
      </c>
    </row>
    <row r="20" spans="1:16" x14ac:dyDescent="0.25">
      <c r="C20" s="29"/>
      <c r="D20" s="28"/>
      <c r="E20" s="26"/>
      <c r="F20" s="26"/>
      <c r="I20" s="13"/>
      <c r="P20" s="13" t="str" cm="1">
        <f t="array" ref="P20">IFERROR(INDEX(Alias_Promotores, SMALL(IF((Promotores[COORDINACION] = VLOOKUP(Nombre_Coordinador, Coordinadores[], 2, FALSE)) * (Alias_Promotores &lt;&gt; ""), ROW(Alias_Promotores) - MIN(ROW(Alias_Promotores)) + 1), ROWS($B$2:B20))), "")</f>
        <v/>
      </c>
    </row>
    <row r="21" spans="1:16" ht="16.5" thickBot="1" x14ac:dyDescent="0.3">
      <c r="C21" s="37" t="s">
        <v>25</v>
      </c>
      <c r="D21" s="119" t="str" cm="1">
        <f t="array" ref="D21">NumeroATexto(Pago_Neto_Coordinador)</f>
        <v>CUATROCIENTOS SETENTA Y CINCO PESOS 00/100</v>
      </c>
      <c r="E21" s="119"/>
      <c r="F21" s="119"/>
      <c r="G21" s="119"/>
      <c r="H21" s="119"/>
      <c r="I21" s="119"/>
      <c r="P21" s="13" t="str" cm="1">
        <f t="array" ref="P21">IFERROR(INDEX(Alias_Promotores, SMALL(IF((Promotores[COORDINACION] = VLOOKUP(Nombre_Coordinador, Coordinadores[], 2, FALSE)) * (Alias_Promotores &lt;&gt; ""), ROW(Alias_Promotores) - MIN(ROW(Alias_Promotores)) + 1), ROWS($B$2:B21))), "")</f>
        <v/>
      </c>
    </row>
    <row r="22" spans="1:16" x14ac:dyDescent="0.25">
      <c r="C22" s="27"/>
      <c r="D22" s="26"/>
      <c r="E22" s="16"/>
      <c r="F22" s="15"/>
      <c r="I22" s="13"/>
    </row>
    <row r="23" spans="1:16" x14ac:dyDescent="0.25">
      <c r="C23" s="29"/>
      <c r="D23" s="28"/>
      <c r="I23" s="13"/>
    </row>
    <row r="24" spans="1:16" ht="16.5" thickBot="1" x14ac:dyDescent="0.3">
      <c r="C24" s="33" t="s">
        <v>26</v>
      </c>
      <c r="D24" s="120"/>
      <c r="E24" s="120"/>
      <c r="F24" s="120"/>
      <c r="G24" s="120"/>
      <c r="H24" s="120"/>
      <c r="I24" s="120"/>
    </row>
    <row r="25" spans="1:16" x14ac:dyDescent="0.25">
      <c r="I25" s="13"/>
    </row>
    <row r="26" spans="1:16" x14ac:dyDescent="0.25">
      <c r="I26" s="13"/>
    </row>
    <row r="27" spans="1:16" x14ac:dyDescent="0.25">
      <c r="I27" s="13"/>
    </row>
    <row r="28" spans="1:16" x14ac:dyDescent="0.25">
      <c r="I28" s="13"/>
    </row>
    <row r="29" spans="1:16" x14ac:dyDescent="0.25">
      <c r="I29" s="13"/>
    </row>
  </sheetData>
  <mergeCells count="4">
    <mergeCell ref="B1:D1"/>
    <mergeCell ref="B2:D2"/>
    <mergeCell ref="D21:I21"/>
    <mergeCell ref="D24:I24"/>
  </mergeCells>
  <conditionalFormatting sqref="D9">
    <cfRule type="cellIs" dxfId="32" priority="4" operator="equal">
      <formula>0</formula>
    </cfRule>
    <cfRule type="cellIs" dxfId="31" priority="6" operator="equal">
      <formula>$G9=501</formula>
    </cfRule>
  </conditionalFormatting>
  <conditionalFormatting sqref="G9">
    <cfRule type="cellIs" dxfId="30" priority="1" operator="equal">
      <formula>505</formula>
    </cfRule>
    <cfRule type="cellIs" dxfId="29" priority="3" operator="equal">
      <formula>501</formula>
    </cfRule>
    <cfRule type="containsBlanks" dxfId="28" priority="5">
      <formula>LEN(TRIM(G9))=0</formula>
    </cfRule>
  </conditionalFormatting>
  <conditionalFormatting sqref="A9:K9">
    <cfRule type="expression" dxfId="27" priority="2">
      <formula>$G9 = 503</formula>
    </cfRule>
  </conditionalFormatting>
  <conditionalFormatting sqref="B9">
    <cfRule type="duplicateValues" dxfId="25" priority="535"/>
  </conditionalFormatting>
  <dataValidations count="5">
    <dataValidation type="list" showInputMessage="1" showErrorMessage="1" sqref="A9" xr:uid="{09B2AA9E-CE3B-4A28-B29B-721DF8818CA6}">
      <formula1>Promotores_de_Coordinacion_Activos</formula1>
    </dataValidation>
    <dataValidation type="date" allowBlank="1" showInputMessage="1" showErrorMessage="1" sqref="I9" xr:uid="{6946366F-4695-4E74-AF80-1B4AF12BDA89}">
      <formula1>B2</formula1>
      <formula2>D2</formula2>
    </dataValidation>
    <dataValidation type="custom" allowBlank="1" showInputMessage="1" showErrorMessage="1" sqref="G9" xr:uid="{587F3550-54F2-4486-B1CE-27C7579085E1}">
      <formula1>G9&lt;&gt;500</formula1>
    </dataValidation>
    <dataValidation type="list" allowBlank="1" showInputMessage="1" showErrorMessage="1" sqref="E9" xr:uid="{75EE4A5B-3976-4484-B586-FFEA08222D6C}">
      <formula1>Nombres_Planteles</formula1>
    </dataValidation>
    <dataValidation type="list" allowBlank="1" showInputMessage="1" showErrorMessage="1" sqref="B1" xr:uid="{85636E4E-AE5F-495C-8D75-045E34A2BBDA}">
      <formula1>Nombres_Coordinadores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CreatePromotorTabs">
                <anchor moveWithCells="1">
                  <from>
                    <xdr:col>12</xdr:col>
                    <xdr:colOff>104775</xdr:colOff>
                    <xdr:row>0</xdr:row>
                    <xdr:rowOff>47625</xdr:rowOff>
                  </from>
                  <to>
                    <xdr:col>13</xdr:col>
                    <xdr:colOff>733425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SumPagoNetoCoordinacion">
                <anchor moveWithCells="1">
                  <from>
                    <xdr:col>12</xdr:col>
                    <xdr:colOff>104775</xdr:colOff>
                    <xdr:row>5</xdr:row>
                    <xdr:rowOff>47625</xdr:rowOff>
                  </from>
                  <to>
                    <xdr:col>13</xdr:col>
                    <xdr:colOff>733425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F3F32009-033A-45EC-9D39-5F9FDED7A008}">
            <xm:f>COUNTIF('PEDRO MORA'!#REF!, $B9) &gt;1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918E3-CC7D-44CC-BAA0-171E8B4CE1E5}">
          <x14:formula1>
            <xm:f>Planteles!$A$4:$A$15</xm:f>
          </x14:formula1>
          <xm:sqref>J9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06A59-0FAF-4A96-8DAD-ED7AB14D5CAF}">
  <sheetPr codeName="Sheet10">
    <tabColor rgb="FF0070C0"/>
  </sheetPr>
  <dimension ref="A1:P29"/>
  <sheetViews>
    <sheetView tabSelected="1" workbookViewId="0">
      <selection activeCell="E46" sqref="E46"/>
    </sheetView>
  </sheetViews>
  <sheetFormatPr defaultColWidth="14.42578125" defaultRowHeight="15.75" x14ac:dyDescent="0.25"/>
  <cols>
    <col min="1" max="1" width="24.85546875" style="13" bestFit="1" customWidth="1"/>
    <col min="2" max="2" width="17.42578125" style="13" bestFit="1" customWidth="1"/>
    <col min="3" max="3" width="31.28515625" style="13" bestFit="1" customWidth="1"/>
    <col min="4" max="4" width="16.42578125" style="13" bestFit="1" customWidth="1"/>
    <col min="5" max="5" width="14.140625" style="13" bestFit="1" customWidth="1"/>
    <col min="6" max="6" width="12.140625" style="13" bestFit="1" customWidth="1"/>
    <col min="7" max="7" width="15.85546875" style="13" bestFit="1" customWidth="1"/>
    <col min="8" max="8" width="12" style="13" bestFit="1" customWidth="1"/>
    <col min="9" max="9" width="30.140625" style="19" bestFit="1" customWidth="1"/>
    <col min="10" max="10" width="17.7109375" style="13" bestFit="1" customWidth="1"/>
    <col min="11" max="11" width="21" style="13" bestFit="1" customWidth="1"/>
    <col min="12" max="12" width="3.28515625" style="13" bestFit="1" customWidth="1"/>
    <col min="13" max="14" width="12.5703125" style="13" customWidth="1"/>
    <col min="15" max="15" width="3.28515625" style="13" bestFit="1" customWidth="1"/>
    <col min="16" max="16" width="15.140625" style="13" bestFit="1" customWidth="1"/>
    <col min="17" max="23" width="10.7109375" style="13" customWidth="1"/>
    <col min="24" max="16384" width="14.42578125" style="13"/>
  </cols>
  <sheetData>
    <row r="1" spans="1:16" ht="16.5" thickBot="1" x14ac:dyDescent="0.3">
      <c r="A1" s="32" t="s">
        <v>28</v>
      </c>
      <c r="B1" s="117" t="s">
        <v>136</v>
      </c>
      <c r="C1" s="117"/>
      <c r="D1" s="117"/>
      <c r="F1" s="43" t="s">
        <v>120</v>
      </c>
      <c r="G1" s="46" t="s">
        <v>6</v>
      </c>
      <c r="I1" s="31" t="s">
        <v>59</v>
      </c>
      <c r="J1" s="34">
        <f>Total_Registros_Gerente</f>
        <v>2</v>
      </c>
      <c r="M1" s="83"/>
      <c r="N1" s="83"/>
      <c r="P1" s="81" t="s">
        <v>0</v>
      </c>
    </row>
    <row r="2" spans="1:16" ht="16.5" thickBot="1" x14ac:dyDescent="0.3">
      <c r="A2" s="43" t="s">
        <v>31</v>
      </c>
      <c r="B2" s="118"/>
      <c r="C2" s="118"/>
      <c r="D2" s="118"/>
      <c r="M2" s="83"/>
      <c r="N2" s="83"/>
      <c r="P2" s="13" t="str" cm="1">
        <f t="array" ref="P2">IFERROR(INDEX(Alias_Promotores, SMALL(IF((Promotores[COORDINACION] = VLOOKUP(Nombre_Coordinador, Coordinadores[], 2, FALSE)) * (Alias_Promotores &lt;&gt; ""), ROW(Alias_Promotores) - MIN(ROW(Alias_Promotores)) + 1), ROWS($B$2:B2))), "")</f>
        <v>DAMIAN BRAVO</v>
      </c>
    </row>
    <row r="3" spans="1:16" ht="16.5" thickBot="1" x14ac:dyDescent="0.3">
      <c r="A3" s="43" t="s">
        <v>29</v>
      </c>
      <c r="B3" s="56">
        <v>45736</v>
      </c>
      <c r="C3" s="45" t="s">
        <v>30</v>
      </c>
      <c r="D3" s="57">
        <v>45743</v>
      </c>
      <c r="F3" s="20"/>
      <c r="G3" s="21"/>
      <c r="I3" s="16"/>
      <c r="M3" s="83"/>
      <c r="N3" s="83"/>
      <c r="P3" s="13" t="str" cm="1">
        <f t="array" ref="P3">IFERROR(INDEX(Alias_Promotores, SMALL(IF((Promotores[COORDINACION] = VLOOKUP(Nombre_Coordinador, Coordinadores[], 2, FALSE)) * (Alias_Promotores &lt;&gt; ""), ROW(Alias_Promotores) - MIN(ROW(Alias_Promotores)) + 1), ROWS($B$2:B3))), "")</f>
        <v>EFRAIN CORTES</v>
      </c>
    </row>
    <row r="4" spans="1:16" ht="16.5" thickBot="1" x14ac:dyDescent="0.3">
      <c r="A4" s="43" t="s">
        <v>17</v>
      </c>
      <c r="B4" s="108" cm="1">
        <f t="array" ref="B4">IF(COUNTA(Tabla_Coordinador18[GRUPO]) = 0, 0,
   COUNTIFS(Tabla_Coordinador18[GRUPO], "&lt;&gt;",
            Tabla_Coordinador18[GRUPO], "&lt;&gt;503",
            Tabla_Coordinador18[GRUPO], "&lt;&gt;500",
            Tabla_Coordinador18[PAGO], "&gt;=299")
   - SUMPRODUCT(COUNTIF(Tabla_Gerente[CREDENCIAL], Tabla_Coordinador18[CREDENCIAL]) - 1))</f>
        <v>1</v>
      </c>
      <c r="C4" s="17"/>
      <c r="F4" s="18"/>
      <c r="G4" s="18"/>
      <c r="H4" s="17"/>
      <c r="I4" s="31" t="s">
        <v>48</v>
      </c>
      <c r="J4" s="79">
        <v>0</v>
      </c>
      <c r="K4" s="19"/>
      <c r="M4" s="83"/>
      <c r="N4" s="83"/>
      <c r="P4" s="13" t="str" cm="1">
        <f t="array" ref="P4">IFERROR(INDEX(Alias_Promotores, SMALL(IF((Promotores[COORDINACION] = VLOOKUP(Nombre_Coordinador, Coordinadores[], 2, FALSE)) * (Alias_Promotores &lt;&gt; ""), ROW(Alias_Promotores) - MIN(ROW(Alias_Promotores)) + 1), ROWS($B$2:B4))), "")</f>
        <v>ENRIQUE OJEDA</v>
      </c>
    </row>
    <row r="5" spans="1:16" ht="16.5" thickBot="1" x14ac:dyDescent="0.3">
      <c r="A5" s="43" t="s">
        <v>32</v>
      </c>
      <c r="B5" s="47">
        <f>WEEKNUM(B3)</f>
        <v>12</v>
      </c>
      <c r="C5" s="17"/>
      <c r="E5" s="18"/>
      <c r="F5" s="18"/>
      <c r="G5" s="18"/>
      <c r="H5" s="17"/>
      <c r="J5" s="23"/>
      <c r="K5" s="23"/>
      <c r="P5" s="13" t="str" cm="1">
        <f t="array" ref="P5">IFERROR(INDEX(Alias_Promotores, SMALL(IF((Promotores[COORDINACION] = VLOOKUP(Nombre_Coordinador, Coordinadores[], 2, FALSE)) * (Alias_Promotores &lt;&gt; ""), ROW(Alias_Promotores) - MIN(ROW(Alias_Promotores)) + 1), ROWS($B$2:B5))), "")</f>
        <v>HUGO PACHECO</v>
      </c>
    </row>
    <row r="6" spans="1:16" ht="16.5" thickBot="1" x14ac:dyDescent="0.3">
      <c r="A6" s="43" t="s">
        <v>27</v>
      </c>
      <c r="B6" s="46">
        <v>45748</v>
      </c>
      <c r="C6" s="17"/>
      <c r="E6" s="18"/>
      <c r="F6" s="18"/>
      <c r="G6" s="18"/>
      <c r="H6" s="17"/>
      <c r="J6" s="23"/>
      <c r="K6" s="23"/>
      <c r="M6" s="82"/>
      <c r="N6" s="82"/>
      <c r="P6" s="13" t="str" cm="1">
        <f t="array" ref="P6">IFERROR(INDEX(Alias_Promotores, SMALL(IF((Promotores[COORDINACION] = VLOOKUP(Nombre_Coordinador, Coordinadores[], 2, FALSE)) * (Alias_Promotores &lt;&gt; ""), ROW(Alias_Promotores) - MIN(ROW(Alias_Promotores)) + 1), ROWS($B$2:B6))), "")</f>
        <v>OLIVIA PACHECO (P)</v>
      </c>
    </row>
    <row r="7" spans="1:16" x14ac:dyDescent="0.25">
      <c r="M7" s="82"/>
      <c r="N7" s="82"/>
      <c r="P7" s="13" t="str" cm="1">
        <f t="array" ref="P7">IFERROR(INDEX(Alias_Promotores, SMALL(IF((Promotores[COORDINACION] = VLOOKUP(Nombre_Coordinador, Coordinadores[], 2, FALSE)) * (Alias_Promotores &lt;&gt; ""), ROW(Alias_Promotores) - MIN(ROW(Alias_Promotores)) + 1), ROWS($B$2:B7))), "")</f>
        <v/>
      </c>
    </row>
    <row r="8" spans="1:16" x14ac:dyDescent="0.25">
      <c r="A8" s="16" t="s">
        <v>7</v>
      </c>
      <c r="B8" s="16" t="s">
        <v>18</v>
      </c>
      <c r="C8" s="16" t="s">
        <v>113</v>
      </c>
      <c r="D8" s="28" t="s">
        <v>34</v>
      </c>
      <c r="E8" s="16" t="s">
        <v>33</v>
      </c>
      <c r="F8" s="16" t="s">
        <v>67</v>
      </c>
      <c r="G8" s="16" t="s">
        <v>20</v>
      </c>
      <c r="H8" s="28" t="s">
        <v>1</v>
      </c>
      <c r="I8" s="16" t="s">
        <v>68</v>
      </c>
      <c r="J8" s="16" t="s">
        <v>21</v>
      </c>
      <c r="K8" s="16" t="s">
        <v>22</v>
      </c>
      <c r="M8" s="82"/>
      <c r="N8" s="82"/>
      <c r="P8" s="13" t="str" cm="1">
        <f t="array" ref="P8">IFERROR(INDEX(Alias_Promotores, SMALL(IF((Promotores[COORDINACION] = VLOOKUP(Nombre_Coordinador, Coordinadores[], 2, FALSE)) * (Alias_Promotores &lt;&gt; ""), ROW(Alias_Promotores) - MIN(ROW(Alias_Promotores)) + 1), ROWS($B$2:B8))), "")</f>
        <v/>
      </c>
    </row>
    <row r="9" spans="1:16" x14ac:dyDescent="0.25">
      <c r="A9" s="123" t="s">
        <v>133</v>
      </c>
      <c r="B9" s="124">
        <v>18207</v>
      </c>
      <c r="C9" s="124" t="s">
        <v>199</v>
      </c>
      <c r="D9" s="125">
        <f>IF(
    OR(
        Tabla_Coordinador18[[#This Row],[GRUPO]] = 501,
        Tabla_Coordinador18[[#This Row],[GRUPO]] = 505,
        Tabla_Coordinador18[[#This Row],[GRUPO]] = 503,
        Tabla_Coordinador18[[#This Row],[GRUPO]] = "",
        Tabla_Coordinador18[[#This Row],[GRUPO]] = 500,
        Tabla_Coordinador18[[#This Row],[PAGO]] &lt; 299,
        COUNTIF(Tabla_Coordinador18[CREDENCIAL], Tabla_Coordinador18[[#This Row],[CREDENCIAL]]) &gt; 1,
        COUNTIF(Tabla_Gerente[CREDENCIAL], Tabla_Coordinador18[[#This Row],[CREDENCIAL]]) &gt; 1
    ),
    0,
    VLOOKUP(
        Total_Registros_Coordinador,
        Tabulador_Coordinador[],
        3,
        TRUE
    )
)</f>
        <v>0</v>
      </c>
      <c r="E9" s="124" t="s">
        <v>47</v>
      </c>
      <c r="F9" s="124" t="s">
        <v>200</v>
      </c>
      <c r="G9" s="126">
        <v>9208</v>
      </c>
      <c r="H9" s="127">
        <f>IFERROR(VLOOKUP(Tabla_Coordinador18[[#This Row],[CREDENCIAL]], Tabla_Gerente[[CREDENCIAL]:[PAGO]], 7, FALSE), 0)</f>
        <v>349</v>
      </c>
      <c r="I9" s="128">
        <v>45738</v>
      </c>
      <c r="J9" s="129"/>
      <c r="K9" s="129"/>
      <c r="M9" s="82"/>
      <c r="N9" s="82"/>
      <c r="P9" s="13" t="str" cm="1">
        <f t="array" ref="P9">IFERROR(INDEX(Alias_Promotores, SMALL(IF((Promotores[COORDINACION] = VLOOKUP(Nombre_Coordinador, Coordinadores[], 2, FALSE)) * (Alias_Promotores &lt;&gt; ""), ROW(Alias_Promotores) - MIN(ROW(Alias_Promotores)) + 1), ROWS($B$2:B9))), "")</f>
        <v/>
      </c>
    </row>
    <row r="10" spans="1:16" x14ac:dyDescent="0.25">
      <c r="A10" s="123" t="s">
        <v>50</v>
      </c>
      <c r="B10" s="124"/>
      <c r="C10" s="124"/>
      <c r="D10" s="125">
        <f>SUBTOTAL(109,Tabla_Coordinador18[COMISION])</f>
        <v>0</v>
      </c>
      <c r="E10" s="124"/>
      <c r="F10" s="124"/>
      <c r="G10" s="126"/>
      <c r="H10" s="130"/>
      <c r="I10" s="128"/>
      <c r="J10" s="129"/>
      <c r="K10" s="129"/>
      <c r="P10" s="13" t="str" cm="1">
        <f t="array" ref="P10">IFERROR(INDEX(Alias_Promotores, SMALL(IF((Promotores[COORDINACION] = VLOOKUP(Nombre_Coordinador, Coordinadores[], 2, FALSE)) * (Alias_Promotores &lt;&gt; ""), ROW(Alias_Promotores) - MIN(ROW(Alias_Promotores)) + 1), ROWS($B$2:B10))), "")</f>
        <v/>
      </c>
    </row>
    <row r="11" spans="1:16" x14ac:dyDescent="0.25">
      <c r="A11" s="27"/>
      <c r="B11" s="14"/>
      <c r="C11" s="15"/>
      <c r="D11" s="54"/>
      <c r="E11" s="14"/>
      <c r="F11" s="14"/>
      <c r="G11" s="14"/>
      <c r="H11" s="55"/>
      <c r="I11" s="16"/>
      <c r="J11" s="16"/>
      <c r="K11" s="16"/>
      <c r="P11" s="13" t="str" cm="1">
        <f t="array" ref="P11">IFERROR(INDEX(Alias_Promotores, SMALL(IF((Promotores[COORDINACION] = VLOOKUP(Nombre_Coordinador, Coordinadores[], 2, FALSE)) * (Alias_Promotores &lt;&gt; ""), ROW(Alias_Promotores) - MIN(ROW(Alias_Promotores)) + 1), ROWS($B$2:B11))), "")</f>
        <v/>
      </c>
    </row>
    <row r="12" spans="1:16" x14ac:dyDescent="0.25">
      <c r="A12" s="27" t="s">
        <v>13</v>
      </c>
      <c r="D12" s="26">
        <f>Sueldo_Base_Coordinador</f>
        <v>500</v>
      </c>
      <c r="E12" s="16"/>
      <c r="F12" s="15"/>
      <c r="H12" s="15"/>
      <c r="J12" s="24"/>
      <c r="P12" s="13" t="str" cm="1">
        <f t="array" ref="P12">IFERROR(INDEX(Alias_Promotores, SMALL(IF((Promotores[COORDINACION] = VLOOKUP(Nombre_Coordinador, Coordinadores[], 2, FALSE)) * (Alias_Promotores &lt;&gt; ""), ROW(Alias_Promotores) - MIN(ROW(Alias_Promotores)) + 1), ROWS($B$2:B12))), "")</f>
        <v/>
      </c>
    </row>
    <row r="13" spans="1:16" ht="16.5" thickBot="1" x14ac:dyDescent="0.3">
      <c r="A13" s="37" t="s">
        <v>45</v>
      </c>
      <c r="B13" s="38">
        <f>IF(Total_Registros_Coordinador &gt;= Premios!H5,
    VLOOKUP(Total_Registros_Coordinador, Premios_Coordinador[], 1, TRUE),
    0
)</f>
        <v>0</v>
      </c>
      <c r="C13" s="34"/>
      <c r="D13" s="36">
        <f>IF(Premio_Coordinador &gt; 0, VLOOKUP(Premio_Coordinador, Premios_Coordinador[], 2, FALSE), 0)</f>
        <v>0</v>
      </c>
      <c r="E13" s="16"/>
      <c r="F13" s="15"/>
      <c r="H13" s="15"/>
      <c r="J13" s="24"/>
      <c r="P13" s="13" t="str" cm="1">
        <f t="array" ref="P13">IFERROR(INDEX(Alias_Promotores, SMALL(IF((Promotores[COORDINACION] = VLOOKUP(Nombre_Coordinador, Coordinadores[], 2, FALSE)) * (Alias_Promotores &lt;&gt; ""), ROW(Alias_Promotores) - MIN(ROW(Alias_Promotores)) + 1), ROWS($B$2:B13))), "")</f>
        <v/>
      </c>
    </row>
    <row r="14" spans="1:16" x14ac:dyDescent="0.25">
      <c r="A14" s="27" t="s">
        <v>46</v>
      </c>
      <c r="B14" s="18"/>
      <c r="D14" s="28">
        <f>Tabla_Coordinador18[[#Totals],[COMISION]] + Pago_Sueldo_Base_Coordinador + Pago_Premio_Coordinador</f>
        <v>500</v>
      </c>
      <c r="E14" s="16"/>
      <c r="F14" s="15"/>
      <c r="H14" s="15"/>
      <c r="J14" s="24"/>
      <c r="P14" s="13" t="str" cm="1">
        <f t="array" ref="P14">IFERROR(INDEX(Alias_Promotores, SMALL(IF((Promotores[COORDINACION] = VLOOKUP(Nombre_Coordinador, Coordinadores[], 2, FALSE)) * (Alias_Promotores &lt;&gt; ""), ROW(Alias_Promotores) - MIN(ROW(Alias_Promotores)) + 1), ROWS($B$2:B14))), "")</f>
        <v/>
      </c>
    </row>
    <row r="15" spans="1:16" x14ac:dyDescent="0.25">
      <c r="A15" s="27" t="s">
        <v>124</v>
      </c>
      <c r="B15" s="18"/>
      <c r="C15" s="29"/>
      <c r="D15" s="40">
        <f>_xlfn.IFNA(SUMIFS(Descuentos[DESCUENTO], Descuentos[COLABORADOR], Nombre_Coordinador, Descuentos[PUESTO], Puesto_Coordinador), 0)</f>
        <v>0</v>
      </c>
      <c r="E15" s="16"/>
      <c r="F15" s="15"/>
      <c r="H15" s="15"/>
      <c r="J15" s="22"/>
      <c r="K15" s="22"/>
      <c r="P15" s="13" t="str" cm="1">
        <f t="array" ref="P15">IFERROR(INDEX(Alias_Promotores, SMALL(IF((Promotores[COORDINACION] = VLOOKUP(Nombre_Coordinador, Coordinadores[], 2, FALSE)) * (Alias_Promotores &lt;&gt; ""), ROW(Alias_Promotores) - MIN(ROW(Alias_Promotores)) + 1), ROWS($B$2:B15))), "")</f>
        <v/>
      </c>
    </row>
    <row r="16" spans="1:16" ht="16.5" thickBot="1" x14ac:dyDescent="0.3">
      <c r="A16" s="37" t="s">
        <v>24</v>
      </c>
      <c r="B16" s="34"/>
      <c r="C16" s="34"/>
      <c r="D16" s="49">
        <f>(Pago_Subtotal_Coordinador * 0.05) * -1</f>
        <v>-25</v>
      </c>
      <c r="E16" s="16"/>
      <c r="F16" s="15"/>
      <c r="H16" s="15"/>
      <c r="P16" s="13" t="str" cm="1">
        <f t="array" ref="P16">IFERROR(INDEX(Alias_Promotores, SMALL(IF((Promotores[COORDINACION] = VLOOKUP(Nombre_Coordinador, Coordinadores[], 2, FALSE)) * (Alias_Promotores &lt;&gt; ""), ROW(Alias_Promotores) - MIN(ROW(Alias_Promotores)) + 1), ROWS($B$2:B16))), "")</f>
        <v/>
      </c>
    </row>
    <row r="17" spans="1:16" ht="16.5" thickBot="1" x14ac:dyDescent="0.3">
      <c r="A17" s="42"/>
      <c r="C17" s="29"/>
      <c r="D17" s="28"/>
      <c r="E17" s="16"/>
      <c r="F17" s="15"/>
      <c r="P17" s="13" t="str" cm="1">
        <f t="array" ref="P17">IFERROR(INDEX(Alias_Promotores, SMALL(IF((Promotores[COORDINACION] = VLOOKUP(Nombre_Coordinador, Coordinadores[], 2, FALSE)) * (Alias_Promotores &lt;&gt; ""), ROW(Alias_Promotores) - MIN(ROW(Alias_Promotores)) + 1), ROWS($B$2:B17))), "")</f>
        <v/>
      </c>
    </row>
    <row r="18" spans="1:16" ht="16.5" thickBot="1" x14ac:dyDescent="0.3">
      <c r="A18" s="37" t="s">
        <v>49</v>
      </c>
      <c r="B18" s="34"/>
      <c r="C18" s="50"/>
      <c r="D18" s="30">
        <f>Pago_Subtotal_Coordinador + Descuento_Coordinador + Deduccion_Coordinador</f>
        <v>475</v>
      </c>
      <c r="E18" s="16"/>
      <c r="F18" s="15"/>
      <c r="P18" s="13" t="str" cm="1">
        <f t="array" ref="P18">IFERROR(INDEX(Alias_Promotores, SMALL(IF((Promotores[COORDINACION] = VLOOKUP(Nombre_Coordinador, Coordinadores[], 2, FALSE)) * (Alias_Promotores &lt;&gt; ""), ROW(Alias_Promotores) - MIN(ROW(Alias_Promotores)) + 1), ROWS($B$2:B18))), "")</f>
        <v/>
      </c>
    </row>
    <row r="19" spans="1:16" x14ac:dyDescent="0.25">
      <c r="C19" s="29"/>
      <c r="D19" s="28"/>
      <c r="E19" s="26"/>
      <c r="F19" s="26"/>
      <c r="P19" s="13" t="str" cm="1">
        <f t="array" ref="P19">IFERROR(INDEX(Alias_Promotores, SMALL(IF((Promotores[COORDINACION] = VLOOKUP(Nombre_Coordinador, Coordinadores[], 2, FALSE)) * (Alias_Promotores &lt;&gt; ""), ROW(Alias_Promotores) - MIN(ROW(Alias_Promotores)) + 1), ROWS($B$2:B19))), "")</f>
        <v/>
      </c>
    </row>
    <row r="20" spans="1:16" x14ac:dyDescent="0.25">
      <c r="C20" s="29"/>
      <c r="D20" s="28"/>
      <c r="E20" s="26"/>
      <c r="F20" s="26"/>
      <c r="I20" s="13"/>
      <c r="P20" s="13" t="str" cm="1">
        <f t="array" ref="P20">IFERROR(INDEX(Alias_Promotores, SMALL(IF((Promotores[COORDINACION] = VLOOKUP(Nombre_Coordinador, Coordinadores[], 2, FALSE)) * (Alias_Promotores &lt;&gt; ""), ROW(Alias_Promotores) - MIN(ROW(Alias_Promotores)) + 1), ROWS($B$2:B20))), "")</f>
        <v/>
      </c>
    </row>
    <row r="21" spans="1:16" ht="16.5" thickBot="1" x14ac:dyDescent="0.3">
      <c r="C21" s="37" t="s">
        <v>25</v>
      </c>
      <c r="D21" s="119" t="str" cm="1">
        <f t="array" ref="D21">NumeroATexto(Pago_Neto_Coordinador)</f>
        <v>CUATROCIENTOS SETENTA Y CINCO PESOS 00/100</v>
      </c>
      <c r="E21" s="119"/>
      <c r="F21" s="119"/>
      <c r="G21" s="119"/>
      <c r="H21" s="119"/>
      <c r="I21" s="119"/>
      <c r="P21" s="13" t="str" cm="1">
        <f t="array" ref="P21">IFERROR(INDEX(Alias_Promotores, SMALL(IF((Promotores[COORDINACION] = VLOOKUP(Nombre_Coordinador, Coordinadores[], 2, FALSE)) * (Alias_Promotores &lt;&gt; ""), ROW(Alias_Promotores) - MIN(ROW(Alias_Promotores)) + 1), ROWS($B$2:B21))), "")</f>
        <v/>
      </c>
    </row>
    <row r="22" spans="1:16" x14ac:dyDescent="0.25">
      <c r="C22" s="27"/>
      <c r="D22" s="26"/>
      <c r="E22" s="16"/>
      <c r="F22" s="15"/>
      <c r="I22" s="13"/>
    </row>
    <row r="23" spans="1:16" x14ac:dyDescent="0.25">
      <c r="C23" s="29"/>
      <c r="D23" s="28"/>
      <c r="I23" s="13"/>
    </row>
    <row r="24" spans="1:16" ht="16.5" thickBot="1" x14ac:dyDescent="0.3">
      <c r="C24" s="33" t="s">
        <v>26</v>
      </c>
      <c r="D24" s="120"/>
      <c r="E24" s="120"/>
      <c r="F24" s="120"/>
      <c r="G24" s="120"/>
      <c r="H24" s="120"/>
      <c r="I24" s="120"/>
    </row>
    <row r="25" spans="1:16" x14ac:dyDescent="0.25">
      <c r="I25" s="13"/>
    </row>
    <row r="26" spans="1:16" x14ac:dyDescent="0.25">
      <c r="I26" s="13"/>
    </row>
    <row r="27" spans="1:16" x14ac:dyDescent="0.25">
      <c r="I27" s="13"/>
    </row>
    <row r="28" spans="1:16" x14ac:dyDescent="0.25">
      <c r="I28" s="13"/>
    </row>
    <row r="29" spans="1:16" x14ac:dyDescent="0.25">
      <c r="I29" s="13"/>
    </row>
  </sheetData>
  <mergeCells count="4">
    <mergeCell ref="B1:D1"/>
    <mergeCell ref="B2:D2"/>
    <mergeCell ref="D21:I21"/>
    <mergeCell ref="D24:I24"/>
  </mergeCells>
  <conditionalFormatting sqref="D9">
    <cfRule type="cellIs" dxfId="24" priority="4" operator="equal">
      <formula>0</formula>
    </cfRule>
    <cfRule type="cellIs" dxfId="23" priority="6" operator="equal">
      <formula>$G9=501</formula>
    </cfRule>
  </conditionalFormatting>
  <conditionalFormatting sqref="G9">
    <cfRule type="cellIs" dxfId="22" priority="1" operator="equal">
      <formula>505</formula>
    </cfRule>
    <cfRule type="cellIs" dxfId="21" priority="3" operator="equal">
      <formula>501</formula>
    </cfRule>
    <cfRule type="containsBlanks" dxfId="20" priority="5">
      <formula>LEN(TRIM(G9))=0</formula>
    </cfRule>
  </conditionalFormatting>
  <conditionalFormatting sqref="A9:K9">
    <cfRule type="expression" dxfId="19" priority="2">
      <formula>$G9 = 503</formula>
    </cfRule>
  </conditionalFormatting>
  <conditionalFormatting sqref="B9">
    <cfRule type="duplicateValues" dxfId="17" priority="538"/>
  </conditionalFormatting>
  <dataValidations count="5">
    <dataValidation type="list" showInputMessage="1" showErrorMessage="1" sqref="A9" xr:uid="{11AE3898-FE79-4B9C-8BE7-817D3D0457D3}">
      <formula1>Promotores_de_Coordinacion_Activos</formula1>
    </dataValidation>
    <dataValidation type="date" allowBlank="1" showInputMessage="1" showErrorMessage="1" sqref="I9" xr:uid="{7844A8B0-B874-4A84-8A4D-5A82DCC14257}">
      <formula1>B2</formula1>
      <formula2>D2</formula2>
    </dataValidation>
    <dataValidation type="custom" allowBlank="1" showInputMessage="1" showErrorMessage="1" sqref="G9" xr:uid="{0EF9742E-410B-4E01-A773-DD763EE2D7F9}">
      <formula1>G9&lt;&gt;500</formula1>
    </dataValidation>
    <dataValidation type="list" allowBlank="1" showInputMessage="1" showErrorMessage="1" sqref="E9" xr:uid="{75EEBEB2-E9AF-4CCA-890F-3FCB28231AEB}">
      <formula1>Nombres_Planteles</formula1>
    </dataValidation>
    <dataValidation type="list" allowBlank="1" showInputMessage="1" showErrorMessage="1" sqref="B1" xr:uid="{E5384183-AA2F-4FCF-997C-055D3DF177DF}">
      <formula1>Nombres_Coordinadores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CreatePromotorTabs">
                <anchor moveWithCells="1">
                  <from>
                    <xdr:col>12</xdr:col>
                    <xdr:colOff>104775</xdr:colOff>
                    <xdr:row>0</xdr:row>
                    <xdr:rowOff>47625</xdr:rowOff>
                  </from>
                  <to>
                    <xdr:col>13</xdr:col>
                    <xdr:colOff>733425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SumPagoNetoCoordinacion">
                <anchor moveWithCells="1">
                  <from>
                    <xdr:col>12</xdr:col>
                    <xdr:colOff>104775</xdr:colOff>
                    <xdr:row>5</xdr:row>
                    <xdr:rowOff>47625</xdr:rowOff>
                  </from>
                  <to>
                    <xdr:col>13</xdr:col>
                    <xdr:colOff>733425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A3753080-64C2-4314-A369-89B5614B5B7B}">
            <xm:f>COUNTIF('PEDRO MORA'!#REF!, $B9) &gt;1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346D98-AECD-4CCB-AD8D-CF73CEC54FD4}">
          <x14:formula1>
            <xm:f>Planteles!$A$4:$A$15</xm:f>
          </x14:formula1>
          <xm:sqref>J9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F0248-6C78-474A-BD89-B9C3DDF222C0}">
  <sheetPr codeName="Sheet11">
    <tabColor rgb="FF00B050"/>
    <pageSetUpPr fitToPage="1"/>
  </sheetPr>
  <dimension ref="A1:K23"/>
  <sheetViews>
    <sheetView workbookViewId="0">
      <selection activeCell="G17" sqref="G17"/>
    </sheetView>
  </sheetViews>
  <sheetFormatPr defaultColWidth="14.42578125" defaultRowHeight="15.75" x14ac:dyDescent="0.25"/>
  <cols>
    <col min="1" max="1" width="24.85546875" style="13" bestFit="1" customWidth="1"/>
    <col min="2" max="2" width="17.42578125" style="13" bestFit="1" customWidth="1"/>
    <col min="3" max="3" width="31.28515625" style="13" bestFit="1" customWidth="1"/>
    <col min="4" max="4" width="16.42578125" style="13" bestFit="1" customWidth="1"/>
    <col min="5" max="5" width="14.140625" style="13" bestFit="1" customWidth="1"/>
    <col min="6" max="6" width="12.140625" style="13" bestFit="1" customWidth="1"/>
    <col min="7" max="7" width="12.5703125" style="13" bestFit="1" customWidth="1"/>
    <col min="8" max="8" width="12" style="13" bestFit="1" customWidth="1"/>
    <col min="9" max="9" width="29.42578125" style="13" bestFit="1" customWidth="1"/>
    <col min="10" max="10" width="17.7109375" style="13" bestFit="1" customWidth="1"/>
    <col min="11" max="11" width="21" style="13" customWidth="1"/>
    <col min="12" max="12" width="3.28515625" style="13" bestFit="1" customWidth="1"/>
    <col min="13" max="23" width="10.7109375" style="13" customWidth="1"/>
    <col min="24" max="16384" width="14.42578125" style="13"/>
  </cols>
  <sheetData>
    <row r="1" spans="1:11" ht="16.5" thickBot="1" x14ac:dyDescent="0.3">
      <c r="A1" s="32" t="s">
        <v>28</v>
      </c>
      <c r="B1" s="117" t="s">
        <v>146</v>
      </c>
      <c r="C1" s="117"/>
      <c r="D1" s="117"/>
      <c r="F1" s="43" t="s">
        <v>120</v>
      </c>
      <c r="G1" s="46" t="s">
        <v>7</v>
      </c>
      <c r="I1" s="31" t="s">
        <v>59</v>
      </c>
      <c r="J1" s="34">
        <f>Total_Registros_Gerente</f>
        <v>2</v>
      </c>
    </row>
    <row r="2" spans="1:11" ht="16.5" thickBot="1" x14ac:dyDescent="0.3">
      <c r="A2" s="43" t="s">
        <v>31</v>
      </c>
      <c r="B2" s="118"/>
      <c r="C2" s="118"/>
      <c r="D2" s="118"/>
    </row>
    <row r="3" spans="1:11" ht="16.5" thickBot="1" x14ac:dyDescent="0.3">
      <c r="A3" s="43" t="s">
        <v>29</v>
      </c>
      <c r="B3" s="44">
        <v>45736</v>
      </c>
      <c r="C3" s="45" t="s">
        <v>30</v>
      </c>
      <c r="D3" s="46">
        <v>45743</v>
      </c>
      <c r="F3" s="20"/>
      <c r="G3" s="21"/>
      <c r="I3" s="14"/>
    </row>
    <row r="4" spans="1:11" ht="16.5" thickBot="1" x14ac:dyDescent="0.3">
      <c r="A4" s="43" t="s">
        <v>17</v>
      </c>
      <c r="B4" s="48">
        <f>COUNTIFS(Tabla_Promotor19[GRUPO], "&lt;&gt;",
          Tabla_Promotor19[GRUPO], "&lt;&gt;503",
          Tabla_Promotor19[GRUPO], "&lt;&gt;500")</f>
        <v>1</v>
      </c>
      <c r="C4" s="17"/>
      <c r="F4" s="18"/>
      <c r="G4" s="18"/>
      <c r="H4" s="17"/>
      <c r="K4" s="19"/>
    </row>
    <row r="5" spans="1:11" ht="16.5" thickBot="1" x14ac:dyDescent="0.3">
      <c r="A5" s="43" t="s">
        <v>32</v>
      </c>
      <c r="B5" s="47">
        <f>WEEKNUM(B3)</f>
        <v>12</v>
      </c>
      <c r="C5" s="17"/>
      <c r="E5" s="18"/>
      <c r="F5" s="18"/>
      <c r="G5" s="18"/>
      <c r="H5" s="17"/>
      <c r="K5" s="23"/>
    </row>
    <row r="6" spans="1:11" ht="16.5" thickBot="1" x14ac:dyDescent="0.3">
      <c r="A6" s="43" t="s">
        <v>27</v>
      </c>
      <c r="B6" s="46">
        <v>45748</v>
      </c>
      <c r="C6" s="17"/>
      <c r="E6" s="18"/>
      <c r="F6" s="18"/>
      <c r="G6" s="18"/>
      <c r="H6" s="17"/>
      <c r="J6" s="23"/>
      <c r="K6" s="23"/>
    </row>
    <row r="8" spans="1:11" x14ac:dyDescent="0.25">
      <c r="A8" s="16" t="s">
        <v>7</v>
      </c>
      <c r="B8" s="16" t="s">
        <v>18</v>
      </c>
      <c r="C8" s="16" t="s">
        <v>19</v>
      </c>
      <c r="D8" s="28" t="s">
        <v>34</v>
      </c>
      <c r="E8" s="16" t="s">
        <v>33</v>
      </c>
      <c r="F8" s="16" t="s">
        <v>67</v>
      </c>
      <c r="G8" s="16" t="s">
        <v>20</v>
      </c>
      <c r="H8" s="28" t="s">
        <v>1</v>
      </c>
      <c r="I8" s="16" t="s">
        <v>68</v>
      </c>
      <c r="J8" s="16" t="s">
        <v>21</v>
      </c>
      <c r="K8" s="16" t="s">
        <v>22</v>
      </c>
    </row>
    <row r="9" spans="1:11" x14ac:dyDescent="0.25">
      <c r="A9" s="123" t="s">
        <v>133</v>
      </c>
      <c r="B9" s="124">
        <v>18207</v>
      </c>
      <c r="C9" s="124" t="s">
        <v>199</v>
      </c>
      <c r="D9" s="125">
        <f>IF(
    OR(
        Tabla_Promotor19[[#This Row],[GRUPO]] = "",
        Tabla_Promotor19[[#This Row],[GRUPO]] = 500,
        COUNTIF(Tabla_Promotor19[CREDENCIAL], Tabla_Promotor19[[#This Row],[CREDENCIAL]]) &gt; 1,
        COUNTIF(Tabla_Gerente[CREDENCIAL], Tabla_Promotor19[[#This Row],[CREDENCIAL]]) &gt; 1,
    ),
    0,
    IF(
        Tabla_Promotor19[[#This Row],[GRUPO]] = 503,
        Tabla_Promotor19[[#This Row],[PAGO]],
        IF(
            Tabla_Promotor19[[#This Row],[PAGO]] &gt;= 299,
            Tabla_Promotor19[[#This Row],[PAGO]] - 150,
            0
        )
    )
)</f>
        <v>199</v>
      </c>
      <c r="E9" s="124" t="s">
        <v>47</v>
      </c>
      <c r="F9" s="124" t="s">
        <v>200</v>
      </c>
      <c r="G9" s="126">
        <v>9208</v>
      </c>
      <c r="H9" s="131">
        <f>IFERROR(VLOOKUP(Tabla_Promotor19[[#This Row],[CREDENCIAL]], Tabla_Gerente[[CREDENCIAL]:[PAGO]], 7, FALSE), 0)</f>
        <v>349</v>
      </c>
      <c r="I9" s="132">
        <v>45738</v>
      </c>
      <c r="J9" s="129"/>
      <c r="K9" s="129"/>
    </row>
    <row r="10" spans="1:11" x14ac:dyDescent="0.25">
      <c r="A10" s="123" t="s">
        <v>50</v>
      </c>
      <c r="B10" s="124"/>
      <c r="C10" s="124"/>
      <c r="D10" s="125">
        <f>SUBTOTAL(109,Tabla_Promotor19[COMISION])</f>
        <v>199</v>
      </c>
      <c r="E10" s="124"/>
      <c r="F10" s="124"/>
      <c r="G10" s="126"/>
      <c r="H10" s="131"/>
      <c r="I10" s="132"/>
      <c r="J10" s="129"/>
      <c r="K10" s="129"/>
    </row>
    <row r="11" spans="1:11" x14ac:dyDescent="0.25">
      <c r="A11" s="25"/>
      <c r="B11" s="14"/>
      <c r="C11" s="15"/>
      <c r="D11" s="54"/>
      <c r="E11" s="14"/>
      <c r="F11" s="14"/>
      <c r="G11" s="27"/>
      <c r="H11" s="55"/>
      <c r="I11" s="14"/>
      <c r="J11" s="16"/>
      <c r="K11" s="16"/>
    </row>
    <row r="12" spans="1:11" x14ac:dyDescent="0.25">
      <c r="A12" s="25" t="s">
        <v>13</v>
      </c>
      <c r="D12" s="74">
        <f>_xlfn.IFNA(VLOOKUP(Nombre_Promotor,Sueldos_Base[],2,FALSE),0)</f>
        <v>0</v>
      </c>
      <c r="E12" s="16"/>
      <c r="F12" s="15"/>
      <c r="H12" s="15"/>
      <c r="J12" s="24"/>
    </row>
    <row r="13" spans="1:11" ht="16.5" thickBot="1" x14ac:dyDescent="0.3">
      <c r="A13" s="37" t="s">
        <v>45</v>
      </c>
      <c r="B13" s="38">
        <f>IF(Total_Registros_Promotor &lt; Premios!A5, 0,
   VLOOKUP(Total_Registros_Promotor, Premios_Promotor[], 1, TRUE))</f>
        <v>0</v>
      </c>
      <c r="C13" s="34"/>
      <c r="D13" s="36">
        <f>IF(Premio_Promotor &gt; 0,
   VLOOKUP(Premio_Promotor, Premios_Promotor[],
      VLOOKUP(Total_Registros_Gerente, Tabulador_Premio_Promotor_Total_Gerencia[], 2, TRUE),
   FALSE),
   0)</f>
        <v>0</v>
      </c>
      <c r="E13" s="16"/>
      <c r="F13" s="15"/>
      <c r="H13" s="15"/>
      <c r="J13" s="24"/>
    </row>
    <row r="14" spans="1:11" x14ac:dyDescent="0.25">
      <c r="A14" s="27" t="s">
        <v>46</v>
      </c>
      <c r="B14" s="18"/>
      <c r="D14" s="28">
        <f>Tabla_Promotor19[[#Totals],[COMISION]] + Pago_Sueldo_Base_Promotor + Pago_Premio_Promotor</f>
        <v>199</v>
      </c>
      <c r="E14" s="16"/>
      <c r="F14" s="15"/>
      <c r="H14" s="15"/>
      <c r="J14" s="24"/>
    </row>
    <row r="15" spans="1:11" x14ac:dyDescent="0.25">
      <c r="A15" s="27" t="s">
        <v>124</v>
      </c>
      <c r="B15" s="18"/>
      <c r="C15" s="29"/>
      <c r="D15" s="39">
        <f>_xlfn.IFNA(SUMIFS(Descuentos[DESCUENTO], Descuentos[COLABORADOR], Nombre_Promotor, Descuentos[PUESTO], Puesto_Promotor), 0)</f>
        <v>0</v>
      </c>
      <c r="E15" s="16" t="s">
        <v>127</v>
      </c>
      <c r="F15" s="15"/>
      <c r="H15" s="15"/>
      <c r="I15" s="18"/>
      <c r="J15" s="22"/>
      <c r="K15" s="22"/>
    </row>
    <row r="16" spans="1:11" ht="16.5" thickBot="1" x14ac:dyDescent="0.3">
      <c r="A16" s="35"/>
      <c r="C16" s="29"/>
      <c r="D16" s="28"/>
      <c r="E16" s="16"/>
      <c r="F16" s="15"/>
    </row>
    <row r="17" spans="1:9" ht="16.5" thickBot="1" x14ac:dyDescent="0.3">
      <c r="A17" s="37" t="s">
        <v>49</v>
      </c>
      <c r="B17" s="34"/>
      <c r="C17" s="50"/>
      <c r="D17" s="30">
        <f>Pago_Subtotal_Promotor + Descuento_Promotor</f>
        <v>199</v>
      </c>
      <c r="E17" s="16"/>
      <c r="F17" s="15"/>
    </row>
    <row r="18" spans="1:9" x14ac:dyDescent="0.25">
      <c r="C18" s="29"/>
      <c r="D18" s="28"/>
      <c r="E18" s="26"/>
      <c r="F18" s="26"/>
    </row>
    <row r="19" spans="1:9" x14ac:dyDescent="0.25">
      <c r="C19" s="29"/>
      <c r="D19" s="28"/>
      <c r="E19" s="26"/>
      <c r="F19" s="26"/>
    </row>
    <row r="20" spans="1:9" ht="16.5" thickBot="1" x14ac:dyDescent="0.3">
      <c r="C20" s="37" t="s">
        <v>25</v>
      </c>
      <c r="D20" s="119" t="str" cm="1">
        <f t="array" ref="D20">NumeroATexto(Pago_Neto_Promotor)</f>
        <v>CIENTO NOVENTA Y NUEVE PESOS 00/100</v>
      </c>
      <c r="E20" s="119"/>
      <c r="F20" s="119"/>
      <c r="G20" s="119"/>
      <c r="H20" s="119"/>
      <c r="I20" s="119"/>
    </row>
    <row r="21" spans="1:9" x14ac:dyDescent="0.25">
      <c r="C21" s="27"/>
      <c r="D21" s="26"/>
      <c r="E21" s="16"/>
      <c r="F21" s="15"/>
    </row>
    <row r="22" spans="1:9" x14ac:dyDescent="0.25">
      <c r="C22" s="29"/>
      <c r="D22" s="28"/>
    </row>
    <row r="23" spans="1:9" ht="16.5" thickBot="1" x14ac:dyDescent="0.3">
      <c r="C23" s="33" t="s">
        <v>26</v>
      </c>
      <c r="D23" s="120"/>
      <c r="E23" s="120"/>
      <c r="F23" s="120"/>
      <c r="G23" s="120"/>
      <c r="H23" s="120"/>
      <c r="I23" s="120"/>
    </row>
  </sheetData>
  <mergeCells count="4">
    <mergeCell ref="B1:D1"/>
    <mergeCell ref="B2:D2"/>
    <mergeCell ref="D20:I20"/>
    <mergeCell ref="D23:I23"/>
  </mergeCells>
  <conditionalFormatting sqref="D9">
    <cfRule type="expression" dxfId="16" priority="1">
      <formula>$G9=501</formula>
    </cfRule>
    <cfRule type="cellIs" dxfId="15" priority="4" operator="equal">
      <formula>0</formula>
    </cfRule>
  </conditionalFormatting>
  <conditionalFormatting sqref="G9">
    <cfRule type="cellIs" dxfId="14" priority="2" operator="equal">
      <formula>503</formula>
    </cfRule>
    <cfRule type="cellIs" dxfId="13" priority="3" operator="equal">
      <formula>501</formula>
    </cfRule>
  </conditionalFormatting>
  <conditionalFormatting sqref="B9">
    <cfRule type="duplicateValues" dxfId="11" priority="541"/>
  </conditionalFormatting>
  <dataValidations count="4">
    <dataValidation type="date" allowBlank="1" showInputMessage="1" showErrorMessage="1" sqref="I9" xr:uid="{AE85F5F7-B759-4D70-9C5A-888BEE119D04}">
      <formula1>B2</formula1>
      <formula2>D2</formula2>
    </dataValidation>
    <dataValidation type="custom" allowBlank="1" showInputMessage="1" showErrorMessage="1" sqref="G9" xr:uid="{B2B4EDFF-B131-414A-9C03-0DC07900FB4F}">
      <formula1>G9&lt;&gt;500</formula1>
    </dataValidation>
    <dataValidation type="list" allowBlank="1" showInputMessage="1" showErrorMessage="1" sqref="E9" xr:uid="{6EAFCDE6-5FF2-4FC9-AB52-CE234E6438DB}">
      <formula1>Nombres_Planteles</formula1>
    </dataValidation>
    <dataValidation type="list" allowBlank="1" showInputMessage="1" showErrorMessage="1" sqref="B1" xr:uid="{1B3BB076-0631-4C0C-94B0-815D51D8D0A8}">
      <formula1>Nombres_Promotores</formula1>
    </dataValidation>
  </dataValidations>
  <pageMargins left="0.7" right="0.7" top="0.75" bottom="0.75" header="0.3" footer="0.3"/>
  <pageSetup scale="47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AC9F1A6F-EEE5-4631-BA41-7B3D342E85C0}">
            <xm:f>COUNTIF('PEDRO MORA'!#REF!, $B9) &gt; 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8045BC2-7CCB-4EC0-B242-32E34D6C6D18}">
          <x14:formula1>
            <xm:f>Planteles!$A$4:$A$15</xm:f>
          </x14:formula1>
          <xm:sqref>J9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117</vt:i4>
      </vt:variant>
    </vt:vector>
  </HeadingPairs>
  <TitlesOfParts>
    <vt:vector size="127" baseType="lpstr">
      <vt:lpstr>Premios</vt:lpstr>
      <vt:lpstr>Planteles</vt:lpstr>
      <vt:lpstr>Tabuladores</vt:lpstr>
      <vt:lpstr>Colaboradores</vt:lpstr>
      <vt:lpstr>Ejemplo Coordinacion</vt:lpstr>
      <vt:lpstr>Ejemplo Promotor</vt:lpstr>
      <vt:lpstr>PEDRO MORA</vt:lpstr>
      <vt:lpstr>MARIANA PACHECO</vt:lpstr>
      <vt:lpstr>OLIVIA PACHECO</vt:lpstr>
      <vt:lpstr>EFRAIN CORTES</vt:lpstr>
      <vt:lpstr>'EFRAIN CORTES'!Alias_Coordinadores</vt:lpstr>
      <vt:lpstr>'MARIANA PACHECO'!Alias_Coordinadores</vt:lpstr>
      <vt:lpstr>'OLIVIA PACHECO'!Alias_Coordinadores</vt:lpstr>
      <vt:lpstr>Alias_Coordinadores</vt:lpstr>
      <vt:lpstr>'EFRAIN CORTES'!Alias_Gerentes</vt:lpstr>
      <vt:lpstr>'MARIANA PACHECO'!Alias_Gerentes</vt:lpstr>
      <vt:lpstr>'OLIVIA PACHECO'!Alias_Gerentes</vt:lpstr>
      <vt:lpstr>Alias_Gerentes</vt:lpstr>
      <vt:lpstr>'EFRAIN CORTES'!Alias_Lookup</vt:lpstr>
      <vt:lpstr>'MARIANA PACHECO'!Alias_Lookup</vt:lpstr>
      <vt:lpstr>'OLIVIA PACHECO'!Alias_Lookup</vt:lpstr>
      <vt:lpstr>Alias_Lookup</vt:lpstr>
      <vt:lpstr>'EFRAIN CORTES'!Alias_Promotores</vt:lpstr>
      <vt:lpstr>'MARIANA PACHECO'!Alias_Promotores</vt:lpstr>
      <vt:lpstr>'OLIVIA PACHECO'!Alias_Promotores</vt:lpstr>
      <vt:lpstr>Alias_Promotores</vt:lpstr>
      <vt:lpstr>'MARIANA PACHECO'!Cantidad_Con_Letra_Coordinador</vt:lpstr>
      <vt:lpstr>'OLIVIA PACHECO'!Cantidad_Con_Letra_Coordinador</vt:lpstr>
      <vt:lpstr>Cantidad_Con_Letra_Coordinador</vt:lpstr>
      <vt:lpstr>Cantidad_Con_Letra_Gerente</vt:lpstr>
      <vt:lpstr>'EFRAIN CORTES'!Cantidad_Con_Letra_Promotor</vt:lpstr>
      <vt:lpstr>Cantidad_Con_Letra_Promotor</vt:lpstr>
      <vt:lpstr>Coordinadores_Activos</vt:lpstr>
      <vt:lpstr>'MARIANA PACHECO'!Deduccion_Coordinador</vt:lpstr>
      <vt:lpstr>'OLIVIA PACHECO'!Deduccion_Coordinador</vt:lpstr>
      <vt:lpstr>Deduccion_Coordinador</vt:lpstr>
      <vt:lpstr>Deduccion_Gerente</vt:lpstr>
      <vt:lpstr>'MARIANA PACHECO'!Descuento_Coordinador</vt:lpstr>
      <vt:lpstr>'OLIVIA PACHECO'!Descuento_Coordinador</vt:lpstr>
      <vt:lpstr>Descuento_Coordinador</vt:lpstr>
      <vt:lpstr>Descuento_Gerente</vt:lpstr>
      <vt:lpstr>'EFRAIN CORTES'!Descuento_Promotor</vt:lpstr>
      <vt:lpstr>Descuento_Promotor</vt:lpstr>
      <vt:lpstr>Fecha_de_expedicion</vt:lpstr>
      <vt:lpstr>'EFRAIN CORTES'!Gerencia_de_Coordinadores</vt:lpstr>
      <vt:lpstr>'MARIANA PACHECO'!Gerencia_de_Coordinadores</vt:lpstr>
      <vt:lpstr>'OLIVIA PACHECO'!Gerencia_de_Coordinadores</vt:lpstr>
      <vt:lpstr>Gerencia_de_Coordinadores</vt:lpstr>
      <vt:lpstr>'MARIANA PACHECO'!Nombre_Coordinador</vt:lpstr>
      <vt:lpstr>'OLIVIA PACHECO'!Nombre_Coordinador</vt:lpstr>
      <vt:lpstr>Nombre_Coordinador</vt:lpstr>
      <vt:lpstr>Nombre_Gerente</vt:lpstr>
      <vt:lpstr>'EFRAIN CORTES'!Nombre_Promotor</vt:lpstr>
      <vt:lpstr>Nombre_Promotor</vt:lpstr>
      <vt:lpstr>'EFRAIN CORTES'!Nombres_Coordinadores</vt:lpstr>
      <vt:lpstr>'MARIANA PACHECO'!Nombres_Coordinadores</vt:lpstr>
      <vt:lpstr>'OLIVIA PACHECO'!Nombres_Coordinadores</vt:lpstr>
      <vt:lpstr>Nombres_Coordinadores</vt:lpstr>
      <vt:lpstr>'EFRAIN CORTES'!Nombres_Gerentes</vt:lpstr>
      <vt:lpstr>'MARIANA PACHECO'!Nombres_Gerentes</vt:lpstr>
      <vt:lpstr>'OLIVIA PACHECO'!Nombres_Gerentes</vt:lpstr>
      <vt:lpstr>Nombres_Gerentes</vt:lpstr>
      <vt:lpstr>'EFRAIN CORTES'!Nombres_Planteles</vt:lpstr>
      <vt:lpstr>'MARIANA PACHECO'!Nombres_Planteles</vt:lpstr>
      <vt:lpstr>'OLIVIA PACHECO'!Nombres_Planteles</vt:lpstr>
      <vt:lpstr>Nombres_Planteles</vt:lpstr>
      <vt:lpstr>'EFRAIN CORTES'!Nombres_Promotores</vt:lpstr>
      <vt:lpstr>'MARIANA PACHECO'!Nombres_Promotores</vt:lpstr>
      <vt:lpstr>'OLIVIA PACHECO'!Nombres_Promotores</vt:lpstr>
      <vt:lpstr>Nombres_Promotores</vt:lpstr>
      <vt:lpstr>Numero_de_semana</vt:lpstr>
      <vt:lpstr>'MARIANA PACHECO'!Pago_Neto_Coordinador</vt:lpstr>
      <vt:lpstr>'OLIVIA PACHECO'!Pago_Neto_Coordinador</vt:lpstr>
      <vt:lpstr>Pago_Neto_Coordinador</vt:lpstr>
      <vt:lpstr>Pago_Neto_Gerente</vt:lpstr>
      <vt:lpstr>'EFRAIN CORTES'!Pago_Neto_Promotor</vt:lpstr>
      <vt:lpstr>Pago_Neto_Promotor</vt:lpstr>
      <vt:lpstr>'MARIANA PACHECO'!Pago_Premio_Coordinador</vt:lpstr>
      <vt:lpstr>'OLIVIA PACHECO'!Pago_Premio_Coordinador</vt:lpstr>
      <vt:lpstr>Pago_Premio_Coordinador</vt:lpstr>
      <vt:lpstr>Pago_Premio_Gerente</vt:lpstr>
      <vt:lpstr>'EFRAIN CORTES'!Pago_Premio_Promotor</vt:lpstr>
      <vt:lpstr>Pago_Premio_Promotor</vt:lpstr>
      <vt:lpstr>'MARIANA PACHECO'!Pago_Subtotal_Coordinador</vt:lpstr>
      <vt:lpstr>'OLIVIA PACHECO'!Pago_Subtotal_Coordinador</vt:lpstr>
      <vt:lpstr>Pago_Subtotal_Coordinador</vt:lpstr>
      <vt:lpstr>Pago_Subtotal_Gerente</vt:lpstr>
      <vt:lpstr>'EFRAIN CORTES'!Pago_Subtotal_Promotor</vt:lpstr>
      <vt:lpstr>Pago_Subtotal_Promotor</vt:lpstr>
      <vt:lpstr>'MARIANA PACHECO'!Pago_Sueldo_Base_Coordinador</vt:lpstr>
      <vt:lpstr>'OLIVIA PACHECO'!Pago_Sueldo_Base_Coordinador</vt:lpstr>
      <vt:lpstr>Pago_Sueldo_Base_Coordinador</vt:lpstr>
      <vt:lpstr>Pago_Sueldo_Base_Gerente</vt:lpstr>
      <vt:lpstr>'EFRAIN CORTES'!Pago_Sueldo_Base_Promotor</vt:lpstr>
      <vt:lpstr>Pago_Sueldo_Base_Promotor</vt:lpstr>
      <vt:lpstr>Periodo_de_pago_final</vt:lpstr>
      <vt:lpstr>Periodo_de_pago_inicial</vt:lpstr>
      <vt:lpstr>'MARIANA PACHECO'!Premio_Coordinador</vt:lpstr>
      <vt:lpstr>'OLIVIA PACHECO'!Premio_Coordinador</vt:lpstr>
      <vt:lpstr>Premio_Coordinador</vt:lpstr>
      <vt:lpstr>Premio_Gerente</vt:lpstr>
      <vt:lpstr>'EFRAIN CORTES'!Premio_Promotor</vt:lpstr>
      <vt:lpstr>Premio_Promotor</vt:lpstr>
      <vt:lpstr>Promotores_Activos</vt:lpstr>
      <vt:lpstr>'MARIANA PACHECO'!Promotores_de_Coordinacion_Activos</vt:lpstr>
      <vt:lpstr>'OLIVIA PACHECO'!Promotores_de_Coordinacion_Activos</vt:lpstr>
      <vt:lpstr>Promotores_de_Coordinacion_Activos</vt:lpstr>
      <vt:lpstr>'MARIANA PACHECO'!Puesto_Coordinador</vt:lpstr>
      <vt:lpstr>'OLIVIA PACHECO'!Puesto_Coordinador</vt:lpstr>
      <vt:lpstr>Puesto_Coordinador</vt:lpstr>
      <vt:lpstr>Puesto_Gerente</vt:lpstr>
      <vt:lpstr>'EFRAIN CORTES'!Puesto_Promotor</vt:lpstr>
      <vt:lpstr>Puesto_Promotor</vt:lpstr>
      <vt:lpstr>'EFRAIN CORTES'!Puestos</vt:lpstr>
      <vt:lpstr>'MARIANA PACHECO'!Puestos</vt:lpstr>
      <vt:lpstr>'OLIVIA PACHECO'!Puestos</vt:lpstr>
      <vt:lpstr>Puestos</vt:lpstr>
      <vt:lpstr>Razon_Social</vt:lpstr>
      <vt:lpstr>Sueldo_Base_Coordinador</vt:lpstr>
      <vt:lpstr>Sueldo_Base_Gerente</vt:lpstr>
      <vt:lpstr>Total_De_La_Gerencia</vt:lpstr>
      <vt:lpstr>'MARIANA PACHECO'!Total_Registros_Coordinador</vt:lpstr>
      <vt:lpstr>'OLIVIA PACHECO'!Total_Registros_Coordinador</vt:lpstr>
      <vt:lpstr>Total_Registros_Coordinador</vt:lpstr>
      <vt:lpstr>Total_Registros_Gerente</vt:lpstr>
      <vt:lpstr>'EFRAIN CORTES'!Total_Registros_Promotor</vt:lpstr>
      <vt:lpstr>Total_Registros_Promotor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RH-1</dc:creator>
  <cp:lastModifiedBy>Juan Pablo Garcia Murillo</cp:lastModifiedBy>
  <cp:lastPrinted>2025-03-29T16:25:03Z</cp:lastPrinted>
  <dcterms:created xsi:type="dcterms:W3CDTF">2020-02-08T17:47:59Z</dcterms:created>
  <dcterms:modified xsi:type="dcterms:W3CDTF">2025-04-06T06:42:12Z</dcterms:modified>
</cp:coreProperties>
</file>