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uanpablogarciamurillo/Code/Excel CorpW/Excel File/"/>
    </mc:Choice>
  </mc:AlternateContent>
  <xr:revisionPtr revIDLastSave="0" documentId="13_ncr:1_{1FF5D16A-AA0B-9B4E-8721-78B1FA648610}" xr6:coauthVersionLast="47" xr6:coauthVersionMax="47" xr10:uidLastSave="{00000000-0000-0000-0000-000000000000}"/>
  <bookViews>
    <workbookView xWindow="44540" yWindow="5500" windowWidth="45860" windowHeight="28300" tabRatio="926" activeTab="6" xr2:uid="{00000000-000D-0000-FFFF-FFFF00000000}"/>
  </bookViews>
  <sheets>
    <sheet name="Premios" sheetId="3" state="hidden" r:id="rId1"/>
    <sheet name="Tabuladores" sheetId="1" state="hidden" r:id="rId2"/>
    <sheet name="Colaboradores" sheetId="11" state="hidden" r:id="rId3"/>
    <sheet name="Planteles" sheetId="492" state="hidden" r:id="rId4"/>
    <sheet name="Cursos" sheetId="443" state="hidden" r:id="rId5"/>
    <sheet name="Resultados" sheetId="464" r:id="rId6"/>
    <sheet name="Dashboard" sheetId="396" r:id="rId7"/>
    <sheet name="Coordinadores" sheetId="7" state="hidden" r:id="rId8"/>
    <sheet name="Promotores" sheetId="8" state="hidden" r:id="rId9"/>
    <sheet name="PEDRO MORA" sheetId="5" r:id="rId10"/>
    <sheet name="MARIANA PACHECO" sheetId="756" r:id="rId11"/>
    <sheet name="PEDRO GUTIERREZ" sheetId="763" r:id="rId12"/>
    <sheet name="FATIMA HERNANDEZ" sheetId="762" r:id="rId13"/>
    <sheet name="YANISSE TORRES" sheetId="761" r:id="rId14"/>
    <sheet name="LIZBETH MORALES" sheetId="760" r:id="rId15"/>
    <sheet name="EUNICE MORALES" sheetId="759" r:id="rId16"/>
    <sheet name="OLIVIA PACHECO" sheetId="757" r:id="rId17"/>
    <sheet name="HUGO PACHECO" sheetId="767" r:id="rId18"/>
    <sheet name="ENRIQUE OJEDA" sheetId="766" r:id="rId19"/>
    <sheet name="EFRAIN CORTES" sheetId="765" r:id="rId20"/>
    <sheet name="DAMIAN BRAVO" sheetId="764" r:id="rId21"/>
  </sheets>
  <functionGroups builtInGroupCount="19"/>
  <externalReferences>
    <externalReference r:id="rId22"/>
  </externalReferences>
  <definedNames>
    <definedName name="_xlnm._FilterDatabase" localSheetId="9" hidden="1">'PEDRO MORA'!$A$7:$L$7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 localSheetId="20">Tabla_Coordinadores[ALIAS]</definedName>
    <definedName name="Alias_Coordinadores" localSheetId="19">Tabla_Coordinadores[ALIAS]</definedName>
    <definedName name="Alias_Coordinadores" localSheetId="18">Tabla_Coordinadores[ALIAS]</definedName>
    <definedName name="Alias_Coordinadores" localSheetId="15">Tabla_Coordinadores[ALIAS]</definedName>
    <definedName name="Alias_Coordinadores" localSheetId="12">Tabla_Coordinadores[ALIAS]</definedName>
    <definedName name="Alias_Coordinadores" localSheetId="17">Tabla_Coordinadores[ALIAS]</definedName>
    <definedName name="Alias_Coordinadores" localSheetId="14">Tabla_Coordinadores[ALIAS]</definedName>
    <definedName name="Alias_Coordinadores" localSheetId="10">Tabla_Coordinadores[ALIAS]</definedName>
    <definedName name="Alias_Coordinadores" localSheetId="16">Tabla_Coordinadores[ALIAS]</definedName>
    <definedName name="Alias_Coordinadores" localSheetId="11">Tabla_Coordinadores[ALIAS]</definedName>
    <definedName name="Alias_Coordinadores" localSheetId="13">Tabla_Coordinadores[ALIAS]</definedName>
    <definedName name="Alias_Coordinadores">Tabla_Coordinadores[ALIAS]</definedName>
    <definedName name="Alias_Gerentes" localSheetId="20">Tabla_Gerentes[ALIAS]</definedName>
    <definedName name="Alias_Gerentes" localSheetId="19">Tabla_Gerentes[ALIAS]</definedName>
    <definedName name="Alias_Gerentes" localSheetId="18">Tabla_Gerentes[ALIAS]</definedName>
    <definedName name="Alias_Gerentes" localSheetId="15">Tabla_Gerentes[ALIAS]</definedName>
    <definedName name="Alias_Gerentes" localSheetId="12">Tabla_Gerentes[ALIAS]</definedName>
    <definedName name="Alias_Gerentes" localSheetId="17">Tabla_Gerentes[ALIAS]</definedName>
    <definedName name="Alias_Gerentes" localSheetId="14">Tabla_Gerentes[ALIAS]</definedName>
    <definedName name="Alias_Gerentes" localSheetId="10">Tabla_Gerentes[ALIAS]</definedName>
    <definedName name="Alias_Gerentes" localSheetId="16">Tabla_Gerentes[ALIAS]</definedName>
    <definedName name="Alias_Gerentes" localSheetId="11">Tabla_Gerentes[ALIAS]</definedName>
    <definedName name="Alias_Gerentes" localSheetId="13">Tabla_Gerentes[ALIAS]</definedName>
    <definedName name="Alias_Gerentes">Tabla_Gerentes[ALIAS]</definedName>
    <definedName name="Alias_Lookup" localSheetId="20">Tabla_Promotores[[ALIAS]:[COORDINACION]]</definedName>
    <definedName name="Alias_Lookup" localSheetId="19">Tabla_Promotores[[ALIAS]:[COORDINACION]]</definedName>
    <definedName name="Alias_Lookup" localSheetId="18">Tabla_Promotores[[ALIAS]:[COORDINACION]]</definedName>
    <definedName name="Alias_Lookup" localSheetId="15">Tabla_Promotores[[ALIAS]:[COORDINACION]]</definedName>
    <definedName name="Alias_Lookup" localSheetId="12">Tabla_Promotores[[ALIAS]:[COORDINACION]]</definedName>
    <definedName name="Alias_Lookup" localSheetId="17">Tabla_Promotores[[ALIAS]:[COORDINACION]]</definedName>
    <definedName name="Alias_Lookup" localSheetId="14">Tabla_Promotores[[ALIAS]:[COORDINACION]]</definedName>
    <definedName name="Alias_Lookup" localSheetId="10">Tabla_Promotores[[ALIAS]:[COORDINACION]]</definedName>
    <definedName name="Alias_Lookup" localSheetId="16">Tabla_Promotores[[ALIAS]:[COORDINACION]]</definedName>
    <definedName name="Alias_Lookup" localSheetId="11">Tabla_Promotores[[ALIAS]:[COORDINACION]]</definedName>
    <definedName name="Alias_Lookup" localSheetId="13">Tabla_Promotores[[ALIAS]:[COORDINACION]]</definedName>
    <definedName name="Alias_Lookup">Tabla_Promotores[[ALIAS]:[COORDINACION]]</definedName>
    <definedName name="Alias_Promotores" localSheetId="20">Tabla_Promotores[ALIAS]</definedName>
    <definedName name="Alias_Promotores" localSheetId="19">Tabla_Promotores[ALIAS]</definedName>
    <definedName name="Alias_Promotores" localSheetId="18">Tabla_Promotores[ALIAS]</definedName>
    <definedName name="Alias_Promotores" localSheetId="15">Tabla_Promotores[ALIAS]</definedName>
    <definedName name="Alias_Promotores" localSheetId="12">Tabla_Promotores[ALIAS]</definedName>
    <definedName name="Alias_Promotores" localSheetId="17">Tabla_Promotores[ALIAS]</definedName>
    <definedName name="Alias_Promotores" localSheetId="14">Tabla_Promotores[ALIAS]</definedName>
    <definedName name="Alias_Promotores" localSheetId="10">Tabla_Promotores[ALIAS]</definedName>
    <definedName name="Alias_Promotores" localSheetId="16">Tabla_Promotores[ALIAS]</definedName>
    <definedName name="Alias_Promotores" localSheetId="11">Tabla_Promotores[ALIAS]</definedName>
    <definedName name="Alias_Promotores" localSheetId="13">Tabla_Promotores[ALIAS]</definedName>
    <definedName name="Alias_Promotores">Tabla_Promotores[ALIAS]</definedName>
    <definedName name="Cantidad_Con_Letra_Coordinador" localSheetId="10">'MARIANA PACHECO'!$D$49</definedName>
    <definedName name="Cantidad_Con_Letra_Coordinador" localSheetId="16">'OLIVIA PACHECO'!$D$50</definedName>
    <definedName name="Cantidad_Con_Letra_Coordinador">Coordinadores!$D$20</definedName>
    <definedName name="Cantidad_Con_Letra_Gerente">'PEDRO MORA'!$E$80</definedName>
    <definedName name="Cantidad_Con_Letra_Promotor" localSheetId="20">'DAMIAN BRAVO'!$D$24</definedName>
    <definedName name="Cantidad_Con_Letra_Promotor" localSheetId="19">'EFRAIN CORTES'!$D$29</definedName>
    <definedName name="Cantidad_Con_Letra_Promotor" localSheetId="18">'ENRIQUE OJEDA'!$D$27</definedName>
    <definedName name="Cantidad_Con_Letra_Promotor" localSheetId="15">'EUNICE MORALES'!$D$33</definedName>
    <definedName name="Cantidad_Con_Letra_Promotor" localSheetId="12">'FATIMA HERNANDEZ'!$D$25</definedName>
    <definedName name="Cantidad_Con_Letra_Promotor" localSheetId="17">'HUGO PACHECO'!$D$23</definedName>
    <definedName name="Cantidad_Con_Letra_Promotor" localSheetId="14">'LIZBETH MORALES'!$D$22</definedName>
    <definedName name="Cantidad_Con_Letra_Promotor" localSheetId="11">'PEDRO GUTIERREZ'!$D$22</definedName>
    <definedName name="Cantidad_Con_Letra_Promotor" localSheetId="13">'YANISSE TORRES'!$D$19</definedName>
    <definedName name="Cantidad_Con_Letra_Promotor">Promotores!$D$19</definedName>
    <definedName name="Coordinadores_Activos" localSheetId="20">Tabla_Coordinadores_Gerencia_Activa[COORDINADOR]</definedName>
    <definedName name="Coordinadores_Activos" localSheetId="19">Tabla_Coordinadores_Gerencia_Activa[COORDINADOR]</definedName>
    <definedName name="Coordinadores_Activos" localSheetId="18">Tabla_Coordinadores_Gerencia_Activa[COORDINADOR]</definedName>
    <definedName name="Coordinadores_Activos" localSheetId="15">Tabla_Coordinadores_Gerencia_Activa[COORDINADOR]</definedName>
    <definedName name="Coordinadores_Activos" localSheetId="12">Tabla_Coordinadores_Gerencia_Activa[COORDINADOR]</definedName>
    <definedName name="Coordinadores_Activos" localSheetId="17">Tabla_Coordinadores_Gerencia_Activa[COORDINADOR]</definedName>
    <definedName name="Coordinadores_Activos" localSheetId="14">Tabla_Coordinadores_Gerencia_Activa[COORDINADOR]</definedName>
    <definedName name="Coordinadores_Activos" localSheetId="10">Tabla_Coordinadores_Gerencia_Activa[COORDINADOR]</definedName>
    <definedName name="Coordinadores_Activos" localSheetId="16">Tabla_Coordinadores_Gerencia_Activa[COORDINADOR]</definedName>
    <definedName name="Coordinadores_Activos" localSheetId="11">Tabla_Coordinadores_Gerencia_Activa[COORDINADOR]</definedName>
    <definedName name="Coordinadores_Activos" localSheetId="13">Tabla_Coordinadores_Gerencia_Activa[COORDINADOR]</definedName>
    <definedName name="Coordinadores_Activos">Tabla_Coordinadores_Gerencia_Activa[COORDINADOR]</definedName>
    <definedName name="Cursos" localSheetId="20">Tabla_Cursos[CURSOS]</definedName>
    <definedName name="Cursos" localSheetId="19">Tabla_Cursos[CURSOS]</definedName>
    <definedName name="Cursos" localSheetId="18">Tabla_Cursos[CURSOS]</definedName>
    <definedName name="Cursos" localSheetId="15">Tabla_Cursos[CURSOS]</definedName>
    <definedName name="Cursos" localSheetId="12">Tabla_Cursos[CURSOS]</definedName>
    <definedName name="Cursos" localSheetId="17">Tabla_Cursos[CURSOS]</definedName>
    <definedName name="Cursos" localSheetId="14">Tabla_Cursos[CURSOS]</definedName>
    <definedName name="Cursos" localSheetId="10">Tabla_Cursos[CURSOS]</definedName>
    <definedName name="Cursos" localSheetId="16">Tabla_Cursos[CURSOS]</definedName>
    <definedName name="Cursos" localSheetId="11">Tabla_Cursos[CURSOS]</definedName>
    <definedName name="Cursos" localSheetId="13">Tabla_Cursos[CURSOS]</definedName>
    <definedName name="Cursos">Tabla_Cursos[CURSOS]</definedName>
    <definedName name="Deduccion_Coordinador" localSheetId="10">'MARIANA PACHECO'!$D$45</definedName>
    <definedName name="Deduccion_Coordinador" localSheetId="16">'OLIVIA PACHECO'!$D$46</definedName>
    <definedName name="Deduccion_Coordinador">Coordinadores!$D$16</definedName>
    <definedName name="Deduccion_Gerente">'PEDRO MORA'!$E$75</definedName>
    <definedName name="Descuento_Coordinador" localSheetId="10">'MARIANA PACHECO'!$D$44</definedName>
    <definedName name="Descuento_Coordinador" localSheetId="16">'OLIVIA PACHECO'!$D$45</definedName>
    <definedName name="Descuento_Coordinador">Coordinadores!$D$15</definedName>
    <definedName name="Descuento_Gerente">'PEDRO MORA'!$E$74</definedName>
    <definedName name="Descuento_Promotor" localSheetId="20">'DAMIAN BRAVO'!$D$20</definedName>
    <definedName name="Descuento_Promotor" localSheetId="19">'EFRAIN CORTES'!$D$25</definedName>
    <definedName name="Descuento_Promotor" localSheetId="18">'ENRIQUE OJEDA'!$D$23</definedName>
    <definedName name="Descuento_Promotor" localSheetId="15">'EUNICE MORALES'!$D$29</definedName>
    <definedName name="Descuento_Promotor" localSheetId="12">'FATIMA HERNANDEZ'!$D$21</definedName>
    <definedName name="Descuento_Promotor" localSheetId="17">'HUGO PACHECO'!$D$19</definedName>
    <definedName name="Descuento_Promotor" localSheetId="14">'LIZBETH MORALES'!$D$18</definedName>
    <definedName name="Descuento_Promotor" localSheetId="11">'PEDRO GUTIERREZ'!$D$18</definedName>
    <definedName name="Descuento_Promotor" localSheetId="13">'YANISSE TORRES'!$D$15</definedName>
    <definedName name="Descuento_Promotor">Promotores!$D$15</definedName>
    <definedName name="Fecha_de_expedicion">'PEDRO MORA'!$B$6</definedName>
    <definedName name="FilteredPromotores">OFFSET([1]Sheet1!$Z$9, 0, 0, COUNTA([1]Sheet1!$Z:$Z), 1)</definedName>
    <definedName name="Gerencia_de_Coordinadores" localSheetId="20">Tabla_Coordinadores[GERENCIA]</definedName>
    <definedName name="Gerencia_de_Coordinadores" localSheetId="19">Tabla_Coordinadores[GERENCIA]</definedName>
    <definedName name="Gerencia_de_Coordinadores" localSheetId="18">Tabla_Coordinadores[GERENCIA]</definedName>
    <definedName name="Gerencia_de_Coordinadores" localSheetId="15">Tabla_Coordinadores[GERENCIA]</definedName>
    <definedName name="Gerencia_de_Coordinadores" localSheetId="12">Tabla_Coordinadores[GERENCIA]</definedName>
    <definedName name="Gerencia_de_Coordinadores" localSheetId="17">Tabla_Coordinadores[GERENCIA]</definedName>
    <definedName name="Gerencia_de_Coordinadores" localSheetId="14">Tabla_Coordinadores[GERENCIA]</definedName>
    <definedName name="Gerencia_de_Coordinadores" localSheetId="10">Tabla_Coordinadores[GERENCIA]</definedName>
    <definedName name="Gerencia_de_Coordinadores" localSheetId="16">Tabla_Coordinadores[GERENCIA]</definedName>
    <definedName name="Gerencia_de_Coordinadores" localSheetId="11">Tabla_Coordinadores[GERENCIA]</definedName>
    <definedName name="Gerencia_de_Coordinadores" localSheetId="13">Tabla_Coordinadores[GERENCIA]</definedName>
    <definedName name="Gerencia_de_Coordinadores">Tabla_Coordinadores[GERENCIA]</definedName>
    <definedName name="Nombre_Coordinador" localSheetId="10">'MARIANA PACHECO'!$B$1</definedName>
    <definedName name="Nombre_Coordinador" localSheetId="16">'OLIVIA PACHECO'!$B$1</definedName>
    <definedName name="Nombre_Coordinador">Coordinadores!$B$1</definedName>
    <definedName name="Nombre_Gerente">'PEDRO MORA'!$B$1</definedName>
    <definedName name="Nombre_Promotor" localSheetId="20">'DAMIAN BRAVO'!$B$1</definedName>
    <definedName name="Nombre_Promotor" localSheetId="19">'EFRAIN CORTES'!$B$1</definedName>
    <definedName name="Nombre_Promotor" localSheetId="18">'ENRIQUE OJEDA'!$B$1</definedName>
    <definedName name="Nombre_Promotor" localSheetId="15">'EUNICE MORALES'!$B$1</definedName>
    <definedName name="Nombre_Promotor" localSheetId="12">'FATIMA HERNANDEZ'!$B$1</definedName>
    <definedName name="Nombre_Promotor" localSheetId="17">'HUGO PACHECO'!$B$1</definedName>
    <definedName name="Nombre_Promotor" localSheetId="14">'LIZBETH MORALES'!$B$1</definedName>
    <definedName name="Nombre_Promotor" localSheetId="11">'PEDRO GUTIERREZ'!$B$1</definedName>
    <definedName name="Nombre_Promotor" localSheetId="13">'YANISSE TORRES'!$B$1</definedName>
    <definedName name="Nombre_Promotor">Promotores!$B$1</definedName>
    <definedName name="Nombres_Coordinadores" localSheetId="20">Tabla_Coordinadores[NOMBRE]</definedName>
    <definedName name="Nombres_Coordinadores" localSheetId="19">Tabla_Coordinadores[NOMBRE]</definedName>
    <definedName name="Nombres_Coordinadores" localSheetId="18">Tabla_Coordinadores[NOMBRE]</definedName>
    <definedName name="Nombres_Coordinadores" localSheetId="15">Tabla_Coordinadores[NOMBRE]</definedName>
    <definedName name="Nombres_Coordinadores" localSheetId="12">Tabla_Coordinadores[NOMBRE]</definedName>
    <definedName name="Nombres_Coordinadores" localSheetId="17">Tabla_Coordinadores[NOMBRE]</definedName>
    <definedName name="Nombres_Coordinadores" localSheetId="14">Tabla_Coordinadores[NOMBRE]</definedName>
    <definedName name="Nombres_Coordinadores" localSheetId="10">Tabla_Coordinadores[NOMBRE]</definedName>
    <definedName name="Nombres_Coordinadores" localSheetId="16">Tabla_Coordinadores[NOMBRE]</definedName>
    <definedName name="Nombres_Coordinadores" localSheetId="11">Tabla_Coordinadores[NOMBRE]</definedName>
    <definedName name="Nombres_Coordinadores" localSheetId="13">Tabla_Coordinadores[NOMBRE]</definedName>
    <definedName name="Nombres_Coordinadores">Tabla_Coordinadores[NOMBRE]</definedName>
    <definedName name="Nombres_Gerentes" localSheetId="20">Tabla_Gerentes[NOMBRE]</definedName>
    <definedName name="Nombres_Gerentes" localSheetId="19">Tabla_Gerentes[NOMBRE]</definedName>
    <definedName name="Nombres_Gerentes" localSheetId="18">Tabla_Gerentes[NOMBRE]</definedName>
    <definedName name="Nombres_Gerentes" localSheetId="15">Tabla_Gerentes[NOMBRE]</definedName>
    <definedName name="Nombres_Gerentes" localSheetId="12">Tabla_Gerentes[NOMBRE]</definedName>
    <definedName name="Nombres_Gerentes" localSheetId="17">Tabla_Gerentes[NOMBRE]</definedName>
    <definedName name="Nombres_Gerentes" localSheetId="14">Tabla_Gerentes[NOMBRE]</definedName>
    <definedName name="Nombres_Gerentes" localSheetId="10">Tabla_Gerentes[NOMBRE]</definedName>
    <definedName name="Nombres_Gerentes" localSheetId="16">Tabla_Gerentes[NOMBRE]</definedName>
    <definedName name="Nombres_Gerentes" localSheetId="11">Tabla_Gerentes[NOMBRE]</definedName>
    <definedName name="Nombres_Gerentes" localSheetId="13">Tabla_Gerentes[NOMBRE]</definedName>
    <definedName name="Nombres_Gerentes">Tabla_Gerentes[NOMBRE]</definedName>
    <definedName name="Nombres_Planteles" localSheetId="20">Tabla_Planteles[NOMBRE]</definedName>
    <definedName name="Nombres_Planteles" localSheetId="19">Tabla_Planteles[NOMBRE]</definedName>
    <definedName name="Nombres_Planteles" localSheetId="18">Tabla_Planteles[NOMBRE]</definedName>
    <definedName name="Nombres_Planteles" localSheetId="15">Tabla_Planteles[NOMBRE]</definedName>
    <definedName name="Nombres_Planteles" localSheetId="12">Tabla_Planteles[NOMBRE]</definedName>
    <definedName name="Nombres_Planteles" localSheetId="17">Tabla_Planteles[NOMBRE]</definedName>
    <definedName name="Nombres_Planteles" localSheetId="14">Tabla_Planteles[NOMBRE]</definedName>
    <definedName name="Nombres_Planteles" localSheetId="10">Tabla_Planteles[NOMBRE]</definedName>
    <definedName name="Nombres_Planteles" localSheetId="16">Tabla_Planteles[NOMBRE]</definedName>
    <definedName name="Nombres_Planteles" localSheetId="11">Tabla_Planteles[NOMBRE]</definedName>
    <definedName name="Nombres_Planteles" localSheetId="3">Tabla_Planteles[NOMBRE]</definedName>
    <definedName name="Nombres_Planteles" localSheetId="13">Tabla_Planteles[NOMBRE]</definedName>
    <definedName name="Nombres_Planteles">Tabla_Planteles[NOMBRE]</definedName>
    <definedName name="Nombres_Promotores" localSheetId="20">Tabla_Promotores[NOMBRE]</definedName>
    <definedName name="Nombres_Promotores" localSheetId="19">Tabla_Promotores[NOMBRE]</definedName>
    <definedName name="Nombres_Promotores" localSheetId="18">Tabla_Promotores[NOMBRE]</definedName>
    <definedName name="Nombres_Promotores" localSheetId="15">Tabla_Promotores[NOMBRE]</definedName>
    <definedName name="Nombres_Promotores" localSheetId="12">Tabla_Promotores[NOMBRE]</definedName>
    <definedName name="Nombres_Promotores" localSheetId="17">Tabla_Promotores[NOMBRE]</definedName>
    <definedName name="Nombres_Promotores" localSheetId="14">Tabla_Promotores[NOMBRE]</definedName>
    <definedName name="Nombres_Promotores" localSheetId="10">Tabla_Promotores[NOMBRE]</definedName>
    <definedName name="Nombres_Promotores" localSheetId="16">Tabla_Promotores[NOMBRE]</definedName>
    <definedName name="Nombres_Promotores" localSheetId="11">Tabla_Promotores[NOMBRE]</definedName>
    <definedName name="Nombres_Promotores" localSheetId="13">Tabla_Promotores[NOMBRE]</definedName>
    <definedName name="Nombres_Promotores">Tabla_Promotores[NOMBRE]</definedName>
    <definedName name="Numero_de_semana">'PEDRO MORA'!$B$5</definedName>
    <definedName name="Pago_Neto_Coordinador" localSheetId="10">'MARIANA PACHECO'!$D$47</definedName>
    <definedName name="Pago_Neto_Coordinador" localSheetId="16">'OLIVIA PACHECO'!$D$48</definedName>
    <definedName name="Pago_Neto_Coordinador">Coordinadores!$D$18</definedName>
    <definedName name="Pago_Neto_Gerente">'PEDRO MORA'!$E$77</definedName>
    <definedName name="Pago_Neto_Promotor" localSheetId="20">'DAMIAN BRAVO'!$D$22</definedName>
    <definedName name="Pago_Neto_Promotor" localSheetId="19">'EFRAIN CORTES'!$D$27</definedName>
    <definedName name="Pago_Neto_Promotor" localSheetId="18">'ENRIQUE OJEDA'!$D$25</definedName>
    <definedName name="Pago_Neto_Promotor" localSheetId="15">'EUNICE MORALES'!$D$31</definedName>
    <definedName name="Pago_Neto_Promotor" localSheetId="12">'FATIMA HERNANDEZ'!$D$23</definedName>
    <definedName name="Pago_Neto_Promotor" localSheetId="17">'HUGO PACHECO'!$D$21</definedName>
    <definedName name="Pago_Neto_Promotor" localSheetId="14">'LIZBETH MORALES'!$D$20</definedName>
    <definedName name="Pago_Neto_Promotor" localSheetId="11">'PEDRO GUTIERREZ'!$D$20</definedName>
    <definedName name="Pago_Neto_Promotor" localSheetId="13">'YANISSE TORRES'!$D$17</definedName>
    <definedName name="Pago_Neto_Promotor">Promotores!$D$17</definedName>
    <definedName name="Pago_Premio_Coordinador" localSheetId="10">'MARIANA PACHECO'!$D$42</definedName>
    <definedName name="Pago_Premio_Coordinador" localSheetId="16">'OLIVIA PACHECO'!$D$43</definedName>
    <definedName name="Pago_Premio_Coordinador">Coordinadores!$D$13</definedName>
    <definedName name="Pago_Premio_Gerente">'PEDRO MORA'!$E$72</definedName>
    <definedName name="Pago_Premio_Promotor" localSheetId="20">'DAMIAN BRAVO'!$D$18</definedName>
    <definedName name="Pago_Premio_Promotor" localSheetId="19">'EFRAIN CORTES'!$D$23</definedName>
    <definedName name="Pago_Premio_Promotor" localSheetId="18">'ENRIQUE OJEDA'!$D$21</definedName>
    <definedName name="Pago_Premio_Promotor" localSheetId="15">'EUNICE MORALES'!$D$27</definedName>
    <definedName name="Pago_Premio_Promotor" localSheetId="12">'FATIMA HERNANDEZ'!$D$19</definedName>
    <definedName name="Pago_Premio_Promotor" localSheetId="17">'HUGO PACHECO'!$D$17</definedName>
    <definedName name="Pago_Premio_Promotor" localSheetId="14">'LIZBETH MORALES'!$D$16</definedName>
    <definedName name="Pago_Premio_Promotor" localSheetId="11">'PEDRO GUTIERREZ'!$D$16</definedName>
    <definedName name="Pago_Premio_Promotor" localSheetId="13">'YANISSE TORRES'!$D$13</definedName>
    <definedName name="Pago_Premio_Promotor">Promotores!$D$13</definedName>
    <definedName name="Pago_Subtotal_Coordinador" localSheetId="10">'MARIANA PACHECO'!$D$43</definedName>
    <definedName name="Pago_Subtotal_Coordinador" localSheetId="16">'OLIVIA PACHECO'!$D$44</definedName>
    <definedName name="Pago_Subtotal_Coordinador">Coordinadores!$D$14</definedName>
    <definedName name="Pago_Subtotal_Gerente">'PEDRO MORA'!$E$73</definedName>
    <definedName name="Pago_Subtotal_Promotor" localSheetId="20">'DAMIAN BRAVO'!$D$19</definedName>
    <definedName name="Pago_Subtotal_Promotor" localSheetId="19">'EFRAIN CORTES'!$D$24</definedName>
    <definedName name="Pago_Subtotal_Promotor" localSheetId="18">'ENRIQUE OJEDA'!$D$22</definedName>
    <definedName name="Pago_Subtotal_Promotor" localSheetId="15">'EUNICE MORALES'!$D$28</definedName>
    <definedName name="Pago_Subtotal_Promotor" localSheetId="12">'FATIMA HERNANDEZ'!$D$20</definedName>
    <definedName name="Pago_Subtotal_Promotor" localSheetId="17">'HUGO PACHECO'!$D$18</definedName>
    <definedName name="Pago_Subtotal_Promotor" localSheetId="14">'LIZBETH MORALES'!$D$17</definedName>
    <definedName name="Pago_Subtotal_Promotor" localSheetId="11">'PEDRO GUTIERREZ'!$D$17</definedName>
    <definedName name="Pago_Subtotal_Promotor" localSheetId="13">'YANISSE TORRES'!$D$14</definedName>
    <definedName name="Pago_Subtotal_Promotor">Promotores!$D$14</definedName>
    <definedName name="Pago_Sueldo_Base_Coordinador" localSheetId="10">'MARIANA PACHECO'!$D$41</definedName>
    <definedName name="Pago_Sueldo_Base_Coordinador" localSheetId="16">'OLIVIA PACHECO'!$D$42</definedName>
    <definedName name="Pago_Sueldo_Base_Coordinador">Coordinadores!$D$12</definedName>
    <definedName name="Pago_Sueldo_Base_Gerente">'PEDRO MORA'!$E$71</definedName>
    <definedName name="Pago_Sueldo_Base_Promotor" localSheetId="20">'DAMIAN BRAVO'!$D$17</definedName>
    <definedName name="Pago_Sueldo_Base_Promotor" localSheetId="19">'EFRAIN CORTES'!$D$22</definedName>
    <definedName name="Pago_Sueldo_Base_Promotor" localSheetId="18">'ENRIQUE OJEDA'!$D$20</definedName>
    <definedName name="Pago_Sueldo_Base_Promotor" localSheetId="15">'EUNICE MORALES'!$D$26</definedName>
    <definedName name="Pago_Sueldo_Base_Promotor" localSheetId="12">'FATIMA HERNANDEZ'!$D$18</definedName>
    <definedName name="Pago_Sueldo_Base_Promotor" localSheetId="17">'HUGO PACHECO'!$D$16</definedName>
    <definedName name="Pago_Sueldo_Base_Promotor" localSheetId="14">'LIZBETH MORALES'!$D$15</definedName>
    <definedName name="Pago_Sueldo_Base_Promotor" localSheetId="11">'PEDRO GUTIERREZ'!$D$15</definedName>
    <definedName name="Pago_Sueldo_Base_Promotor" localSheetId="13">'YANISSE TORRES'!$D$12</definedName>
    <definedName name="Pago_Sueldo_Base_Promotor">Promotores!$D$12</definedName>
    <definedName name="Periodo_de_pago_final">'PEDRO MORA'!$D$3</definedName>
    <definedName name="Periodo_De_Pago_Final_Gerente">'PEDRO MORA'!$D$3</definedName>
    <definedName name="Periodo_de_pago_inicial">'PEDRO MORA'!$B$3</definedName>
    <definedName name="Periodo_De_Pago_Inicial_Gerente">'PEDRO MORA'!$B$3</definedName>
    <definedName name="Premio_Coordinador" localSheetId="10">'MARIANA PACHECO'!$B$42</definedName>
    <definedName name="Premio_Coordinador" localSheetId="16">'OLIVIA PACHECO'!$B$43</definedName>
    <definedName name="Premio_Coordinador">Coordinadores!$B$13</definedName>
    <definedName name="Premio_Gerente">'PEDRO MORA'!$B$72</definedName>
    <definedName name="Premio_Promotor" localSheetId="20">'DAMIAN BRAVO'!$B$18</definedName>
    <definedName name="Premio_Promotor" localSheetId="19">'EFRAIN CORTES'!$B$23</definedName>
    <definedName name="Premio_Promotor" localSheetId="18">'ENRIQUE OJEDA'!$B$21</definedName>
    <definedName name="Premio_Promotor" localSheetId="15">'EUNICE MORALES'!$B$27</definedName>
    <definedName name="Premio_Promotor" localSheetId="12">'FATIMA HERNANDEZ'!$B$19</definedName>
    <definedName name="Premio_Promotor" localSheetId="17">'HUGO PACHECO'!$B$17</definedName>
    <definedName name="Premio_Promotor" localSheetId="14">'LIZBETH MORALES'!$B$16</definedName>
    <definedName name="Premio_Promotor" localSheetId="11">'PEDRO GUTIERREZ'!$B$16</definedName>
    <definedName name="Premio_Promotor" localSheetId="13">'YANISSE TORRES'!$B$13</definedName>
    <definedName name="Premio_Promotor">Promotores!$B$13</definedName>
    <definedName name="Promotores_Activos">#REF!</definedName>
    <definedName name="Puesto_Coordinador" localSheetId="10">'MARIANA PACHECO'!$G$1</definedName>
    <definedName name="Puesto_Coordinador" localSheetId="16">'OLIVIA PACHECO'!$G$1</definedName>
    <definedName name="Puesto_Coordinador">Coordinadores!$G$1</definedName>
    <definedName name="Puesto_Gerente">'PEDRO MORA'!$G$1</definedName>
    <definedName name="Puesto_Promotor" localSheetId="20">'DAMIAN BRAVO'!$G$1</definedName>
    <definedName name="Puesto_Promotor" localSheetId="19">'EFRAIN CORTES'!$G$1</definedName>
    <definedName name="Puesto_Promotor" localSheetId="18">'ENRIQUE OJEDA'!$G$1</definedName>
    <definedName name="Puesto_Promotor" localSheetId="15">'EUNICE MORALES'!$G$1</definedName>
    <definedName name="Puesto_Promotor" localSheetId="12">'FATIMA HERNANDEZ'!$G$1</definedName>
    <definedName name="Puesto_Promotor" localSheetId="17">'HUGO PACHECO'!$G$1</definedName>
    <definedName name="Puesto_Promotor" localSheetId="14">'LIZBETH MORALES'!$G$1</definedName>
    <definedName name="Puesto_Promotor" localSheetId="11">'PEDRO GUTIERREZ'!$G$1</definedName>
    <definedName name="Puesto_Promotor" localSheetId="13">'YANISSE TORRES'!$G$1</definedName>
    <definedName name="Puesto_Promotor">Promotores!$G$1</definedName>
    <definedName name="Puestos" localSheetId="20">Tabla_Sueldo_Base_Por_Puesto[PUESTO]</definedName>
    <definedName name="Puestos" localSheetId="19">Tabla_Sueldo_Base_Por_Puesto[PUESTO]</definedName>
    <definedName name="Puestos" localSheetId="18">Tabla_Sueldo_Base_Por_Puesto[PUESTO]</definedName>
    <definedName name="Puestos" localSheetId="15">Tabla_Sueldo_Base_Por_Puesto[PUESTO]</definedName>
    <definedName name="Puestos" localSheetId="12">Tabla_Sueldo_Base_Por_Puesto[PUESTO]</definedName>
    <definedName name="Puestos" localSheetId="17">Tabla_Sueldo_Base_Por_Puesto[PUESTO]</definedName>
    <definedName name="Puestos" localSheetId="14">Tabla_Sueldo_Base_Por_Puesto[PUESTO]</definedName>
    <definedName name="Puestos" localSheetId="10">Tabla_Sueldo_Base_Por_Puesto[PUESTO]</definedName>
    <definedName name="Puestos" localSheetId="16">Tabla_Sueldo_Base_Por_Puesto[PUESTO]</definedName>
    <definedName name="Puestos" localSheetId="11">Tabla_Sueldo_Base_Por_Puesto[PUESTO]</definedName>
    <definedName name="Puestos" localSheetId="13">Tabla_Sueldo_Base_Por_Puesto[PUESTO]</definedName>
    <definedName name="Puestos">Tabla_Sueldo_Base_Por_Puesto[PUESTO]</definedName>
    <definedName name="Razon_Social">'PEDRO MORA'!$B$2</definedName>
    <definedName name="Razones_Sociales" localSheetId="20">Tabla_Razones_Sociales[RAZON SOCIAL]</definedName>
    <definedName name="Razones_Sociales" localSheetId="19">Tabla_Razones_Sociales[RAZON SOCIAL]</definedName>
    <definedName name="Razones_Sociales" localSheetId="18">Tabla_Razones_Sociales[RAZON SOCIAL]</definedName>
    <definedName name="Razones_Sociales" localSheetId="15">Tabla_Razones_Sociales[RAZON SOCIAL]</definedName>
    <definedName name="Razones_Sociales" localSheetId="12">Tabla_Razones_Sociales[RAZON SOCIAL]</definedName>
    <definedName name="Razones_Sociales" localSheetId="17">Tabla_Razones_Sociales[RAZON SOCIAL]</definedName>
    <definedName name="Razones_Sociales" localSheetId="14">Tabla_Razones_Sociales[RAZON SOCIAL]</definedName>
    <definedName name="Razones_Sociales" localSheetId="10">Tabla_Razones_Sociales[RAZON SOCIAL]</definedName>
    <definedName name="Razones_Sociales" localSheetId="16">Tabla_Razones_Sociales[RAZON SOCIAL]</definedName>
    <definedName name="Razones_Sociales" localSheetId="11">Tabla_Razones_Sociales[RAZON SOCIAL]</definedName>
    <definedName name="Razones_Sociales" localSheetId="3">Tabla_Razones_Sociales[RAZON SOCIAL]</definedName>
    <definedName name="Razones_Sociales" localSheetId="13">Tabla_Razones_Sociales[RAZON SOCIAL]</definedName>
    <definedName name="Razones_Sociales">Tabla_Razones_Sociales[RAZON SOCIAL]</definedName>
    <definedName name="Sueldo_Base_Coordinador">Tabuladores!$M$5</definedName>
    <definedName name="Sueldo_Base_Gerente">Tabuladores!$M$4</definedName>
    <definedName name="Total_De_La_Gerencia">'PEDRO MORA'!$J$4</definedName>
    <definedName name="Total_Registros_Coordinador" localSheetId="10">'MARIANA PACHECO'!$B$4</definedName>
    <definedName name="Total_Registros_Coordinador" localSheetId="16">'OLIVIA PACHECO'!$B$4</definedName>
    <definedName name="Total_Registros_Coordinador">Coordinadores!$B$4</definedName>
    <definedName name="Total_Registros_Gerente">'PEDRO MORA'!$B$4</definedName>
    <definedName name="Total_Registros_Promotor" localSheetId="20">'DAMIAN BRAVO'!$B$4</definedName>
    <definedName name="Total_Registros_Promotor" localSheetId="19">'EFRAIN CORTES'!$B$4</definedName>
    <definedName name="Total_Registros_Promotor" localSheetId="18">'ENRIQUE OJEDA'!$B$4</definedName>
    <definedName name="Total_Registros_Promotor" localSheetId="15">'EUNICE MORALES'!$B$4</definedName>
    <definedName name="Total_Registros_Promotor" localSheetId="12">'FATIMA HERNANDEZ'!$B$4</definedName>
    <definedName name="Total_Registros_Promotor" localSheetId="17">'HUGO PACHECO'!$B$4</definedName>
    <definedName name="Total_Registros_Promotor" localSheetId="14">'LIZBETH MORALES'!$B$4</definedName>
    <definedName name="Total_Registros_Promotor" localSheetId="11">'PEDRO GUTIERREZ'!$B$4</definedName>
    <definedName name="Total_Registros_Promotor" localSheetId="13">'YANISSE TORRES'!$B$4</definedName>
    <definedName name="Total_Registros_Promotor">Promotores!$B$4</definedName>
  </definedNames>
  <calcPr calcId="191029"/>
  <pivotCaches>
    <pivotCache cacheId="128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767" l="1"/>
  <c r="H13" i="767"/>
  <c r="H12" i="767"/>
  <c r="D12" i="767" s="1"/>
  <c r="H11" i="767"/>
  <c r="D11" i="767" s="1"/>
  <c r="D10" i="767"/>
  <c r="H10" i="767"/>
  <c r="H9" i="767"/>
  <c r="D9" i="767" s="1"/>
  <c r="D14" i="767" s="1"/>
  <c r="D17" i="766"/>
  <c r="H17" i="766"/>
  <c r="H16" i="766"/>
  <c r="D16" i="766" s="1"/>
  <c r="H15" i="766"/>
  <c r="D15" i="766" s="1"/>
  <c r="H14" i="766"/>
  <c r="D14" i="766" s="1"/>
  <c r="D13" i="766"/>
  <c r="H13" i="766"/>
  <c r="D12" i="766"/>
  <c r="H12" i="766"/>
  <c r="H11" i="766"/>
  <c r="D11" i="766" s="1"/>
  <c r="H10" i="766"/>
  <c r="D10" i="766" s="1"/>
  <c r="H9" i="766"/>
  <c r="D19" i="765"/>
  <c r="H19" i="765"/>
  <c r="D18" i="765"/>
  <c r="H18" i="765"/>
  <c r="H17" i="765"/>
  <c r="D17" i="765" s="1"/>
  <c r="H16" i="765"/>
  <c r="D16" i="765" s="1"/>
  <c r="H15" i="765"/>
  <c r="D15" i="765" s="1"/>
  <c r="H14" i="765"/>
  <c r="D14" i="765" s="1"/>
  <c r="H13" i="765"/>
  <c r="D13" i="765" s="1"/>
  <c r="H12" i="765"/>
  <c r="D12" i="765" s="1"/>
  <c r="H11" i="765"/>
  <c r="D11" i="765" s="1"/>
  <c r="H10" i="765"/>
  <c r="D10" i="765" s="1"/>
  <c r="D9" i="765"/>
  <c r="H9" i="765"/>
  <c r="H14" i="764"/>
  <c r="D14" i="764" s="1"/>
  <c r="H13" i="764"/>
  <c r="D13" i="764" s="1"/>
  <c r="H12" i="764"/>
  <c r="D12" i="764" s="1"/>
  <c r="H11" i="764"/>
  <c r="D11" i="764" s="1"/>
  <c r="H10" i="764"/>
  <c r="D10" i="764" s="1"/>
  <c r="D9" i="764"/>
  <c r="H9" i="764"/>
  <c r="D19" i="767"/>
  <c r="D16" i="767"/>
  <c r="B5" i="767"/>
  <c r="D23" i="766"/>
  <c r="D20" i="766"/>
  <c r="B5" i="766"/>
  <c r="D25" i="765"/>
  <c r="D22" i="765"/>
  <c r="B5" i="765"/>
  <c r="D20" i="764"/>
  <c r="D17" i="764"/>
  <c r="B5" i="764"/>
  <c r="H12" i="763"/>
  <c r="D12" i="763" s="1"/>
  <c r="H11" i="763"/>
  <c r="D11" i="763" s="1"/>
  <c r="H10" i="763"/>
  <c r="D10" i="763" s="1"/>
  <c r="H9" i="763"/>
  <c r="H15" i="762"/>
  <c r="D15" i="762" s="1"/>
  <c r="D14" i="762"/>
  <c r="H14" i="762"/>
  <c r="H13" i="762"/>
  <c r="D13" i="762" s="1"/>
  <c r="H12" i="762"/>
  <c r="D12" i="762" s="1"/>
  <c r="H11" i="762"/>
  <c r="D11" i="762" s="1"/>
  <c r="H10" i="762"/>
  <c r="D10" i="762" s="1"/>
  <c r="H9" i="762"/>
  <c r="D9" i="762" s="1"/>
  <c r="H12" i="760"/>
  <c r="D12" i="760" s="1"/>
  <c r="H11" i="760"/>
  <c r="D11" i="760" s="1"/>
  <c r="H10" i="760"/>
  <c r="D10" i="760" s="1"/>
  <c r="H9" i="760"/>
  <c r="D9" i="760" s="1"/>
  <c r="H23" i="759"/>
  <c r="D23" i="759" s="1"/>
  <c r="H22" i="759"/>
  <c r="D22" i="759" s="1"/>
  <c r="H21" i="759"/>
  <c r="D21" i="759" s="1"/>
  <c r="H20" i="759"/>
  <c r="D20" i="759" s="1"/>
  <c r="H19" i="759"/>
  <c r="D19" i="759" s="1"/>
  <c r="H18" i="759"/>
  <c r="D18" i="759" s="1"/>
  <c r="H17" i="759"/>
  <c r="D17" i="759" s="1"/>
  <c r="H16" i="759"/>
  <c r="D16" i="759" s="1"/>
  <c r="H15" i="759"/>
  <c r="D15" i="759" s="1"/>
  <c r="H14" i="759"/>
  <c r="D14" i="759" s="1"/>
  <c r="H13" i="759"/>
  <c r="D13" i="759" s="1"/>
  <c r="H12" i="759"/>
  <c r="D12" i="759" s="1"/>
  <c r="H11" i="759"/>
  <c r="D11" i="759" s="1"/>
  <c r="H10" i="759"/>
  <c r="H9" i="759"/>
  <c r="D9" i="759" s="1"/>
  <c r="D18" i="763"/>
  <c r="D15" i="763"/>
  <c r="B5" i="763"/>
  <c r="D21" i="762"/>
  <c r="D18" i="762"/>
  <c r="B5" i="762"/>
  <c r="D15" i="761"/>
  <c r="D12" i="761"/>
  <c r="H9" i="761"/>
  <c r="D9" i="761"/>
  <c r="D10" i="761" s="1"/>
  <c r="B5" i="761"/>
  <c r="B4" i="761"/>
  <c r="B13" i="761" s="1"/>
  <c r="D13" i="761" s="1"/>
  <c r="D18" i="760"/>
  <c r="D15" i="760"/>
  <c r="B5" i="760"/>
  <c r="D29" i="759"/>
  <c r="D26" i="759"/>
  <c r="B5" i="759"/>
  <c r="H14" i="757"/>
  <c r="H13" i="757"/>
  <c r="D13" i="757" s="1"/>
  <c r="H12" i="757"/>
  <c r="D12" i="757" s="1"/>
  <c r="H34" i="757"/>
  <c r="H25" i="757"/>
  <c r="D25" i="757" s="1"/>
  <c r="H39" i="757"/>
  <c r="D39" i="757" s="1"/>
  <c r="H38" i="757"/>
  <c r="D38" i="757" s="1"/>
  <c r="H24" i="757"/>
  <c r="H23" i="757"/>
  <c r="H22" i="757"/>
  <c r="H21" i="757"/>
  <c r="H33" i="757"/>
  <c r="H32" i="757"/>
  <c r="H31" i="757"/>
  <c r="H30" i="757"/>
  <c r="H29" i="757"/>
  <c r="H37" i="757"/>
  <c r="H20" i="757"/>
  <c r="H11" i="757"/>
  <c r="H19" i="757"/>
  <c r="H18" i="757"/>
  <c r="H17" i="757"/>
  <c r="H16" i="757"/>
  <c r="H10" i="757"/>
  <c r="H36" i="757"/>
  <c r="H35" i="757"/>
  <c r="H28" i="757"/>
  <c r="H27" i="757"/>
  <c r="H15" i="757"/>
  <c r="H26" i="757"/>
  <c r="H9" i="757"/>
  <c r="D9" i="757" s="1"/>
  <c r="H23" i="756"/>
  <c r="H22" i="756"/>
  <c r="H38" i="756"/>
  <c r="D38" i="756" s="1"/>
  <c r="H21" i="756"/>
  <c r="H34" i="756"/>
  <c r="H33" i="756"/>
  <c r="H30" i="756"/>
  <c r="D30" i="756" s="1"/>
  <c r="H29" i="756"/>
  <c r="D29" i="756" s="1"/>
  <c r="H28" i="756"/>
  <c r="D28" i="756" s="1"/>
  <c r="H27" i="756"/>
  <c r="D27" i="756" s="1"/>
  <c r="H37" i="756"/>
  <c r="D37" i="756" s="1"/>
  <c r="H36" i="756"/>
  <c r="D36" i="756" s="1"/>
  <c r="H35" i="756"/>
  <c r="H20" i="756"/>
  <c r="H32" i="756"/>
  <c r="H19" i="756"/>
  <c r="H18" i="756"/>
  <c r="H17" i="756"/>
  <c r="H31" i="756"/>
  <c r="H16" i="756"/>
  <c r="H15" i="756"/>
  <c r="H14" i="756"/>
  <c r="H13" i="756"/>
  <c r="H12" i="756"/>
  <c r="H26" i="756"/>
  <c r="H25" i="756"/>
  <c r="H11" i="756"/>
  <c r="H10" i="756"/>
  <c r="H9" i="756"/>
  <c r="H24" i="756"/>
  <c r="D45" i="757"/>
  <c r="D42" i="757"/>
  <c r="B5" i="757"/>
  <c r="D44" i="756"/>
  <c r="D41" i="756"/>
  <c r="B5" i="756"/>
  <c r="B4" i="5" a="1"/>
  <c r="B4" i="5" s="1"/>
  <c r="J1" i="757" s="1"/>
  <c r="A40" i="5"/>
  <c r="A54" i="5"/>
  <c r="A66" i="5"/>
  <c r="A57" i="5"/>
  <c r="A58" i="5"/>
  <c r="A42" i="5"/>
  <c r="A43" i="5"/>
  <c r="A55" i="5"/>
  <c r="A63" i="5"/>
  <c r="A53" i="5"/>
  <c r="A64" i="5"/>
  <c r="A44" i="5"/>
  <c r="A45" i="5"/>
  <c r="A67" i="5"/>
  <c r="A39" i="5"/>
  <c r="A68" i="5"/>
  <c r="A46" i="5"/>
  <c r="A51" i="5"/>
  <c r="A69" i="5"/>
  <c r="A47" i="5"/>
  <c r="A59" i="5"/>
  <c r="A48" i="5"/>
  <c r="A52" i="5"/>
  <c r="A65" i="5"/>
  <c r="A41" i="5"/>
  <c r="A60" i="5"/>
  <c r="A49" i="5"/>
  <c r="A50" i="5"/>
  <c r="A61" i="5"/>
  <c r="A62" i="5"/>
  <c r="A15" i="5"/>
  <c r="A16" i="5"/>
  <c r="A37" i="5"/>
  <c r="A38" i="5"/>
  <c r="A10" i="5"/>
  <c r="A17" i="5"/>
  <c r="A21" i="5"/>
  <c r="A18" i="5"/>
  <c r="A25" i="5"/>
  <c r="A11" i="5"/>
  <c r="A22" i="5"/>
  <c r="A12" i="5"/>
  <c r="A19" i="5"/>
  <c r="A35" i="5"/>
  <c r="A23" i="5"/>
  <c r="A20" i="5"/>
  <c r="A24" i="5"/>
  <c r="A33" i="5"/>
  <c r="A34" i="5"/>
  <c r="A36" i="5"/>
  <c r="A26" i="5"/>
  <c r="A27" i="5"/>
  <c r="A28" i="5"/>
  <c r="A29" i="5"/>
  <c r="A30" i="5"/>
  <c r="A13" i="5"/>
  <c r="A14" i="5"/>
  <c r="A31" i="5"/>
  <c r="A9" i="5"/>
  <c r="A32" i="5"/>
  <c r="E63" i="5"/>
  <c r="E64" i="5"/>
  <c r="E67" i="5"/>
  <c r="E39" i="5"/>
  <c r="E68" i="5"/>
  <c r="E65" i="5"/>
  <c r="E41" i="5"/>
  <c r="E36" i="5"/>
  <c r="E27" i="5"/>
  <c r="E28" i="5"/>
  <c r="E29" i="5"/>
  <c r="E30" i="5"/>
  <c r="E31" i="5"/>
  <c r="E32" i="5"/>
  <c r="A56" i="5"/>
  <c r="B4" i="766" l="1"/>
  <c r="B21" i="766" s="1"/>
  <c r="B4" i="760"/>
  <c r="B16" i="760" s="1"/>
  <c r="B4" i="767"/>
  <c r="B17" i="767" s="1"/>
  <c r="B4" i="764"/>
  <c r="B18" i="764" s="1"/>
  <c r="D20" i="765"/>
  <c r="D14" i="761"/>
  <c r="D17" i="761" s="1"/>
  <c r="B4" i="763"/>
  <c r="B16" i="763" s="1"/>
  <c r="D15" i="764"/>
  <c r="J1" i="764"/>
  <c r="J1" i="765"/>
  <c r="B4" i="765"/>
  <c r="B23" i="765" s="1"/>
  <c r="D9" i="766"/>
  <c r="D18" i="766" s="1"/>
  <c r="D9" i="763"/>
  <c r="D13" i="763" s="1"/>
  <c r="J1" i="767"/>
  <c r="J1" i="766"/>
  <c r="D16" i="762"/>
  <c r="B4" i="759"/>
  <c r="B27" i="759" s="1"/>
  <c r="D13" i="760"/>
  <c r="J1" i="760"/>
  <c r="J1" i="761"/>
  <c r="B4" i="756" a="1"/>
  <c r="B4" i="756" s="1"/>
  <c r="D32" i="756" s="1"/>
  <c r="B4" i="762"/>
  <c r="B19" i="762" s="1"/>
  <c r="B4" i="757" a="1"/>
  <c r="B4" i="757" s="1"/>
  <c r="D36" i="757" s="1"/>
  <c r="J1" i="759"/>
  <c r="J1" i="763"/>
  <c r="D10" i="759"/>
  <c r="D24" i="759" s="1"/>
  <c r="J1" i="762"/>
  <c r="J1" i="756"/>
  <c r="D15" i="757"/>
  <c r="B4" i="8"/>
  <c r="E74" i="5"/>
  <c r="D20" i="761" a="1"/>
  <c r="D20" i="761" l="1"/>
  <c r="D11" i="756"/>
  <c r="D22" i="757"/>
  <c r="D14" i="757"/>
  <c r="D23" i="756"/>
  <c r="D21" i="757"/>
  <c r="D34" i="757"/>
  <c r="D18" i="757"/>
  <c r="D15" i="756"/>
  <c r="D16" i="756"/>
  <c r="D16" i="757"/>
  <c r="D34" i="756"/>
  <c r="D23" i="757"/>
  <c r="D17" i="756"/>
  <c r="D31" i="757"/>
  <c r="D22" i="756"/>
  <c r="D28" i="757"/>
  <c r="D11" i="757"/>
  <c r="D14" i="756"/>
  <c r="D30" i="757"/>
  <c r="D18" i="756"/>
  <c r="D19" i="756"/>
  <c r="D24" i="756"/>
  <c r="D32" i="757"/>
  <c r="B42" i="756"/>
  <c r="D42" i="756" s="1"/>
  <c r="D10" i="757"/>
  <c r="D26" i="757"/>
  <c r="D21" i="756"/>
  <c r="D37" i="757"/>
  <c r="D33" i="756"/>
  <c r="D31" i="756"/>
  <c r="D26" i="756"/>
  <c r="D13" i="756"/>
  <c r="D24" i="757"/>
  <c r="D19" i="757"/>
  <c r="D20" i="756"/>
  <c r="D10" i="756"/>
  <c r="D25" i="756"/>
  <c r="D29" i="757"/>
  <c r="D35" i="756"/>
  <c r="D9" i="756"/>
  <c r="D33" i="757"/>
  <c r="D35" i="757"/>
  <c r="D20" i="757"/>
  <c r="B43" i="757"/>
  <c r="D43" i="757" s="1"/>
  <c r="D12" i="756"/>
  <c r="D17" i="757"/>
  <c r="D27" i="757"/>
  <c r="D15" i="7"/>
  <c r="B4" i="7" a="1"/>
  <c r="B4" i="7" s="1"/>
  <c r="D9" i="8"/>
  <c r="H9" i="8"/>
  <c r="D39" i="756" l="1"/>
  <c r="D43" i="756" s="1"/>
  <c r="D45" i="756" s="1"/>
  <c r="D47" i="756" s="1"/>
  <c r="D40" i="757"/>
  <c r="D44" i="757" s="1"/>
  <c r="D46" i="757" s="1"/>
  <c r="D48" i="757" s="1"/>
  <c r="E40" i="5"/>
  <c r="E59" i="5"/>
  <c r="E15" i="5"/>
  <c r="E22" i="5"/>
  <c r="E26" i="5"/>
  <c r="E20" i="5"/>
  <c r="E21" i="5"/>
  <c r="E51" i="5"/>
  <c r="E54" i="5"/>
  <c r="E44" i="5"/>
  <c r="E48" i="5"/>
  <c r="E16" i="5"/>
  <c r="E12" i="5"/>
  <c r="E23" i="5"/>
  <c r="E17" i="5"/>
  <c r="E49" i="5"/>
  <c r="E56" i="5"/>
  <c r="E33" i="5"/>
  <c r="E34" i="5"/>
  <c r="E66" i="5"/>
  <c r="E45" i="5"/>
  <c r="E52" i="5"/>
  <c r="E37" i="5"/>
  <c r="E19" i="5"/>
  <c r="E13" i="5"/>
  <c r="E24" i="5"/>
  <c r="E50" i="5"/>
  <c r="E69" i="5"/>
  <c r="E57" i="5"/>
  <c r="E38" i="5"/>
  <c r="E35" i="5"/>
  <c r="E10" i="5"/>
  <c r="E60" i="5"/>
  <c r="E46" i="5"/>
  <c r="E14" i="5"/>
  <c r="E18" i="5"/>
  <c r="E61" i="5"/>
  <c r="E58" i="5"/>
  <c r="E47" i="5"/>
  <c r="E42" i="5"/>
  <c r="E62" i="5"/>
  <c r="E43" i="5"/>
  <c r="E11" i="5"/>
  <c r="E55" i="5"/>
  <c r="E9" i="5"/>
  <c r="E25" i="5"/>
  <c r="E53" i="5"/>
  <c r="J1" i="5"/>
  <c r="H9" i="7"/>
  <c r="D9" i="7" s="1"/>
  <c r="B3" i="5"/>
  <c r="D3" i="5"/>
  <c r="E71" i="5"/>
  <c r="D15" i="8"/>
  <c r="D12" i="8"/>
  <c r="D10" i="8"/>
  <c r="B5" i="8"/>
  <c r="B13" i="8"/>
  <c r="D13" i="8" s="1"/>
  <c r="D12" i="7"/>
  <c r="B5" i="7"/>
  <c r="B13" i="7"/>
  <c r="D13" i="7" s="1"/>
  <c r="S4" i="1"/>
  <c r="B17" i="3"/>
  <c r="B16" i="3"/>
  <c r="B15" i="3"/>
  <c r="B14" i="3"/>
  <c r="B13" i="3"/>
  <c r="D51" i="757" a="1"/>
  <c r="D50" i="756" a="1"/>
  <c r="D21" i="766" l="1"/>
  <c r="D22" i="766" s="1"/>
  <c r="D25" i="766" s="1"/>
  <c r="D18" i="764"/>
  <c r="D19" i="764" s="1"/>
  <c r="D22" i="764" s="1"/>
  <c r="D17" i="767"/>
  <c r="D18" i="767" s="1"/>
  <c r="D21" i="767" s="1"/>
  <c r="D23" i="765"/>
  <c r="D24" i="765" s="1"/>
  <c r="D27" i="765" s="1"/>
  <c r="D51" i="757"/>
  <c r="D16" i="760"/>
  <c r="D17" i="760" s="1"/>
  <c r="D20" i="760" s="1"/>
  <c r="D16" i="763"/>
  <c r="D17" i="763" s="1"/>
  <c r="D20" i="763" s="1"/>
  <c r="D27" i="759"/>
  <c r="D28" i="759" s="1"/>
  <c r="D31" i="759" s="1"/>
  <c r="D19" i="762"/>
  <c r="D20" i="762" s="1"/>
  <c r="D23" i="762" s="1"/>
  <c r="D50" i="756"/>
  <c r="E70" i="5"/>
  <c r="D10" i="7"/>
  <c r="D14" i="7" s="1"/>
  <c r="D14" i="8"/>
  <c r="D17" i="8" s="1"/>
  <c r="B72" i="5"/>
  <c r="E72" i="5" s="1"/>
  <c r="J1" i="8"/>
  <c r="J1" i="7"/>
  <c r="D28" i="766" a="1"/>
  <c r="D25" i="764" a="1"/>
  <c r="D24" i="767" a="1"/>
  <c r="D30" i="765" a="1"/>
  <c r="D34" i="759" a="1"/>
  <c r="D23" i="760" a="1"/>
  <c r="D23" i="763" a="1"/>
  <c r="D26" i="762" a="1"/>
  <c r="D20" i="8" a="1"/>
  <c r="D30" i="765" l="1"/>
  <c r="D24" i="767"/>
  <c r="D25" i="764"/>
  <c r="D28" i="766"/>
  <c r="D26" i="762"/>
  <c r="D23" i="763"/>
  <c r="D23" i="760"/>
  <c r="D34" i="759"/>
  <c r="D20" i="8"/>
  <c r="E73" i="5"/>
  <c r="D16" i="7"/>
  <c r="D18" i="7" s="1"/>
  <c r="D21" i="7" a="1"/>
  <c r="D21" i="7" l="1"/>
  <c r="E75" i="5"/>
  <c r="E77" i="5" s="1"/>
  <c r="E80" i="5" a="1"/>
  <c r="E8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<sst xmlns="http://schemas.openxmlformats.org/spreadsheetml/2006/main" count="1758" uniqueCount="305">
  <si>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</si>
  <si>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</si>
  <si>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</si>
  <si>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</si>
  <si>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</si>
  <si>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</si>
  <si>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</si>
  <si>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</si>
  <si>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</si>
  <si>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</si>
  <si>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</si>
  <si>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</si>
  <si>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</si>
  <si>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</si>
  <si>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</si>
  <si>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</si>
  <si>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</si>
  <si>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</si>
  <si>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</si>
  <si>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</si>
  <si>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</si>
  <si>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</si>
  <si>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</si>
  <si>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</si>
  <si>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</si>
  <si>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</si>
  <si>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</si>
  <si>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</si>
  <si>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</si>
  <si>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</si>
  <si>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</si>
  <si>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</si>
  <si>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</si>
  <si>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</si>
  <si>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</si>
  <si>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</si>
  <si>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</si>
  <si>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</si>
  <si>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</si>
  <si>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</si>
  <si>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</si>
  <si>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</si>
  <si>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</si>
  <si>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</si>
  <si>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</si>
  <si>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</si>
  <si>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0</t>
  </si>
  <si>
    <t>TOTAL REGISTROS GERENCIA</t>
  </si>
  <si>
    <t>Coordinadores</t>
  </si>
  <si>
    <t>Gerentes</t>
  </si>
  <si>
    <t>Promotores</t>
  </si>
  <si>
    <t>&gt;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</si>
  <si>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</si>
  <si>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</si>
  <si>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</si>
  <si>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</si>
  <si>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</si>
  <si>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</si>
  <si>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</si>
  <si>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</si>
  <si>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</si>
  <si>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</si>
  <si>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</si>
  <si>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</si>
  <si>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</si>
  <si>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</si>
  <si>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</si>
  <si>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</si>
  <si>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</si>
  <si>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</si>
  <si>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</si>
  <si>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</si>
  <si>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</si>
  <si>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</si>
  <si>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</si>
  <si>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</si>
  <si>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</si>
  <si>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</si>
  <si>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</si>
  <si>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</si>
  <si>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</si>
  <si>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</si>
  <si>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</si>
  <si>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</si>
  <si>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</si>
  <si>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</si>
  <si>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</si>
  <si>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</si>
  <si>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</si>
  <si>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</si>
  <si>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</si>
  <si>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</si>
  <si>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</si>
  <si>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</si>
  <si>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</si>
  <si>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</si>
  <si>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</si>
  <si>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NOMBRE DEL ALUMNO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</si>
  <si>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</si>
  <si>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</si>
  <si>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</si>
  <si>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</si>
  <si>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</si>
  <si>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</si>
  <si>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</si>
  <si>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</si>
  <si>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</si>
  <si>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</si>
  <si>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</si>
  <si>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</si>
  <si>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</si>
  <si>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</si>
  <si>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</si>
  <si>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</si>
  <si>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</si>
  <si>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</si>
  <si>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</si>
  <si>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</si>
  <si>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</si>
  <si>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</si>
  <si>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</si>
  <si>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</si>
  <si>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</si>
  <si>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</si>
  <si>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</si>
  <si>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</si>
  <si>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</si>
  <si>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</si>
  <si>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</si>
  <si>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</si>
  <si>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</si>
  <si>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</si>
  <si>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</si>
  <si>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</si>
  <si>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</si>
  <si>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</si>
  <si>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</si>
  <si>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</si>
  <si>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</si>
  <si>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</si>
  <si>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</si>
  <si>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</si>
  <si>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</si>
  <si>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</si>
  <si>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</si>
  <si>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</si>
  <si>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</si>
  <si>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</si>
  <si>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</si>
  <si>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</si>
  <si>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</si>
  <si>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</si>
  <si>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</si>
  <si>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</si>
  <si>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</si>
  <si>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</si>
  <si>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</si>
  <si>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</si>
  <si>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</si>
  <si>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</si>
  <si>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</si>
  <si>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</si>
  <si>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</si>
  <si>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</si>
  <si>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</si>
  <si>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</si>
  <si>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</si>
  <si>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</si>
  <si>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</si>
  <si>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</si>
  <si>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</si>
  <si>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</si>
  <si>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</si>
  <si>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</si>
  <si>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</si>
  <si>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</si>
  <si>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</si>
  <si>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EUNICE MORALES</t>
  </si>
  <si>
    <t>YANISSE TORRES</t>
  </si>
  <si>
    <t>PEDRO GUTIERREZ</t>
  </si>
  <si>
    <t>LIZBETH MORALES</t>
  </si>
  <si>
    <t>PEDRO MORA GUTIERREZ</t>
  </si>
  <si>
    <t>AJUSTES</t>
  </si>
  <si>
    <t>TS PLANTEL</t>
  </si>
  <si>
    <t>TS CREDENCIAL</t>
  </si>
  <si>
    <t>Ajustes</t>
  </si>
  <si>
    <t>Tablas de apoyo</t>
  </si>
  <si>
    <t>Grand Total</t>
  </si>
  <si>
    <t>.</t>
  </si>
  <si>
    <t>Ventas por Coordinacion</t>
  </si>
  <si>
    <t>Ventas de Coordiacion por Plantel</t>
  </si>
  <si>
    <t>Ventas Por Plantel</t>
  </si>
  <si>
    <t>Ventas por Curso</t>
  </si>
  <si>
    <t>TECNOLOGIA EN ACCION SC</t>
  </si>
  <si>
    <t>Cursos</t>
  </si>
  <si>
    <t>INGLES</t>
  </si>
  <si>
    <t>UNIVERSIDAD</t>
  </si>
  <si>
    <t>SECUNDARIA</t>
  </si>
  <si>
    <t>COLBACH</t>
  </si>
  <si>
    <t>EXCEL</t>
  </si>
  <si>
    <t>EXU</t>
  </si>
  <si>
    <t>PREPA</t>
  </si>
  <si>
    <t>EXU LINEA</t>
  </si>
  <si>
    <t>MARKETING</t>
  </si>
  <si>
    <t>INICIO</t>
  </si>
  <si>
    <t>INGLES AVANZADO</t>
  </si>
  <si>
    <t>CURSOS</t>
  </si>
  <si>
    <t>Ventas por Promotor</t>
  </si>
  <si>
    <t>Resultados</t>
  </si>
  <si>
    <t>Ventas por Plantel</t>
  </si>
  <si>
    <t>Ventas por Plantel por Curso</t>
  </si>
  <si>
    <t>Ventas de Cursos por Plantel</t>
  </si>
  <si>
    <t>Ventas de Coordinacion por Plantel</t>
  </si>
  <si>
    <t>Ventas por Gerente</t>
  </si>
  <si>
    <t>INGLES KIDS</t>
  </si>
  <si>
    <t>CONTABILIDAD</t>
  </si>
  <si>
    <t>COMPUTACION</t>
  </si>
  <si>
    <t>INGLES KINDER</t>
  </si>
  <si>
    <t>REP DE CELULARES</t>
  </si>
  <si>
    <t>INGLES TEENS</t>
  </si>
  <si>
    <t>CENTRO DE EDUCACION DE CALIDAD TOTAL SC</t>
  </si>
  <si>
    <t>VIRTUAL</t>
  </si>
  <si>
    <t>VANGUARDIA EN EDUCACION E INFORMATICA SC</t>
  </si>
  <si>
    <t>UI PARIAN</t>
  </si>
  <si>
    <t>UI MARIANO OTERO</t>
  </si>
  <si>
    <t>UI 16 DE SEPTIEMBRE</t>
  </si>
  <si>
    <t>CENTRO EDUCATIVO Y MEDIOS ACADEMICOS SC</t>
  </si>
  <si>
    <t>UDN TONALA</t>
  </si>
  <si>
    <t>UDN TLAQUEPAQUE</t>
  </si>
  <si>
    <t>EDUCACION ACADEMICA Y VANGUARDISTA SC</t>
  </si>
  <si>
    <t>TRANSITO</t>
  </si>
  <si>
    <t>ONLINE</t>
  </si>
  <si>
    <t>OBLATOS</t>
  </si>
  <si>
    <t>INDEPENDENCIA</t>
  </si>
  <si>
    <t>CENTRO TECNOLOGICO Y LENGUAS EXTRANJERAS</t>
  </si>
  <si>
    <t>AWL TONALA</t>
  </si>
  <si>
    <t>AWL TLAQUEPAQUE</t>
  </si>
  <si>
    <t>Razones Sociales</t>
  </si>
  <si>
    <t>Planteles</t>
  </si>
  <si>
    <t>AUX DE ENFERMERIA</t>
  </si>
  <si>
    <t>PARAMEDICO</t>
  </si>
  <si>
    <t>PRIMARIA</t>
  </si>
  <si>
    <t>GERIATRIA</t>
  </si>
  <si>
    <t>DERECHO FISCAL</t>
  </si>
  <si>
    <t>Bryan Gutierrez Alvarez</t>
  </si>
  <si>
    <t>Mariana Alejandra Paz Lopes</t>
  </si>
  <si>
    <t>Liam Pedroza Manzanero</t>
  </si>
  <si>
    <t>Humberto Emanuel Medina Medina</t>
  </si>
  <si>
    <t>Karla Aracely Sanchez Barcenas</t>
  </si>
  <si>
    <t>Martha Estela Barcenas Gonzalez</t>
  </si>
  <si>
    <t>Jose Miguel Rocha Hernandez</t>
  </si>
  <si>
    <t>Cecilia Rodriguez Gutierrez</t>
  </si>
  <si>
    <t>Ximena Gonzalez Sanchez</t>
  </si>
  <si>
    <t>Joel Apolonio Lozano Orozco</t>
  </si>
  <si>
    <t>Luz Fernanda Zuñiga Campusano</t>
  </si>
  <si>
    <t>Javier Uriel Almaguer Hernandez</t>
  </si>
  <si>
    <t>Daniela Isamar Jimenez Jaime</t>
  </si>
  <si>
    <t>Evan Greco Arambula Padilla</t>
  </si>
  <si>
    <t>Karol Denisse Nava Soto</t>
  </si>
  <si>
    <t>Oscar Uriel Gonzalez Gomez</t>
  </si>
  <si>
    <t>Myriam Margarita Infante Zavala</t>
  </si>
  <si>
    <t>Ricardo Daniel Hernandez Ramos</t>
  </si>
  <si>
    <t>Daniel Guadalupe Hernandez Moran</t>
  </si>
  <si>
    <t>Andrea del Rocio Ramirez Gonzalez</t>
  </si>
  <si>
    <t>Jesus Abraham Mares Zamora</t>
  </si>
  <si>
    <t>Alma Celia Gomez Flores</t>
  </si>
  <si>
    <t>Jose Eduardo Alba Rios</t>
  </si>
  <si>
    <t>Jose Eduardo Torres Alvarez</t>
  </si>
  <si>
    <t>Maria Guadalupe Contreras Aranda</t>
  </si>
  <si>
    <t>Fabian Miguel Barajas Ortega</t>
  </si>
  <si>
    <t>Susana García Robledo</t>
  </si>
  <si>
    <t>Abril Danya Martinez Espino</t>
  </si>
  <si>
    <t>Briana Allison Juarez Hernandez</t>
  </si>
  <si>
    <t>Edgar Alejandro Aceves Moreno</t>
  </si>
  <si>
    <t>MARIA DE JESUS GARCIA VAZQUEZ</t>
  </si>
  <si>
    <t>EVELINA GARNICA CAUDILLO</t>
  </si>
  <si>
    <t>MARIA XIMENA ROCHA SOTELO</t>
  </si>
  <si>
    <t>XOCHITL MONSERRAT ROCHA SOTELO</t>
  </si>
  <si>
    <t>GLORIA ESTAFANIA CENDEJAS VARELA</t>
  </si>
  <si>
    <t>MARIA DE JESUS ACOSTA MENA</t>
  </si>
  <si>
    <t>ISAURA JIMENEZ TRUJILLO</t>
  </si>
  <si>
    <t>EDGAR GUILLERMO JAIME MONTELONGO</t>
  </si>
  <si>
    <t>LILIA ALEJANDRA ROJAS CORONADO</t>
  </si>
  <si>
    <t>YOLANDA ELIZABETH HENANDEZ HUERTA</t>
  </si>
  <si>
    <t>JOSE RAUL RAMIREZ PEREZ</t>
  </si>
  <si>
    <t>BRANDON BARRON RODRIGUEZ</t>
  </si>
  <si>
    <t>MARIA DEL CARMEN PEREZ REYNO</t>
  </si>
  <si>
    <t>LEONARDO PIZA ROCHA</t>
  </si>
  <si>
    <t>MARIA DE LOS ANGELES DE LA CRUZ JUÁREZ</t>
  </si>
  <si>
    <t>SALVADOR JASSO CAMPOS</t>
  </si>
  <si>
    <t>LUZ MARIANA BARBA MANRIQAUEZ</t>
  </si>
  <si>
    <t>GAEL ORNELAS MARTINEZ</t>
  </si>
  <si>
    <t>ARLETH SOFIA ORNELAS MARTINEZ</t>
  </si>
  <si>
    <t>MORA ESCOBAR SANDRA</t>
  </si>
  <si>
    <t>ROCHA MUÑOZ ANTONIO</t>
  </si>
  <si>
    <t>ROCHA HERNANDEZ JOSE MIGUEL</t>
  </si>
  <si>
    <t>ESPINOSA ALTAMIRANO EMMA ZOE</t>
  </si>
  <si>
    <t>LEZAMA CONTRERAS SAMUEL DAVID</t>
  </si>
  <si>
    <t>LEIJA CERVERA MARIA ENRIQUETA</t>
  </si>
  <si>
    <t>ROCHA SANDOVAL CARLOS MANUEL</t>
  </si>
  <si>
    <t>ESCOBAR MARTINEZ MIGUEL ANGEL</t>
  </si>
  <si>
    <t>CARVAAL AGUIRRE LETICIA JEANNETTE</t>
  </si>
  <si>
    <t>MORALES SALAS INGRID GUADALUPE</t>
  </si>
  <si>
    <t>PREPA INTENSIVA</t>
  </si>
  <si>
    <t>INGLES INTENSIVO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</si>
</sst>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[$-F800]dddd\,\ mmmm\ dd\,\ yyyy"/>
    <numFmt numFmtId="170" formatCode="[$]dddd\,\ d\ mmmm\ yyyy;@" x16r2:formatCode16="[$-en-MX,1]dddd\,\ d\ mmmm\ yyyy;@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1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0" fontId="9" fillId="0" borderId="4" applyNumberFormat="0" applyFill="0" applyAlignment="0" applyProtection="0"/>
    <xf numFmtId="0" fontId="17" fillId="0" borderId="5" applyNumberFormat="0" applyFill="0" applyAlignment="0" applyProtection="0"/>
  </cellStyleXfs>
  <cellXfs count="144">
    <xf numFmtId="0" fontId="0" fillId="0" borderId="0" xfId="0"/>
    <xf numFmtId="0" fontId="4" fillId="0" borderId="0" xfId="0" applyFont="1"/>
    <xf numFmtId="165" fontId="4" fillId="0" borderId="0" xfId="1" applyFont="1" applyFill="1" applyBorder="1"/>
    <xf numFmtId="165" fontId="5" fillId="0" borderId="0" xfId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4" fillId="0" borderId="0" xfId="1" applyFont="1" applyFill="1" applyBorder="1" applyAlignment="1"/>
    <xf numFmtId="0" fontId="5" fillId="0" borderId="0" xfId="0" applyFont="1"/>
    <xf numFmtId="0" fontId="5" fillId="0" borderId="0" xfId="0" applyFont="1" applyAlignment="1">
      <alignment vertical="center"/>
    </xf>
    <xf numFmtId="165" fontId="5" fillId="0" borderId="0" xfId="1" applyFont="1" applyFill="1" applyBorder="1" applyAlignment="1"/>
    <xf numFmtId="165" fontId="5" fillId="0" borderId="0" xfId="1" applyFont="1" applyFill="1" applyBorder="1" applyAlignment="1">
      <alignment vertic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164" fontId="4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0" xfId="0" applyFont="1" applyAlignment="1">
      <alignment wrapText="1"/>
    </xf>
    <xf numFmtId="166" fontId="6" fillId="0" borderId="0" xfId="0" applyNumberFormat="1" applyFont="1"/>
    <xf numFmtId="166" fontId="6" fillId="0" borderId="0" xfId="0" applyNumberFormat="1" applyFont="1" applyAlignment="1">
      <alignment vertical="center"/>
    </xf>
    <xf numFmtId="168" fontId="6" fillId="0" borderId="0" xfId="0" applyNumberFormat="1" applyFont="1"/>
    <xf numFmtId="0" fontId="7" fillId="0" borderId="0" xfId="0" applyFont="1" applyAlignment="1">
      <alignment horizontal="right"/>
    </xf>
    <xf numFmtId="166" fontId="7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166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166" fontId="7" fillId="2" borderId="1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2" xfId="0" applyFont="1" applyBorder="1" applyAlignment="1">
      <alignment horizontal="right"/>
    </xf>
    <xf numFmtId="0" fontId="6" fillId="0" borderId="2" xfId="0" applyFont="1" applyBorder="1"/>
    <xf numFmtId="0" fontId="6" fillId="0" borderId="0" xfId="0" applyFont="1" applyAlignment="1">
      <alignment horizontal="right"/>
    </xf>
    <xf numFmtId="166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44" fontId="7" fillId="0" borderId="0" xfId="0" applyNumberFormat="1" applyFont="1" applyAlignment="1">
      <alignment vertical="center"/>
    </xf>
    <xf numFmtId="44" fontId="7" fillId="0" borderId="0" xfId="0" applyNumberFormat="1" applyFont="1" applyAlignment="1">
      <alignment horizontal="center" vertical="center"/>
    </xf>
    <xf numFmtId="165" fontId="0" fillId="0" borderId="0" xfId="1" applyFont="1"/>
    <xf numFmtId="0" fontId="6" fillId="0" borderId="0" xfId="0" applyFont="1" applyAlignment="1">
      <alignment horizontal="right" vertical="center"/>
    </xf>
    <xf numFmtId="0" fontId="7" fillId="0" borderId="3" xfId="0" applyFont="1" applyBorder="1"/>
    <xf numFmtId="0" fontId="7" fillId="0" borderId="3" xfId="0" applyFont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right"/>
    </xf>
    <xf numFmtId="44" fontId="7" fillId="0" borderId="2" xfId="1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67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0" fontId="9" fillId="0" borderId="4" xfId="2"/>
    <xf numFmtId="0" fontId="9" fillId="0" borderId="4" xfId="2" applyAlignment="1">
      <alignment horizontal="center"/>
    </xf>
    <xf numFmtId="0" fontId="9" fillId="0" borderId="0" xfId="2" applyBorder="1"/>
    <xf numFmtId="164" fontId="5" fillId="0" borderId="0" xfId="0" applyNumberFormat="1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4" xfId="2" applyAlignment="1">
      <alignment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165" fontId="6" fillId="0" borderId="0" xfId="1" applyFont="1" applyAlignment="1">
      <alignment horizontal="center"/>
    </xf>
    <xf numFmtId="44" fontId="7" fillId="0" borderId="0" xfId="1" applyNumberFormat="1" applyFont="1" applyAlignment="1">
      <alignment vertical="center"/>
    </xf>
    <xf numFmtId="165" fontId="4" fillId="0" borderId="0" xfId="1" applyFont="1"/>
    <xf numFmtId="0" fontId="12" fillId="0" borderId="0" xfId="2" applyFont="1" applyBorder="1"/>
    <xf numFmtId="0" fontId="12" fillId="0" borderId="0" xfId="2" applyFont="1" applyBorder="1" applyAlignment="1">
      <alignment horizontal="center"/>
    </xf>
    <xf numFmtId="165" fontId="6" fillId="0" borderId="2" xfId="1" applyFont="1" applyBorder="1" applyAlignment="1">
      <alignment horizontal="center" vertical="center"/>
    </xf>
    <xf numFmtId="44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 applyProtection="1">
      <alignment horizontal="center" vertical="center"/>
    </xf>
    <xf numFmtId="44" fontId="7" fillId="2" borderId="1" xfId="1" applyNumberFormat="1" applyFont="1" applyFill="1" applyBorder="1" applyAlignment="1" applyProtection="1">
      <alignment horizontal="center" vertic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 applyProtection="1">
      <alignment vertical="center"/>
      <protection locked="0"/>
    </xf>
    <xf numFmtId="165" fontId="6" fillId="0" borderId="2" xfId="1" applyFont="1" applyBorder="1" applyProtection="1"/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44" fontId="7" fillId="0" borderId="0" xfId="0" applyNumberFormat="1" applyFont="1" applyAlignment="1" applyProtection="1">
      <alignment horizontal="center"/>
      <protection locked="0"/>
    </xf>
    <xf numFmtId="166" fontId="7" fillId="0" borderId="0" xfId="0" applyNumberFormat="1" applyFont="1" applyAlignment="1" applyProtection="1">
      <alignment horizontal="center"/>
      <protection locked="0"/>
    </xf>
    <xf numFmtId="0" fontId="6" fillId="0" borderId="3" xfId="0" applyFont="1" applyBorder="1" applyAlignment="1">
      <alignment horizontal="right" wrapText="1"/>
    </xf>
    <xf numFmtId="49" fontId="6" fillId="0" borderId="0" xfId="0" applyNumberFormat="1" applyFont="1" applyAlignment="1">
      <alignment vertical="center"/>
    </xf>
    <xf numFmtId="0" fontId="7" fillId="0" borderId="3" xfId="0" applyFont="1" applyBorder="1" applyAlignment="1">
      <alignment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165" fontId="6" fillId="0" borderId="2" xfId="1" applyFont="1" applyBorder="1" applyAlignment="1" applyProtection="1">
      <alignment wrapText="1"/>
    </xf>
    <xf numFmtId="0" fontId="6" fillId="0" borderId="0" xfId="0" applyFont="1" applyAlignment="1">
      <alignment horizontal="center" vertical="center" wrapText="1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69" fontId="6" fillId="0" borderId="3" xfId="0" applyNumberFormat="1" applyFont="1" applyBorder="1"/>
    <xf numFmtId="169" fontId="6" fillId="0" borderId="3" xfId="0" applyNumberFormat="1" applyFont="1" applyBorder="1" applyAlignment="1" applyProtection="1">
      <alignment vertical="center"/>
      <protection locked="0"/>
    </xf>
    <xf numFmtId="169" fontId="6" fillId="0" borderId="3" xfId="0" applyNumberFormat="1" applyFont="1" applyBorder="1" applyAlignment="1">
      <alignment vertical="center"/>
    </xf>
    <xf numFmtId="170" fontId="6" fillId="0" borderId="3" xfId="0" applyNumberFormat="1" applyFont="1" applyBorder="1" applyProtection="1">
      <protection locked="0"/>
    </xf>
    <xf numFmtId="170" fontId="6" fillId="0" borderId="3" xfId="0" applyNumberFormat="1" applyFont="1" applyBorder="1" applyAlignment="1" applyProtection="1">
      <alignment vertical="center"/>
      <protection locked="0"/>
    </xf>
    <xf numFmtId="170" fontId="6" fillId="0" borderId="3" xfId="0" applyNumberFormat="1" applyFont="1" applyBorder="1" applyAlignment="1">
      <alignment vertical="center"/>
    </xf>
    <xf numFmtId="170" fontId="6" fillId="0" borderId="0" xfId="0" applyNumberFormat="1" applyFont="1" applyAlignment="1">
      <alignment horizontal="center" vertical="center"/>
    </xf>
    <xf numFmtId="170" fontId="6" fillId="0" borderId="3" xfId="0" applyNumberFormat="1" applyFont="1" applyBorder="1"/>
    <xf numFmtId="170" fontId="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6" fillId="0" borderId="0" xfId="0" applyFont="1"/>
    <xf numFmtId="0" fontId="15" fillId="0" borderId="0" xfId="0" applyFont="1" applyProtection="1">
      <protection locked="0"/>
    </xf>
    <xf numFmtId="0" fontId="18" fillId="0" borderId="4" xfId="2" applyFont="1"/>
    <xf numFmtId="0" fontId="19" fillId="0" borderId="5" xfId="3" applyFont="1"/>
    <xf numFmtId="0" fontId="1" fillId="0" borderId="0" xfId="0" applyFont="1"/>
    <xf numFmtId="44" fontId="6" fillId="0" borderId="0" xfId="1" applyNumberFormat="1" applyFont="1" applyFill="1" applyAlignment="1" applyProtection="1">
      <alignment horizontal="right"/>
      <protection locked="0"/>
    </xf>
    <xf numFmtId="0" fontId="20" fillId="0" borderId="6" xfId="0" applyFont="1" applyBorder="1"/>
    <xf numFmtId="49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0" borderId="0" xfId="0" applyNumberFormat="1" applyFont="1" applyAlignment="1" applyProtection="1">
      <alignment vertical="center"/>
      <protection locked="0"/>
    </xf>
    <xf numFmtId="14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6" fontId="7" fillId="0" borderId="2" xfId="0" applyNumberFormat="1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/>
    </xf>
    <xf numFmtId="167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right" vertical="center"/>
    </xf>
    <xf numFmtId="165" fontId="6" fillId="0" borderId="0" xfId="1" applyFont="1" applyFill="1" applyAlignment="1">
      <alignment horizontal="center"/>
    </xf>
    <xf numFmtId="170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65" fontId="6" fillId="0" borderId="0" xfId="0" applyNumberFormat="1" applyFont="1" applyFill="1" applyAlignment="1">
      <alignment horizontal="center"/>
    </xf>
    <xf numFmtId="166" fontId="6" fillId="0" borderId="0" xfId="0" applyNumberFormat="1" applyFont="1" applyFill="1" applyAlignment="1">
      <alignment horizontal="center"/>
    </xf>
    <xf numFmtId="170" fontId="6" fillId="0" borderId="0" xfId="0" applyNumberFormat="1" applyFont="1" applyFill="1" applyAlignment="1">
      <alignment horizontal="center"/>
    </xf>
    <xf numFmtId="0" fontId="0" fillId="0" borderId="0" xfId="0" applyNumberFormat="1"/>
  </cellXfs>
  <cellStyles count="4">
    <cellStyle name="Currency" xfId="1" builtinId="4"/>
    <cellStyle name="Heading 1" xfId="2" builtinId="16"/>
    <cellStyle name="Heading 2" xfId="3" builtinId="17"/>
    <cellStyle name="Normal" xfId="0" builtinId="0"/>
  </cellStyles>
  <dxfs count="5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[$]dddd\,\ d\ mmmm\ yyyy;@" x16r2:formatCode16="[$-en-MX,1]dddd\,\ 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[autoNominasRP-2013-v0.9.0.xlsm]Resultados!Ventas por Coordinacion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Coordinacion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Resultados!$B$9</c:f>
              <c:strCache>
                <c:ptCount val="1"/>
                <c:pt idx="0">
                  <c:v>OLIVIA PACHECO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B89F-7548-ABBA-1AED5ED1B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Resultados!$B$10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9F-7548-ABBA-1AED5ED1B55F}"/>
            </c:ext>
          </c:extLst>
        </c:ser>
        <c:ser>
          <c:idx val="1"/>
          <c:order val="1"/>
          <c:tx>
            <c:strRef>
              <c:f>Resultados!$C$9</c:f>
              <c:strCache>
                <c:ptCount val="1"/>
                <c:pt idx="0">
                  <c:v>MARIANA PACHECO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Resultados!$C$10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CA48-C64F-A209-762F79C69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488400"/>
        <c:axId val="1234490112"/>
      </c:barChart>
      <c:catAx>
        <c:axId val="123448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4490112"/>
        <c:crosses val="autoZero"/>
        <c:auto val="1"/>
        <c:lblAlgn val="ctr"/>
        <c:lblOffset val="100"/>
        <c:noMultiLvlLbl val="0"/>
      </c:catAx>
      <c:valAx>
        <c:axId val="12344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488400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[autoNominasRP-2013-v0.9.0.xlsm]Resultados!Ventas de Coordinacion por Plantel</c:name>
    <c:fmtId val="0"/>
  </c:pivotSource>
  <c:chart>
    <c:title>
      <c:tx>
        <c:strRef>
          <c:f>Resultados!$A$92</c:f>
          <c:strCache>
            <c:ptCount val="1"/>
            <c:pt idx="0">
              <c:v>Ventas de Coordiacion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Resultados!$A$92</c:f>
              <c:strCache>
                <c:ptCount val="1"/>
                <c:pt idx="0">
                  <c:v>AWL LEON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Resultados!$A$92</c:f>
              <c:strCache>
                <c:ptCount val="2"/>
                <c:pt idx="0">
                  <c:v>OLIVIA PACHECO</c:v>
                </c:pt>
                <c:pt idx="1">
                  <c:v>MARIANA PACHECO</c:v>
                </c:pt>
              </c:strCache>
            </c:strRef>
          </c:cat>
          <c:val>
            <c:numRef>
              <c:f>Resultados!$A$92</c:f>
              <c:numCache>
                <c:formatCode>General</c:formatCode>
                <c:ptCount val="2"/>
                <c:pt idx="0">
                  <c:v>31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0-9A4A-8F69-989565970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21776"/>
        <c:axId val="1234805568"/>
      </c:barChart>
      <c:catAx>
        <c:axId val="123482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05568"/>
        <c:crosses val="autoZero"/>
        <c:auto val="1"/>
        <c:lblAlgn val="ctr"/>
        <c:lblOffset val="100"/>
        <c:noMultiLvlLbl val="0"/>
      </c:catAx>
      <c:valAx>
        <c:axId val="1234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82177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[autoNominasRP-2013-v0.9.0.xlsm]Resultados!Ventas por Plante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Plantel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Resultados!$B$19</c:f>
              <c:strCache>
                <c:ptCount val="1"/>
                <c:pt idx="0">
                  <c:v>AWL LEON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113-8642-BF50-6F34DD5386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Resultados!$B$20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E-EA4A-B82E-70AFE99D6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484080"/>
        <c:axId val="1590485792"/>
      </c:barChart>
      <c:valAx>
        <c:axId val="15904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4080"/>
        <c:crosses val="autoZero"/>
        <c:crossBetween val="between"/>
        <c:majorUnit val="2"/>
      </c:valAx>
      <c:catAx>
        <c:axId val="159048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59048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[autoNominasRP-2013-v0.9.0.xlsm]Resultados!Ventas por Curso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Curso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Resultados!$B$24</c:f>
              <c:strCache>
                <c:ptCount val="1"/>
                <c:pt idx="0">
                  <c:v>INGLES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D6E-A44C-BF9C-EFF288FDEE90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6E-A44C-BF9C-EFF288FDE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Resultados!$B$25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A44C-BF9C-EFF288FDEE90}"/>
            </c:ext>
          </c:extLst>
        </c:ser>
        <c:ser>
          <c:idx val="1"/>
          <c:order val="1"/>
          <c:tx>
            <c:strRef>
              <c:f>Resultados!$C$24</c:f>
              <c:strCache>
                <c:ptCount val="1"/>
                <c:pt idx="0">
                  <c:v>COLBACH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5A-284A-9450-6C1FB0D03243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A-284A-9450-6C1FB0D032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Resultados!$C$25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0A-AF4C-AB5F-89EAE640D6BF}"/>
            </c:ext>
          </c:extLst>
        </c:ser>
        <c:ser>
          <c:idx val="2"/>
          <c:order val="2"/>
          <c:tx>
            <c:strRef>
              <c:f>Resultados!$D$24</c:f>
              <c:strCache>
                <c:ptCount val="1"/>
                <c:pt idx="0">
                  <c:v>PREPA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5A-284A-9450-6C1FB0D03243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5A-284A-9450-6C1FB0D032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Resultados!$D$25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0A-AF4C-AB5F-89EAE640D6BF}"/>
            </c:ext>
          </c:extLst>
        </c:ser>
        <c:ser>
          <c:idx val="3"/>
          <c:order val="3"/>
          <c:tx>
            <c:strRef>
              <c:f>Resultados!$E$24</c:f>
              <c:strCache>
                <c:ptCount val="1"/>
                <c:pt idx="0">
                  <c:v>INGLES KIDS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Resultados!$E$25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0A-AF4C-AB5F-89EAE640D6BF}"/>
            </c:ext>
          </c:extLst>
        </c:ser>
        <c:ser>
          <c:idx val="4"/>
          <c:order val="4"/>
          <c:tx>
            <c:strRef>
              <c:f>Resultados!$F$24</c:f>
              <c:strCache>
                <c:ptCount val="1"/>
                <c:pt idx="0">
                  <c:v>CONTABILIDAD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Resultados!$F$25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E0A-AF4C-AB5F-89EAE640D6BF}"/>
            </c:ext>
          </c:extLst>
        </c:ser>
        <c:ser>
          <c:idx val="5"/>
          <c:order val="5"/>
          <c:tx>
            <c:strRef>
              <c:f>Resultados!$G$24</c:f>
              <c:strCache>
                <c:ptCount val="1"/>
                <c:pt idx="0">
                  <c:v>COMPUTACION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Resultados!$G$25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E0A-AF4C-AB5F-89EAE640D6BF}"/>
            </c:ext>
          </c:extLst>
        </c:ser>
        <c:ser>
          <c:idx val="6"/>
          <c:order val="6"/>
          <c:tx>
            <c:strRef>
              <c:f>Resultados!$H$24</c:f>
              <c:strCache>
                <c:ptCount val="1"/>
                <c:pt idx="0">
                  <c:v>INGLES KINDER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Resultados!$H$25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E0A-AF4C-AB5F-89EAE640D6BF}"/>
            </c:ext>
          </c:extLst>
        </c:ser>
        <c:ser>
          <c:idx val="7"/>
          <c:order val="7"/>
          <c:tx>
            <c:strRef>
              <c:f>Resultados!$I$24</c:f>
              <c:strCache>
                <c:ptCount val="1"/>
                <c:pt idx="0">
                  <c:v>REP DE CELULARES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Resultados!$I$25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E0A-AF4C-AB5F-89EAE640D6BF}"/>
            </c:ext>
          </c:extLst>
        </c:ser>
        <c:ser>
          <c:idx val="8"/>
          <c:order val="8"/>
          <c:tx>
            <c:strRef>
              <c:f>Resultados!$J$24</c:f>
              <c:strCache>
                <c:ptCount val="1"/>
                <c:pt idx="0">
                  <c:v>INGLES TEENS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Resultados!$J$25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E0A-AF4C-AB5F-89EAE640D6BF}"/>
            </c:ext>
          </c:extLst>
        </c:ser>
        <c:ser>
          <c:idx val="9"/>
          <c:order val="9"/>
          <c:tx>
            <c:strRef>
              <c:f>Resultados!$K$24</c:f>
              <c:strCache>
                <c:ptCount val="1"/>
                <c:pt idx="0">
                  <c:v>AUX DE ENFERMERIA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Resultados!$K$25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E0A-AF4C-AB5F-89EAE640D6BF}"/>
            </c:ext>
          </c:extLst>
        </c:ser>
        <c:ser>
          <c:idx val="10"/>
          <c:order val="10"/>
          <c:tx>
            <c:strRef>
              <c:f>Resultados!$L$24</c:f>
              <c:strCache>
                <c:ptCount val="1"/>
                <c:pt idx="0">
                  <c:v>PREPA INTENSIVA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Resultados!$L$25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E0A-AF4C-AB5F-89EAE640D6BF}"/>
            </c:ext>
          </c:extLst>
        </c:ser>
        <c:ser>
          <c:idx val="11"/>
          <c:order val="11"/>
          <c:tx>
            <c:strRef>
              <c:f>Resultados!$M$24</c:f>
              <c:strCache>
                <c:ptCount val="1"/>
                <c:pt idx="0">
                  <c:v>INGLES INTENSIVO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Resultados!$A$25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Resultados!$M$25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E0A-AF4C-AB5F-89EAE640D6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93186064"/>
        <c:axId val="1893187776"/>
      </c:barChart>
      <c:catAx>
        <c:axId val="18931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7776"/>
        <c:crosses val="autoZero"/>
        <c:auto val="1"/>
        <c:lblAlgn val="ctr"/>
        <c:lblOffset val="100"/>
        <c:noMultiLvlLbl val="0"/>
      </c:catAx>
      <c:valAx>
        <c:axId val="18931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Ventas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18606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 de Cursos por Plantel</c:name>
    <c:fmtId val="0"/>
  </c:pivotSource>
  <c:chart>
    <c:title>
      <c:tx>
        <c:strRef>
          <c:f>Resultados!$A$46</c:f>
          <c:strCache>
            <c:ptCount val="1"/>
            <c:pt idx="0">
              <c:v>Ventas de Cursos por Plantel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Resultados!$A$46</c:f>
              <c:strCache>
                <c:ptCount val="1"/>
                <c:pt idx="0">
                  <c:v>AWL LEON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Resultados!$A$46</c:f>
              <c:strCache>
                <c:ptCount val="12"/>
                <c:pt idx="0">
                  <c:v>INGLES</c:v>
                </c:pt>
                <c:pt idx="1">
                  <c:v>COLBACH</c:v>
                </c:pt>
                <c:pt idx="2">
                  <c:v>PREPA</c:v>
                </c:pt>
                <c:pt idx="3">
                  <c:v>INGLES KIDS</c:v>
                </c:pt>
                <c:pt idx="4">
                  <c:v>CONTABILIDAD</c:v>
                </c:pt>
                <c:pt idx="5">
                  <c:v>COMPUTACION</c:v>
                </c:pt>
                <c:pt idx="6">
                  <c:v>INGLES KINDER</c:v>
                </c:pt>
                <c:pt idx="7">
                  <c:v>REP DE CELULARES</c:v>
                </c:pt>
                <c:pt idx="8">
                  <c:v>INGLES TEENS</c:v>
                </c:pt>
                <c:pt idx="9">
                  <c:v>AUX DE ENFERMERIA</c:v>
                </c:pt>
                <c:pt idx="10">
                  <c:v>PREPA INTENSIVA</c:v>
                </c:pt>
                <c:pt idx="11">
                  <c:v>INGLES INTENSIVO</c:v>
                </c:pt>
              </c:strCache>
            </c:strRef>
          </c:cat>
          <c:val>
            <c:numRef>
              <c:f>Resultados!$A$46</c:f>
              <c:numCache>
                <c:formatCode>General</c:formatCode>
                <c:ptCount val="12"/>
                <c:pt idx="0">
                  <c:v>9</c:v>
                </c:pt>
                <c:pt idx="1">
                  <c:v>3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16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7-734E-A66E-12B8F4F6B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784096"/>
        <c:axId val="1234785808"/>
      </c:barChart>
      <c:catAx>
        <c:axId val="12347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5808"/>
        <c:crosses val="autoZero"/>
        <c:auto val="1"/>
        <c:lblAlgn val="ctr"/>
        <c:lblOffset val="100"/>
        <c:noMultiLvlLbl val="0"/>
      </c:catAx>
      <c:valAx>
        <c:axId val="12347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234784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[autoNominasRP-2013-v0.9.0.xlsm]Resultados!Venta_por_Plantel_por_Curso</c:name>
    <c:fmtId val="0"/>
  </c:pivotSource>
  <c:chart>
    <c:title>
      <c:tx>
        <c:strRef>
          <c:f>Resultados!$A$29</c:f>
          <c:strCache>
            <c:ptCount val="1"/>
            <c:pt idx="0">
              <c:v>Ventas por Plantel por Curso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Resultados!$A$29</c:f>
              <c:strCache>
                <c:ptCount val="1"/>
                <c:pt idx="0">
                  <c:v>INGLES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E-6F46-B8AF-6597B5C707F1}"/>
            </c:ext>
          </c:extLst>
        </c:ser>
        <c:ser>
          <c:idx val="1"/>
          <c:order val="1"/>
          <c:tx>
            <c:strRef>
              <c:f>Resultados!$A$29</c:f>
              <c:strCache>
                <c:ptCount val="1"/>
                <c:pt idx="0">
                  <c:v>COLBACH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8A0-FF47-A19D-8708B9FA8166}"/>
            </c:ext>
          </c:extLst>
        </c:ser>
        <c:ser>
          <c:idx val="2"/>
          <c:order val="2"/>
          <c:tx>
            <c:strRef>
              <c:f>Resultados!$A$29</c:f>
              <c:strCache>
                <c:ptCount val="1"/>
                <c:pt idx="0">
                  <c:v>PREPA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8A0-FF47-A19D-8708B9FA8166}"/>
            </c:ext>
          </c:extLst>
        </c:ser>
        <c:ser>
          <c:idx val="3"/>
          <c:order val="3"/>
          <c:tx>
            <c:strRef>
              <c:f>Resultados!$A$29</c:f>
              <c:strCache>
                <c:ptCount val="1"/>
                <c:pt idx="0">
                  <c:v>INGLES KIDS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8A0-FF47-A19D-8708B9FA8166}"/>
            </c:ext>
          </c:extLst>
        </c:ser>
        <c:ser>
          <c:idx val="4"/>
          <c:order val="4"/>
          <c:tx>
            <c:strRef>
              <c:f>Resultados!$A$29</c:f>
              <c:strCache>
                <c:ptCount val="1"/>
                <c:pt idx="0">
                  <c:v>CONTABILIDAD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8A0-FF47-A19D-8708B9FA8166}"/>
            </c:ext>
          </c:extLst>
        </c:ser>
        <c:ser>
          <c:idx val="5"/>
          <c:order val="5"/>
          <c:tx>
            <c:strRef>
              <c:f>Resultados!$A$29</c:f>
              <c:strCache>
                <c:ptCount val="1"/>
                <c:pt idx="0">
                  <c:v>COMPUTACION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8A0-FF47-A19D-8708B9FA8166}"/>
            </c:ext>
          </c:extLst>
        </c:ser>
        <c:ser>
          <c:idx val="6"/>
          <c:order val="6"/>
          <c:tx>
            <c:strRef>
              <c:f>Resultados!$A$29</c:f>
              <c:strCache>
                <c:ptCount val="1"/>
                <c:pt idx="0">
                  <c:v>INGLES KINDER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8A0-FF47-A19D-8708B9FA8166}"/>
            </c:ext>
          </c:extLst>
        </c:ser>
        <c:ser>
          <c:idx val="7"/>
          <c:order val="7"/>
          <c:tx>
            <c:strRef>
              <c:f>Resultados!$A$29</c:f>
              <c:strCache>
                <c:ptCount val="1"/>
                <c:pt idx="0">
                  <c:v>REP DE CELULARES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8A0-FF47-A19D-8708B9FA8166}"/>
            </c:ext>
          </c:extLst>
        </c:ser>
        <c:ser>
          <c:idx val="8"/>
          <c:order val="8"/>
          <c:tx>
            <c:strRef>
              <c:f>Resultados!$A$29</c:f>
              <c:strCache>
                <c:ptCount val="1"/>
                <c:pt idx="0">
                  <c:v>INGLES TEENS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8A0-FF47-A19D-8708B9FA8166}"/>
            </c:ext>
          </c:extLst>
        </c:ser>
        <c:ser>
          <c:idx val="9"/>
          <c:order val="9"/>
          <c:tx>
            <c:strRef>
              <c:f>Resultados!$A$29</c:f>
              <c:strCache>
                <c:ptCount val="1"/>
                <c:pt idx="0">
                  <c:v>AUX DE ENFERMERIA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8A0-FF47-A19D-8708B9FA8166}"/>
            </c:ext>
          </c:extLst>
        </c:ser>
        <c:ser>
          <c:idx val="10"/>
          <c:order val="10"/>
          <c:tx>
            <c:strRef>
              <c:f>Resultados!$A$29</c:f>
              <c:strCache>
                <c:ptCount val="1"/>
                <c:pt idx="0">
                  <c:v>PREPA INTENSIVA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8A0-FF47-A19D-8708B9FA8166}"/>
            </c:ext>
          </c:extLst>
        </c:ser>
        <c:ser>
          <c:idx val="11"/>
          <c:order val="11"/>
          <c:tx>
            <c:strRef>
              <c:f>Resultados!$A$29</c:f>
              <c:strCache>
                <c:ptCount val="1"/>
                <c:pt idx="0">
                  <c:v>INGLES INTENSIVO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Resultados!$A$29</c:f>
              <c:strCache>
                <c:ptCount val="1"/>
                <c:pt idx="0">
                  <c:v>AWL LEON</c:v>
                </c:pt>
              </c:strCache>
            </c:strRef>
          </c:cat>
          <c:val>
            <c:numRef>
              <c:f>Resultados!$A$29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8A0-FF47-A19D-8708B9FA8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894512"/>
        <c:axId val="1893344112"/>
      </c:barChart>
      <c:catAx>
        <c:axId val="189289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3344112"/>
        <c:crosses val="autoZero"/>
        <c:auto val="1"/>
        <c:lblAlgn val="ctr"/>
        <c:lblOffset val="100"/>
        <c:noMultiLvlLbl val="0"/>
      </c:catAx>
      <c:valAx>
        <c:axId val="189334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9289451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[autoNominasRP-2013-v0.9.0.xlsm]Resultados!Ventas_por_Promotor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Resultados!$B$14</c:f>
              <c:strCache>
                <c:ptCount val="1"/>
                <c:pt idx="0">
                  <c:v>FATIMA HERNANDEZ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Resultados!$B$15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1D4F-AE2F-85A4FC22E6EE}"/>
            </c:ext>
          </c:extLst>
        </c:ser>
        <c:ser>
          <c:idx val="1"/>
          <c:order val="1"/>
          <c:tx>
            <c:strRef>
              <c:f>Resultados!$C$14</c:f>
              <c:strCache>
                <c:ptCount val="1"/>
                <c:pt idx="0">
                  <c:v>EUNICE MORALES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Resultados!$C$15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36E-D04F-B6CB-E2BE2831931D}"/>
            </c:ext>
          </c:extLst>
        </c:ser>
        <c:ser>
          <c:idx val="2"/>
          <c:order val="2"/>
          <c:tx>
            <c:strRef>
              <c:f>Resultados!$D$14</c:f>
              <c:strCache>
                <c:ptCount val="1"/>
                <c:pt idx="0">
                  <c:v>PEDRO GUTIERREZ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36E-D04F-B6CB-E2BE2831931D}"/>
            </c:ext>
          </c:extLst>
        </c:ser>
        <c:ser>
          <c:idx val="3"/>
          <c:order val="3"/>
          <c:tx>
            <c:strRef>
              <c:f>Resultados!$E$14</c:f>
              <c:strCache>
                <c:ptCount val="1"/>
                <c:pt idx="0">
                  <c:v>LIZBETH MORALES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Resultados!$E$15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36E-D04F-B6CB-E2BE2831931D}"/>
            </c:ext>
          </c:extLst>
        </c:ser>
        <c:ser>
          <c:idx val="4"/>
          <c:order val="4"/>
          <c:tx>
            <c:strRef>
              <c:f>Resultados!$F$14</c:f>
              <c:strCache>
                <c:ptCount val="1"/>
                <c:pt idx="0">
                  <c:v>HUGO PACHECO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Resultados!$F$15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36E-D04F-B6CB-E2BE2831931D}"/>
            </c:ext>
          </c:extLst>
        </c:ser>
        <c:ser>
          <c:idx val="5"/>
          <c:order val="5"/>
          <c:tx>
            <c:strRef>
              <c:f>Resultados!$G$14</c:f>
              <c:strCache>
                <c:ptCount val="1"/>
                <c:pt idx="0">
                  <c:v>EFRAIN CORTES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Resultados!$G$15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36E-D04F-B6CB-E2BE2831931D}"/>
            </c:ext>
          </c:extLst>
        </c:ser>
        <c:ser>
          <c:idx val="6"/>
          <c:order val="6"/>
          <c:tx>
            <c:strRef>
              <c:f>Resultados!$H$14</c:f>
              <c:strCache>
                <c:ptCount val="1"/>
                <c:pt idx="0">
                  <c:v>DAMIAN BRAVO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Resultados!$H$15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36E-D04F-B6CB-E2BE2831931D}"/>
            </c:ext>
          </c:extLst>
        </c:ser>
        <c:ser>
          <c:idx val="7"/>
          <c:order val="7"/>
          <c:tx>
            <c:strRef>
              <c:f>Resultados!$I$14</c:f>
              <c:strCache>
                <c:ptCount val="1"/>
                <c:pt idx="0">
                  <c:v>ENRIQUE OJEDA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Resultados!$A$15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Resultados!$I$15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36E-D04F-B6CB-E2BE2831931D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2541088"/>
        <c:axId val="1882542800"/>
      </c:barChart>
      <c:catAx>
        <c:axId val="1882541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82542800"/>
        <c:crosses val="autoZero"/>
        <c:auto val="1"/>
        <c:lblAlgn val="ctr"/>
        <c:lblOffset val="100"/>
        <c:noMultiLvlLbl val="0"/>
      </c:catAx>
      <c:valAx>
        <c:axId val="188254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188254108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[autoNominasRP-2013-v0.9.0.xlsm]Resultados!PivotTable5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  <a:r>
              <a:rPr lang="en-US" baseline="0"/>
              <a:t> Por Gerente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inBase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MX"/>
            </a:p>
          </c:txPr>
          <c:dLblPos val="ctr"/>
          <c:showLegendKey val="0"/>
          <c:showVal val="1"/>
          <c:showCatName val="0"/>
          <c:showSerName val="1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Resultados!$B$4</c:f>
              <c:strCache>
                <c:ptCount val="1"/>
                <c:pt idx="0">
                  <c:v>PEDRO MORA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MX"/>
              </a:p>
            </c:tx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Resultados!$B$5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3-CD49-A2C8-80C1C98214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52591"/>
        <c:axId val="55716991"/>
      </c:barChart>
      <c:catAx>
        <c:axId val="558525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716991"/>
        <c:crosses val="autoZero"/>
        <c:auto val="1"/>
        <c:lblAlgn val="ctr"/>
        <c:lblOffset val="100"/>
        <c:noMultiLvlLbl val="0"/>
      </c:catAx>
      <c:valAx>
        <c:axId val="557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MX"/>
          </a:p>
        </c:txPr>
        <c:crossAx val="55852591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38100</xdr:rowOff>
    </xdr:from>
    <xdr:to>
      <xdr:col>22</xdr:col>
      <xdr:colOff>723900</xdr:colOff>
      <xdr:row>33</xdr:row>
      <xdr:rowOff>152400</xdr:rowOff>
    </xdr:to>
    <xdr:graphicFrame macro="">
      <xdr:nvGraphicFramePr>
        <xdr:cNvPr id="2" name="Ventas_Por_Coordinacion">
          <a:extLst>
            <a:ext uri="{FF2B5EF4-FFF2-40B4-BE49-F238E27FC236}">
              <a16:creationId xmlns:a16="http://schemas.microsoft.com/office/drawing/2014/main" id="{5E8B6FE2-2343-BF81-64A4-C7EA44A998B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457200</xdr:colOff>
      <xdr:row>101</xdr:row>
      <xdr:rowOff>0</xdr:rowOff>
    </xdr:from>
    <xdr:to>
      <xdr:col>22</xdr:col>
      <xdr:colOff>723900</xdr:colOff>
      <xdr:row>134</xdr:row>
      <xdr:rowOff>114300</xdr:rowOff>
    </xdr:to>
    <xdr:graphicFrame macro="">
      <xdr:nvGraphicFramePr>
        <xdr:cNvPr id="3" name="Ventas_de_Coordinacion_por_Plantel">
          <a:extLst>
            <a:ext uri="{FF2B5EF4-FFF2-40B4-BE49-F238E27FC236}">
              <a16:creationId xmlns:a16="http://schemas.microsoft.com/office/drawing/2014/main" id="{5C04774A-8888-8B91-5A6A-13C6C70B98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</xdr:colOff>
      <xdr:row>33</xdr:row>
      <xdr:rowOff>152400</xdr:rowOff>
    </xdr:from>
    <xdr:to>
      <xdr:col>9</xdr:col>
      <xdr:colOff>457200</xdr:colOff>
      <xdr:row>67</xdr:row>
      <xdr:rowOff>76200</xdr:rowOff>
    </xdr:to>
    <xdr:graphicFrame macro="">
      <xdr:nvGraphicFramePr>
        <xdr:cNvPr id="4" name="Ventas_por_Plantel">
          <a:extLst>
            <a:ext uri="{FF2B5EF4-FFF2-40B4-BE49-F238E27FC236}">
              <a16:creationId xmlns:a16="http://schemas.microsoft.com/office/drawing/2014/main" id="{D16C9625-011C-436F-1581-E19739B4D99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455676</xdr:colOff>
      <xdr:row>33</xdr:row>
      <xdr:rowOff>152400</xdr:rowOff>
    </xdr:from>
    <xdr:to>
      <xdr:col>22</xdr:col>
      <xdr:colOff>722376</xdr:colOff>
      <xdr:row>67</xdr:row>
      <xdr:rowOff>76200</xdr:rowOff>
    </xdr:to>
    <xdr:graphicFrame macro="">
      <xdr:nvGraphicFramePr>
        <xdr:cNvPr id="5" name="Ventas_por_Curso">
          <a:extLst>
            <a:ext uri="{FF2B5EF4-FFF2-40B4-BE49-F238E27FC236}">
              <a16:creationId xmlns:a16="http://schemas.microsoft.com/office/drawing/2014/main" id="{085FBEF0-B2D3-1716-BCD5-3B6E03ECC4A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455676</xdr:colOff>
      <xdr:row>67</xdr:row>
      <xdr:rowOff>76200</xdr:rowOff>
    </xdr:from>
    <xdr:to>
      <xdr:col>22</xdr:col>
      <xdr:colOff>722376</xdr:colOff>
      <xdr:row>101</xdr:row>
      <xdr:rowOff>0</xdr:rowOff>
    </xdr:to>
    <xdr:graphicFrame macro="">
      <xdr:nvGraphicFramePr>
        <xdr:cNvPr id="6" name="Ventas de Cursos por Plantel">
          <a:extLst>
            <a:ext uri="{FF2B5EF4-FFF2-40B4-BE49-F238E27FC236}">
              <a16:creationId xmlns:a16="http://schemas.microsoft.com/office/drawing/2014/main" id="{F8626F73-B196-C849-91A5-44F10277CF5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</xdr:colOff>
      <xdr:row>67</xdr:row>
      <xdr:rowOff>76200</xdr:rowOff>
    </xdr:from>
    <xdr:to>
      <xdr:col>9</xdr:col>
      <xdr:colOff>457200</xdr:colOff>
      <xdr:row>101</xdr:row>
      <xdr:rowOff>0</xdr:rowOff>
    </xdr:to>
    <xdr:graphicFrame macro="">
      <xdr:nvGraphicFramePr>
        <xdr:cNvPr id="7" name="Ventas_por_Plantel_por_Cursos">
          <a:extLst>
            <a:ext uri="{FF2B5EF4-FFF2-40B4-BE49-F238E27FC236}">
              <a16:creationId xmlns:a16="http://schemas.microsoft.com/office/drawing/2014/main" id="{91FCD43F-49FE-709E-EA1D-94F09612E4C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723900</xdr:colOff>
      <xdr:row>0</xdr:row>
      <xdr:rowOff>38100</xdr:rowOff>
    </xdr:from>
    <xdr:to>
      <xdr:col>38</xdr:col>
      <xdr:colOff>317500</xdr:colOff>
      <xdr:row>33</xdr:row>
      <xdr:rowOff>152400</xdr:rowOff>
    </xdr:to>
    <xdr:graphicFrame macro="">
      <xdr:nvGraphicFramePr>
        <xdr:cNvPr id="9" name="Ventas_por_Promotor">
          <a:extLst>
            <a:ext uri="{FF2B5EF4-FFF2-40B4-BE49-F238E27FC236}">
              <a16:creationId xmlns:a16="http://schemas.microsoft.com/office/drawing/2014/main" id="{A4FC9D3A-AA27-59B6-7E96-783424AD0EF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61976</xdr:colOff>
      <xdr:row>0</xdr:row>
      <xdr:rowOff>38100</xdr:rowOff>
    </xdr:from>
    <xdr:to>
      <xdr:col>9</xdr:col>
      <xdr:colOff>455676</xdr:colOff>
      <xdr:row>33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B0846B-D785-A944-89EE-5BAB7781BF4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0</xdr:row>
          <xdr:rowOff>63500</xdr:rowOff>
        </xdr:from>
        <xdr:to>
          <xdr:col>15</xdr:col>
          <xdr:colOff>787400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Pablo Garcia Murillo" refreshedDate="45766.020462384258" createdVersion="8" refreshedVersion="8" minRefreshableVersion="3" recordCount="61" xr:uid="{F9213207-D78F-6147-84A9-A17CD048246F}">
  <cacheSource type="worksheet">
    <worksheetSource name="Tabla_Gerente"/>
  </cacheSource>
  <cacheFields count="13">
    <cacheField name="GERENTE" numFmtId="0">
      <sharedItems containsBlank="1" count="4">
        <s v="PEDRO MORA"/>
        <s v="FERNANDO VILLALVAZO" u="1"/>
        <m u="1"/>
        <s v="RAMON TALA" u="1"/>
      </sharedItems>
    </cacheField>
    <cacheField name="COORDINADOR" numFmtId="49">
      <sharedItems containsMixedTypes="1" containsNumber="1" containsInteger="1" minValue="4150" maxValue="66168" count="92">
        <s v="MARIANA PACHECO"/>
        <s v="OLIVIA PACHECO"/>
        <n v="8860" u="1"/>
        <n v="8861" u="1"/>
        <n v="12636" u="1"/>
        <n v="12634" u="1"/>
        <n v="12746" u="1"/>
        <n v="12742" u="1"/>
        <n v="12747" u="1"/>
        <n v="8901" u="1"/>
        <n v="66153" u="1"/>
        <n v="12640" u="1"/>
        <n v="66117" u="1"/>
        <n v="66157" u="1"/>
        <n v="66160" u="1"/>
        <n v="66093" u="1"/>
        <n v="66147" u="1"/>
        <n v="66155" u="1"/>
        <n v="66154" u="1"/>
        <n v="8896" u="1"/>
        <n v="8898" u="1"/>
        <n v="8899" u="1"/>
        <n v="8886" u="1"/>
        <n v="8865" u="1"/>
        <n v="8866" u="1"/>
        <n v="8876" u="1"/>
        <n v="8874" u="1"/>
        <n v="8877" u="1"/>
        <n v="8889" u="1"/>
        <n v="8891" u="1"/>
        <n v="8894" u="1"/>
        <n v="8893" u="1"/>
        <n v="8897" u="1"/>
        <n v="8885" u="1"/>
        <n v="8900" u="1"/>
        <n v="8890" u="1"/>
        <n v="8892" u="1"/>
        <n v="4150" u="1"/>
        <n v="66105" u="1"/>
        <n v="8862" u="1"/>
        <n v="12735" u="1"/>
        <n v="66107" u="1"/>
        <n v="66127" u="1"/>
        <n v="66139" u="1"/>
        <n v="12757" u="1"/>
        <n v="12638" u="1"/>
        <n v="8878" u="1"/>
        <n v="66126" u="1"/>
        <n v="12641" u="1"/>
        <n v="66098" u="1"/>
        <n v="4157" u="1"/>
        <n v="12748" u="1"/>
        <n v="12753" u="1"/>
        <n v="66152" u="1"/>
        <n v="66099" u="1"/>
        <n v="66143" u="1"/>
        <n v="66168" u="1"/>
        <n v="12743" u="1"/>
        <n v="12763" u="1"/>
        <n v="12760" u="1"/>
        <n v="12755" u="1"/>
        <n v="12737" u="1"/>
        <n v="12765" u="1"/>
        <n v="12766" u="1"/>
        <n v="12767" u="1"/>
        <n v="12733" u="1"/>
        <n v="12750" u="1"/>
        <n v="8868" u="1"/>
        <n v="12770" u="1"/>
        <n v="12736" u="1"/>
        <n v="12744" u="1"/>
        <n v="12745" u="1"/>
        <n v="12749" u="1"/>
        <n v="12756" u="1"/>
        <n v="12761" u="1"/>
        <n v="12752" u="1"/>
        <n v="12643" u="1"/>
        <n v="12639" u="1"/>
        <n v="12635" u="1"/>
        <n v="12637" u="1"/>
        <n v="12762" u="1"/>
        <n v="5965" u="1"/>
        <n v="5966" u="1"/>
        <n v="12738" u="1"/>
        <n v="12642" u="1"/>
        <n v="12769" u="1"/>
        <n v="7488" u="1"/>
        <n v="7525" u="1"/>
        <n v="5972" u="1"/>
        <n v="5992" u="1"/>
        <n v="5970" u="1"/>
        <n v="5969" u="1"/>
      </sharedItems>
    </cacheField>
    <cacheField name="CREDENCIAL" numFmtId="49">
      <sharedItems containsSemiMixedTypes="0" containsString="0" containsNumber="1" containsInteger="1" minValue="18207" maxValue="50339"/>
    </cacheField>
    <cacheField name="NOMBRE DEL ALUMNO" numFmtId="0">
      <sharedItems/>
    </cacheField>
    <cacheField name="COMISION" numFmtId="166">
      <sharedItems containsSemiMixedTypes="0" containsString="0" containsNumber="1" containsInteger="1" minValue="0" maxValue="120"/>
    </cacheField>
    <cacheField name="PLANTEL" numFmtId="0">
      <sharedItems containsBlank="1" count="20">
        <s v="AWL LEON"/>
        <m u="1"/>
        <s v="UI 16 DE SEPTIEMBRE" u="1"/>
        <s v="UDN TLAQUEPAQUE" u="1"/>
        <s v="INDEPENDENCIA" u="1"/>
        <s v="UI PARIAN" u="1"/>
        <s v="UI MARIANO OTERO" u="1"/>
        <s v="VIRTUAL" u="1"/>
        <s v="UI MAR OTERO" u="1"/>
        <s v="21-AWL VIRTUAL " u="1"/>
        <s v="2-UDN TLAQUEPAQUE" u="1"/>
        <s v="19-UI PARIAN" u="1"/>
        <s v="15-16 DE SEPTIEMBRE" u="1"/>
        <s v="14-AWL INDEPDENCIA" u="1"/>
        <s v="AWL TLAQUEPAQUE" u="1"/>
        <s v="AWL TONALA" u="1"/>
        <s v="OBLATOS" u="1"/>
        <s v="ONLINE" u="1"/>
        <s v="TRANSITO" u="1"/>
        <s v="UDN TONALA" u="1"/>
      </sharedItems>
    </cacheField>
    <cacheField name="CURSO" numFmtId="0">
      <sharedItems containsBlank="1" count="56">
        <s v="AUX DE ENFERMERIA"/>
        <s v="COLBACH"/>
        <s v="COMPUTACION"/>
        <s v="CONTABILIDAD"/>
        <s v="INGLES"/>
        <s v="INGLES KIDS"/>
        <s v="INGLES KINDER"/>
        <s v="PREPA"/>
        <s v="INGLES TEENS"/>
        <s v="INGLES INTENSIVO"/>
        <s v="PREPA INTENSIVA"/>
        <s v="REP DE CELULARES"/>
        <s v="PREPA INTENSIVO" u="1"/>
        <s v="TEENS" u="1"/>
        <s v="INGLÉS" u="1"/>
        <s v="CONTABLE" u="1"/>
        <s v="COMPUTACIÓN" u="1"/>
        <s v="COMP" u="1"/>
        <s v="AUX DE ENFERMERÍA" u="1"/>
        <s v="AUX. ENFERMERÌA" u="1"/>
        <s v="AUX ENFER" u="1"/>
        <m u="1"/>
        <s v="DERECHO FISCAL" u="1"/>
        <s v="PARAMEDICO" u="1"/>
        <s v="GERIATRIA" u="1"/>
        <s v="EXU" u="1"/>
        <s v="SECUNDARIA" u="1"/>
        <s v="PRIMARIA" u="1"/>
        <s v="EXU LINEA" u="1"/>
        <s v="EXCEL" u="1"/>
        <s v="D.FISCAL " u="1"/>
        <s v="REP CEL" u="1"/>
        <s v="PARAMÉDICO" u="1"/>
        <s v="FISCAL" u="1"/>
        <s v="ENF AUX " u="1"/>
        <s v="ENF AUXILIAR" u="1"/>
        <s v="ENFERMERIA" u="1"/>
        <s v="Derecho Fiscal Virtual" u="1"/>
        <s v="COLBACH " u="1"/>
        <s v="COLBACH." u="1"/>
        <s v="EXU 3M" u="1"/>
        <s v="ENF AUX" u="1"/>
        <s v="EXCEL " u="1"/>
        <s v="REP. CELULARES" u="1"/>
        <s v="AUX. ENFERMERÍA" u="1"/>
        <s v="AUX EN ENFERMERÍA" u="1"/>
        <s v="INICIO" u="1"/>
        <s v="MARKETING" u="1"/>
        <s v="UNIVERSIDAD" u="1"/>
        <s v="INGLES AVANZADO" u="1"/>
        <s v="Curso 1" u="1"/>
        <s v="Curso 2" u="1"/>
        <s v="Curso 3" u="1"/>
        <s v="Curso 4" u="1"/>
        <s v="Curso 5" u="1"/>
        <s v="Curso 6" u="1"/>
      </sharedItems>
    </cacheField>
    <cacheField name="GRUPO" numFmtId="1">
      <sharedItems containsSemiMixedTypes="0" containsString="0" containsNumber="1" containsInteger="1" minValue="100" maxValue="9394"/>
    </cacheField>
    <cacheField name="PAGO" numFmtId="44">
      <sharedItems containsSemiMixedTypes="0" containsString="0" containsNumber="1" containsInteger="1" minValue="299" maxValue="750"/>
    </cacheField>
    <cacheField name="FECHA" numFmtId="14">
      <sharedItems containsNonDate="0" containsDate="1" containsString="0" containsBlank="1" minDate="2025-03-20T00:00:00" maxDate="2025-03-26T00:00:00"/>
    </cacheField>
    <cacheField name="PROMOTOR" numFmtId="0">
      <sharedItems containsBlank="1" count="51">
        <s v="FATIMA HERNANDEZ"/>
        <s v="EUNICE MORALES"/>
        <s v="LIZBETH MORALES"/>
        <s v="PEDRO GUTIERREZ"/>
        <s v="DAMIAN BRAVO"/>
        <s v="ENRIQUE OJEDA"/>
        <s v="EFRAIN CORTES"/>
        <s v="HUGO PACHECO"/>
        <s v="FATIMA" u="1"/>
        <s v="PEDRO" u="1"/>
        <s v="LIZBETH" u="1"/>
        <s v="EUNICE" u="1"/>
        <m u="1"/>
        <s v="JOSUE SIERRA" u="1"/>
        <s v="JONATHAN MARTINEZ" u="1"/>
        <s v="JOSE FERNÁNDEZ" u="1"/>
        <s v="FERNANDA ORNELAS" u="1"/>
        <s v="BETZANIA MUÑOZ" u="1"/>
        <s v="MINA APARICIO" u="1"/>
        <s v="YADIRA VEGA" u="1"/>
        <s v="DAVID HERNANDEZ" u="1"/>
        <s v="EVELYN VELAZQUEZ" u="1"/>
        <s v="MINA APARICIO " u="1"/>
        <s v="MARIANA SANCHEZ" u="1"/>
        <s v="JORGE RODRIGUEZ" u="1"/>
        <s v="MIRIAM TADEO" u="1"/>
        <s v="FRIDA RIVERA" u="1"/>
        <s v="YANELY HERNADEZ (P)" u="1"/>
        <s v="MICHELLE APARICIO (P)" u="1"/>
        <s v="JOSUE ALVAREZ (P)" u="1"/>
        <s v="ISAAC GARCIA (P)" u="1"/>
        <s v="FERNANDO VILLALVAZO" u="1"/>
        <s v="YANELY VEGA" u="1"/>
        <s v="JOSE FERNANDEZ" u="1"/>
        <s v="ISAAC DE LA CRUZ" u="1"/>
        <s v="DAVID RAMIREZ" u="1"/>
        <s v="JORGE ALBERTO" u="1"/>
        <s v="MICHELLE APARICIO" u="1"/>
        <s v="YADIRA HERNANDEZ" u="1"/>
        <s v="JOSUE ALVAREZ " u="1"/>
        <s v="YANISSE TORRES" u="1"/>
        <s v="RAMON TALA (P)" u="1"/>
        <s v="MARIANA PACHECO (P)" u="1"/>
        <s v="PEDRO MORA (P)" u="1"/>
        <s v="OLIVIA PACHECO (P)" u="1"/>
        <s v="VERONICA CHAVEZ (P)" u="1"/>
        <s v="DANIELA MURILLO (P)" u="1"/>
        <s v="ANDREA ESQUEDA" u="1"/>
        <s v="FERNANDO VILLALVAZO (P)" u="1"/>
        <s v="BRYAN CAMPOS" u="1"/>
        <s v="DANIELA LOZANO" u="1"/>
      </sharedItems>
    </cacheField>
    <cacheField name="TS PLANTEL" numFmtId="0">
      <sharedItems containsNonDate="0" containsString="0" containsBlank="1"/>
    </cacheField>
    <cacheField name="TS CREDENCI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x v="0"/>
    <n v="20953"/>
    <s v="CARVAAL AGUIRRE LETICIA JEANNETTE"/>
    <n v="120"/>
    <x v="0"/>
    <x v="0"/>
    <n v="9390"/>
    <n v="300"/>
    <d v="2025-03-25T00:00:00"/>
    <x v="0"/>
    <m/>
    <m/>
  </r>
  <r>
    <x v="0"/>
    <x v="0"/>
    <n v="20909"/>
    <s v="GLORIA ESTAFANIA CENDEJAS VARELA"/>
    <n v="120"/>
    <x v="0"/>
    <x v="0"/>
    <n v="9378"/>
    <n v="350"/>
    <d v="2025-03-21T00:00:00"/>
    <x v="1"/>
    <m/>
    <m/>
  </r>
  <r>
    <x v="0"/>
    <x v="0"/>
    <n v="20932"/>
    <s v="YOLANDA ELIZABETH HENANDEZ HUERTA"/>
    <n v="120"/>
    <x v="0"/>
    <x v="1"/>
    <n v="9187"/>
    <n v="399"/>
    <d v="2025-03-22T00:00:00"/>
    <x v="1"/>
    <m/>
    <m/>
  </r>
  <r>
    <x v="0"/>
    <x v="0"/>
    <n v="20938"/>
    <s v="BRANDON BARRON RODRIGUEZ"/>
    <n v="120"/>
    <x v="0"/>
    <x v="1"/>
    <n v="9044"/>
    <n v="349"/>
    <d v="2025-03-24T00:00:00"/>
    <x v="1"/>
    <m/>
    <m/>
  </r>
  <r>
    <x v="0"/>
    <x v="0"/>
    <n v="20931"/>
    <s v="ROCHA SANDOVAL CARLOS MANUEL"/>
    <n v="120"/>
    <x v="0"/>
    <x v="1"/>
    <n v="9393"/>
    <n v="400"/>
    <d v="2025-03-24T00:00:00"/>
    <x v="0"/>
    <m/>
    <m/>
  </r>
  <r>
    <x v="0"/>
    <x v="0"/>
    <n v="20941"/>
    <s v="ESCOBAR MARTINEZ MIGUEL ANGEL"/>
    <n v="120"/>
    <x v="0"/>
    <x v="2"/>
    <n v="9377"/>
    <n v="300"/>
    <d v="2025-03-24T00:00:00"/>
    <x v="0"/>
    <m/>
    <m/>
  </r>
  <r>
    <x v="0"/>
    <x v="0"/>
    <n v="20898"/>
    <s v="MARIA DE JESUS GARCIA VAZQUEZ"/>
    <n v="120"/>
    <x v="0"/>
    <x v="2"/>
    <n v="9380"/>
    <n v="399"/>
    <d v="2025-03-20T00:00:00"/>
    <x v="1"/>
    <m/>
    <m/>
  </r>
  <r>
    <x v="0"/>
    <x v="0"/>
    <n v="20899"/>
    <s v="EVELINA GARNICA CAUDILLO"/>
    <n v="120"/>
    <x v="0"/>
    <x v="2"/>
    <n v="9380"/>
    <n v="399"/>
    <d v="2025-03-20T00:00:00"/>
    <x v="1"/>
    <m/>
    <m/>
  </r>
  <r>
    <x v="0"/>
    <x v="0"/>
    <n v="20910"/>
    <s v="MARIA DE JESUS ACOSTA MENA"/>
    <n v="120"/>
    <x v="0"/>
    <x v="2"/>
    <n v="9376"/>
    <n v="349"/>
    <d v="2025-03-21T00:00:00"/>
    <x v="1"/>
    <m/>
    <m/>
  </r>
  <r>
    <x v="0"/>
    <x v="0"/>
    <n v="20923"/>
    <s v="EDGAR GUILLERMO JAIME MONTELONGO"/>
    <n v="120"/>
    <x v="0"/>
    <x v="2"/>
    <n v="9377"/>
    <n v="399"/>
    <d v="2025-03-22T00:00:00"/>
    <x v="1"/>
    <m/>
    <m/>
  </r>
  <r>
    <x v="0"/>
    <x v="0"/>
    <n v="20945"/>
    <s v="MARIA DEL CARMEN PEREZ REYNO"/>
    <n v="120"/>
    <x v="0"/>
    <x v="2"/>
    <n v="9371"/>
    <n v="399"/>
    <d v="2025-03-24T00:00:00"/>
    <x v="1"/>
    <m/>
    <m/>
  </r>
  <r>
    <x v="0"/>
    <x v="0"/>
    <n v="20925"/>
    <s v="SALVADOR JASSO CAMPOS"/>
    <n v="120"/>
    <x v="0"/>
    <x v="2"/>
    <n v="9382"/>
    <n v="700"/>
    <d v="2025-03-20T00:00:00"/>
    <x v="2"/>
    <m/>
    <m/>
  </r>
  <r>
    <x v="0"/>
    <x v="0"/>
    <n v="20919"/>
    <s v="ISAURA JIMENEZ TRUJILLO"/>
    <n v="120"/>
    <x v="0"/>
    <x v="3"/>
    <n v="9388"/>
    <n v="399"/>
    <d v="2025-03-21T00:00:00"/>
    <x v="1"/>
    <m/>
    <m/>
  </r>
  <r>
    <x v="0"/>
    <x v="0"/>
    <n v="20934"/>
    <s v="JOSE RAUL RAMIREZ PEREZ"/>
    <n v="120"/>
    <x v="0"/>
    <x v="3"/>
    <n v="9384"/>
    <n v="399"/>
    <d v="2025-03-23T00:00:00"/>
    <x v="1"/>
    <m/>
    <m/>
  </r>
  <r>
    <x v="0"/>
    <x v="0"/>
    <n v="20957"/>
    <s v="MARIA DE LOS ANGELES DE LA CRUZ JUÁREZ"/>
    <n v="120"/>
    <x v="0"/>
    <x v="3"/>
    <n v="9384"/>
    <n v="299"/>
    <d v="2025-03-25T00:00:00"/>
    <x v="1"/>
    <m/>
    <m/>
  </r>
  <r>
    <x v="0"/>
    <x v="0"/>
    <n v="20929"/>
    <s v="LUZ MARIANA BARBA MANRIQAUEZ"/>
    <n v="120"/>
    <x v="0"/>
    <x v="3"/>
    <n v="9384"/>
    <n v="349"/>
    <d v="2025-03-20T00:00:00"/>
    <x v="2"/>
    <m/>
    <m/>
  </r>
  <r>
    <x v="0"/>
    <x v="0"/>
    <n v="20930"/>
    <s v="LILIA ALEJANDRA ROJAS CORONADO"/>
    <n v="120"/>
    <x v="0"/>
    <x v="4"/>
    <n v="9389"/>
    <n v="399"/>
    <d v="2025-03-22T00:00:00"/>
    <x v="1"/>
    <m/>
    <m/>
  </r>
  <r>
    <x v="0"/>
    <x v="0"/>
    <n v="20904"/>
    <s v="ROCHA MUÑOZ ANTONIO"/>
    <n v="120"/>
    <x v="0"/>
    <x v="4"/>
    <n v="9345"/>
    <n v="500"/>
    <d v="2025-03-21T00:00:00"/>
    <x v="3"/>
    <m/>
    <m/>
  </r>
  <r>
    <x v="0"/>
    <x v="0"/>
    <n v="20914"/>
    <s v="ROCHA HERNANDEZ JOSE MIGUEL"/>
    <n v="0"/>
    <x v="0"/>
    <x v="4"/>
    <n v="501"/>
    <n v="750"/>
    <d v="2025-03-22T00:00:00"/>
    <x v="3"/>
    <m/>
    <m/>
  </r>
  <r>
    <x v="0"/>
    <x v="0"/>
    <n v="20922"/>
    <s v="ESPINOSA ALTAMIRANO EMMA ZOE"/>
    <n v="0"/>
    <x v="0"/>
    <x v="4"/>
    <n v="501"/>
    <n v="350"/>
    <d v="2025-03-22T00:00:00"/>
    <x v="3"/>
    <m/>
    <m/>
  </r>
  <r>
    <x v="0"/>
    <x v="0"/>
    <n v="20905"/>
    <s v="LEZAMA CONTRERAS SAMUEL DAVID"/>
    <n v="0"/>
    <x v="0"/>
    <x v="4"/>
    <n v="501"/>
    <n v="500"/>
    <d v="2025-03-22T00:00:00"/>
    <x v="0"/>
    <m/>
    <m/>
  </r>
  <r>
    <x v="0"/>
    <x v="0"/>
    <n v="20906"/>
    <s v="LEIJA CERVERA MARIA ENRIQUETA"/>
    <n v="0"/>
    <x v="0"/>
    <x v="4"/>
    <n v="501"/>
    <n v="349"/>
    <d v="2025-03-23T00:00:00"/>
    <x v="0"/>
    <m/>
    <m/>
  </r>
  <r>
    <x v="0"/>
    <x v="0"/>
    <n v="20942"/>
    <s v="ESCOBAR MARTINEZ MIGUEL ANGEL"/>
    <n v="0"/>
    <x v="0"/>
    <x v="4"/>
    <n v="501"/>
    <n v="400"/>
    <d v="2025-03-25T00:00:00"/>
    <x v="0"/>
    <m/>
    <m/>
  </r>
  <r>
    <x v="0"/>
    <x v="0"/>
    <n v="20921"/>
    <s v="MORALES SALAS INGRID GUADALUPE"/>
    <n v="0"/>
    <x v="0"/>
    <x v="4"/>
    <n v="501"/>
    <n v="350"/>
    <m/>
    <x v="0"/>
    <m/>
    <m/>
  </r>
  <r>
    <x v="0"/>
    <x v="0"/>
    <n v="20951"/>
    <s v="GAEL ORNELAS MARTINEZ"/>
    <n v="120"/>
    <x v="0"/>
    <x v="5"/>
    <n v="9374"/>
    <n v="299"/>
    <d v="2025-03-20T00:00:00"/>
    <x v="2"/>
    <m/>
    <m/>
  </r>
  <r>
    <x v="0"/>
    <x v="0"/>
    <n v="20952"/>
    <s v="ARLETH SOFIA ORNELAS MARTINEZ"/>
    <n v="120"/>
    <x v="0"/>
    <x v="5"/>
    <n v="9374"/>
    <n v="299"/>
    <d v="2025-03-21T00:00:00"/>
    <x v="2"/>
    <m/>
    <m/>
  </r>
  <r>
    <x v="0"/>
    <x v="0"/>
    <n v="50339"/>
    <s v="LEONARDO PIZA ROCHA"/>
    <n v="120"/>
    <x v="0"/>
    <x v="6"/>
    <n v="100"/>
    <n v="700"/>
    <d v="2025-03-25T00:00:00"/>
    <x v="1"/>
    <m/>
    <m/>
  </r>
  <r>
    <x v="0"/>
    <x v="0"/>
    <n v="20956"/>
    <s v="MORA ESCOBAR SANDRA"/>
    <n v="0"/>
    <x v="0"/>
    <x v="7"/>
    <n v="501"/>
    <n v="300"/>
    <d v="2025-03-21T00:00:00"/>
    <x v="3"/>
    <m/>
    <m/>
  </r>
  <r>
    <x v="0"/>
    <x v="0"/>
    <n v="20901"/>
    <s v="MARIA XIMENA ROCHA SOTELO"/>
    <n v="120"/>
    <x v="0"/>
    <x v="8"/>
    <n v="9391"/>
    <n v="399"/>
    <d v="2025-03-20T00:00:00"/>
    <x v="1"/>
    <m/>
    <m/>
  </r>
  <r>
    <x v="0"/>
    <x v="0"/>
    <n v="20902"/>
    <s v="XOCHITL MONSERRAT ROCHA SOTELO"/>
    <n v="120"/>
    <x v="0"/>
    <x v="8"/>
    <n v="9391"/>
    <n v="399"/>
    <d v="2025-03-20T00:00:00"/>
    <x v="1"/>
    <m/>
    <m/>
  </r>
  <r>
    <x v="0"/>
    <x v="1"/>
    <n v="20933"/>
    <s v="Karol Denisse Nava Soto"/>
    <n v="0"/>
    <x v="0"/>
    <x v="0"/>
    <n v="501"/>
    <n v="350"/>
    <d v="2025-03-20T00:00:00"/>
    <x v="4"/>
    <m/>
    <m/>
  </r>
  <r>
    <x v="0"/>
    <x v="1"/>
    <n v="20896"/>
    <s v="Mariana Alejandra Paz Lopes"/>
    <n v="120"/>
    <x v="0"/>
    <x v="0"/>
    <n v="9379"/>
    <n v="399"/>
    <d v="2025-03-20T00:00:00"/>
    <x v="5"/>
    <m/>
    <m/>
  </r>
  <r>
    <x v="0"/>
    <x v="1"/>
    <n v="20939"/>
    <s v="Maria Guadalupe Contreras Aranda"/>
    <n v="0"/>
    <x v="0"/>
    <x v="0"/>
    <n v="501"/>
    <n v="350"/>
    <d v="2025-03-24T00:00:00"/>
    <x v="6"/>
    <m/>
    <m/>
  </r>
  <r>
    <x v="0"/>
    <x v="1"/>
    <n v="20913"/>
    <s v="Jose Miguel Rocha Hernandez"/>
    <n v="120"/>
    <x v="0"/>
    <x v="2"/>
    <n v="9382"/>
    <n v="350"/>
    <d v="2025-03-22T00:00:00"/>
    <x v="5"/>
    <m/>
    <m/>
  </r>
  <r>
    <x v="0"/>
    <x v="1"/>
    <n v="20915"/>
    <s v="Cecilia Rodriguez Gutierrez"/>
    <n v="120"/>
    <x v="0"/>
    <x v="2"/>
    <n v="9380"/>
    <n v="399"/>
    <d v="2025-03-22T00:00:00"/>
    <x v="5"/>
    <m/>
    <m/>
  </r>
  <r>
    <x v="0"/>
    <x v="1"/>
    <n v="20935"/>
    <s v="Luz Fernanda Zuñiga Campusano"/>
    <n v="120"/>
    <x v="0"/>
    <x v="2"/>
    <n v="9388"/>
    <n v="550"/>
    <d v="2025-03-25T00:00:00"/>
    <x v="7"/>
    <m/>
    <m/>
  </r>
  <r>
    <x v="0"/>
    <x v="1"/>
    <n v="20944"/>
    <s v="Daniela Isamar Jimenez Jaime"/>
    <n v="120"/>
    <x v="0"/>
    <x v="2"/>
    <n v="9380"/>
    <n v="700"/>
    <d v="2025-03-25T00:00:00"/>
    <x v="7"/>
    <m/>
    <m/>
  </r>
  <r>
    <x v="0"/>
    <x v="1"/>
    <n v="20937"/>
    <s v="Myriam Margarita Infante Zavala"/>
    <n v="120"/>
    <x v="0"/>
    <x v="2"/>
    <n v="9380"/>
    <n v="400"/>
    <d v="2025-03-21T00:00:00"/>
    <x v="4"/>
    <m/>
    <m/>
  </r>
  <r>
    <x v="0"/>
    <x v="1"/>
    <n v="20894"/>
    <s v="Andrea del Rocio Ramirez Gonzalez"/>
    <n v="120"/>
    <x v="0"/>
    <x v="2"/>
    <n v="9380"/>
    <n v="350"/>
    <d v="2025-03-22T00:00:00"/>
    <x v="6"/>
    <m/>
    <m/>
  </r>
  <r>
    <x v="0"/>
    <x v="1"/>
    <n v="20916"/>
    <s v="Alma Celia Gomez Flores"/>
    <n v="120"/>
    <x v="0"/>
    <x v="2"/>
    <n v="9380"/>
    <n v="299"/>
    <d v="2025-03-22T00:00:00"/>
    <x v="6"/>
    <m/>
    <m/>
  </r>
  <r>
    <x v="0"/>
    <x v="1"/>
    <n v="20948"/>
    <s v="Susana García Robledo"/>
    <n v="120"/>
    <x v="0"/>
    <x v="2"/>
    <n v="9358"/>
    <n v="350"/>
    <d v="2025-03-25T00:00:00"/>
    <x v="6"/>
    <m/>
    <m/>
  </r>
  <r>
    <x v="0"/>
    <x v="1"/>
    <n v="20954"/>
    <s v="Abril Danya Martinez Espino"/>
    <n v="120"/>
    <x v="0"/>
    <x v="2"/>
    <n v="9382"/>
    <n v="349"/>
    <d v="2025-03-20T00:00:00"/>
    <x v="6"/>
    <m/>
    <m/>
  </r>
  <r>
    <x v="0"/>
    <x v="1"/>
    <n v="20955"/>
    <s v="Ricardo Daniel Hernandez Ramos"/>
    <n v="120"/>
    <x v="0"/>
    <x v="3"/>
    <n v="9384"/>
    <n v="399"/>
    <d v="2025-03-21T00:00:00"/>
    <x v="4"/>
    <m/>
    <m/>
  </r>
  <r>
    <x v="0"/>
    <x v="1"/>
    <n v="20920"/>
    <s v="Jose Eduardo Alba Rios"/>
    <n v="120"/>
    <x v="0"/>
    <x v="4"/>
    <n v="9212"/>
    <n v="299"/>
    <d v="2025-03-23T00:00:00"/>
    <x v="6"/>
    <m/>
    <m/>
  </r>
  <r>
    <x v="0"/>
    <x v="1"/>
    <n v="20926"/>
    <s v="Luz Fernanda Zuñiga Campusano"/>
    <n v="120"/>
    <x v="0"/>
    <x v="9"/>
    <n v="9275"/>
    <n v="350"/>
    <d v="2025-03-24T00:00:00"/>
    <x v="7"/>
    <m/>
    <m/>
  </r>
  <r>
    <x v="0"/>
    <x v="1"/>
    <n v="20900"/>
    <s v="Liam Pedroza Manzanero"/>
    <n v="120"/>
    <x v="0"/>
    <x v="5"/>
    <n v="9273"/>
    <n v="399"/>
    <d v="2025-03-20T00:00:00"/>
    <x v="5"/>
    <m/>
    <m/>
  </r>
  <r>
    <x v="0"/>
    <x v="1"/>
    <n v="20918"/>
    <s v="Ximena Gonzalez Sanchez"/>
    <n v="120"/>
    <x v="0"/>
    <x v="5"/>
    <n v="9272"/>
    <n v="550"/>
    <d v="2025-03-22T00:00:00"/>
    <x v="5"/>
    <m/>
    <m/>
  </r>
  <r>
    <x v="0"/>
    <x v="1"/>
    <n v="20895"/>
    <s v="Bryan Gutierrez Alvarez"/>
    <n v="120"/>
    <x v="0"/>
    <x v="7"/>
    <n v="9394"/>
    <n v="399"/>
    <d v="2025-03-20T00:00:00"/>
    <x v="5"/>
    <m/>
    <m/>
  </r>
  <r>
    <x v="0"/>
    <x v="1"/>
    <n v="20911"/>
    <s v="Karla Aracely Sanchez Barcenas"/>
    <n v="120"/>
    <x v="0"/>
    <x v="7"/>
    <n v="9187"/>
    <n v="399"/>
    <d v="2025-03-21T00:00:00"/>
    <x v="5"/>
    <m/>
    <m/>
  </r>
  <r>
    <x v="0"/>
    <x v="1"/>
    <n v="20912"/>
    <s v="Martha Estela Barcenas Gonzalez"/>
    <n v="120"/>
    <x v="0"/>
    <x v="7"/>
    <n v="9187"/>
    <n v="399"/>
    <d v="2025-03-21T00:00:00"/>
    <x v="5"/>
    <m/>
    <m/>
  </r>
  <r>
    <x v="0"/>
    <x v="1"/>
    <n v="20897"/>
    <s v="Jesus Abraham Mares Zamora"/>
    <n v="120"/>
    <x v="0"/>
    <x v="7"/>
    <n v="9182"/>
    <n v="499"/>
    <d v="2025-03-22T00:00:00"/>
    <x v="6"/>
    <m/>
    <m/>
  </r>
  <r>
    <x v="0"/>
    <x v="1"/>
    <n v="20940"/>
    <s v="Fabian Miguel Barajas Ortega"/>
    <n v="120"/>
    <x v="0"/>
    <x v="7"/>
    <n v="9394"/>
    <n v="400"/>
    <d v="2025-03-25T00:00:00"/>
    <x v="6"/>
    <m/>
    <m/>
  </r>
  <r>
    <x v="0"/>
    <x v="1"/>
    <n v="18207"/>
    <s v="Briana Allison Juarez Hernandez"/>
    <n v="120"/>
    <x v="0"/>
    <x v="7"/>
    <n v="9208"/>
    <n v="349"/>
    <d v="2025-03-20T00:00:00"/>
    <x v="6"/>
    <m/>
    <m/>
  </r>
  <r>
    <x v="0"/>
    <x v="1"/>
    <n v="18590"/>
    <s v="Edgar Alejandro Aceves Moreno"/>
    <n v="120"/>
    <x v="0"/>
    <x v="7"/>
    <n v="9231"/>
    <n v="399"/>
    <d v="2025-03-20T00:00:00"/>
    <x v="6"/>
    <m/>
    <m/>
  </r>
  <r>
    <x v="0"/>
    <x v="1"/>
    <n v="20924"/>
    <s v="Joel Apolonio Lozano Orozco"/>
    <n v="0"/>
    <x v="0"/>
    <x v="10"/>
    <n v="501"/>
    <n v="300"/>
    <d v="2025-03-23T00:00:00"/>
    <x v="7"/>
    <m/>
    <m/>
  </r>
  <r>
    <x v="0"/>
    <x v="1"/>
    <n v="20927"/>
    <s v="Javier Uriel Almaguer Hernandez"/>
    <n v="0"/>
    <x v="0"/>
    <x v="10"/>
    <n v="501"/>
    <n v="500"/>
    <d v="2025-03-24T00:00:00"/>
    <x v="7"/>
    <m/>
    <m/>
  </r>
  <r>
    <x v="0"/>
    <x v="1"/>
    <n v="20928"/>
    <s v="Jose Eduardo Torres Alvarez"/>
    <n v="0"/>
    <x v="0"/>
    <x v="10"/>
    <n v="501"/>
    <n v="349"/>
    <d v="2025-03-24T00:00:00"/>
    <x v="6"/>
    <m/>
    <m/>
  </r>
  <r>
    <x v="0"/>
    <x v="1"/>
    <n v="20907"/>
    <s v="Humberto Emanuel Medina Medina"/>
    <n v="120"/>
    <x v="0"/>
    <x v="11"/>
    <n v="9386"/>
    <n v="399"/>
    <d v="2025-03-21T00:00:00"/>
    <x v="5"/>
    <m/>
    <m/>
  </r>
  <r>
    <x v="0"/>
    <x v="1"/>
    <n v="20917"/>
    <s v="Evan Greco Arambula Padilla"/>
    <n v="0"/>
    <x v="0"/>
    <x v="11"/>
    <n v="501"/>
    <n v="350"/>
    <d v="2025-03-20T00:00:00"/>
    <x v="4"/>
    <m/>
    <m/>
  </r>
  <r>
    <x v="0"/>
    <x v="1"/>
    <n v="20936"/>
    <s v="Oscar Uriel Gonzalez Gomez"/>
    <n v="0"/>
    <x v="0"/>
    <x v="11"/>
    <n v="501"/>
    <n v="399"/>
    <d v="2025-03-20T00:00:00"/>
    <x v="4"/>
    <m/>
    <m/>
  </r>
  <r>
    <x v="0"/>
    <x v="1"/>
    <n v="20949"/>
    <s v="Daniel Guadalupe Hernandez Moran"/>
    <n v="120"/>
    <x v="0"/>
    <x v="11"/>
    <n v="9386"/>
    <n v="450"/>
    <d v="2025-03-21T00:00:00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E9AE1-A1E1-D141-8596-575A32A3D713}" name="Venta de Cursos por Plantel" cacheId="1280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7" colHeaderCaption="Filtrar Planteles">
  <location ref="A46:C60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x="0"/>
        <item m="1" x="1"/>
        <item m="1" x="11"/>
        <item m="1" x="12"/>
        <item m="1" x="10"/>
        <item m="1" x="8"/>
        <item m="1" x="9"/>
        <item m="1" x="13"/>
        <item t="default"/>
      </items>
    </pivotField>
    <pivotField axis="axisRow" showAll="0">
      <items count="57">
        <item m="1" x="50"/>
        <item m="1" x="51"/>
        <item m="1" x="52"/>
        <item m="1" x="53"/>
        <item m="1" x="54"/>
        <item m="1" x="55"/>
        <item x="4"/>
        <item m="1" x="48"/>
        <item m="1" x="26"/>
        <item x="1"/>
        <item m="1" x="41"/>
        <item m="1" x="29"/>
        <item m="1" x="25"/>
        <item x="7"/>
        <item m="1" x="28"/>
        <item m="1" x="49"/>
        <item m="1" x="47"/>
        <item m="1" x="46"/>
        <item m="1" x="21"/>
        <item m="1" x="13"/>
        <item x="5"/>
        <item m="1" x="43"/>
        <item x="3"/>
        <item x="2"/>
        <item x="6"/>
        <item m="1" x="44"/>
        <item m="1" x="14"/>
        <item x="11"/>
        <item m="1" x="16"/>
        <item m="1" x="18"/>
        <item x="8"/>
        <item m="1" x="45"/>
        <item x="0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x="10"/>
        <item x="9"/>
        <item m="1" x="12"/>
        <item m="1" x="19"/>
        <item m="1" x="15"/>
        <item m="1" x="17"/>
        <item m="1" x="20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6"/>
  </rowFields>
  <rowItems count="13">
    <i>
      <x v="6"/>
    </i>
    <i>
      <x v="9"/>
    </i>
    <i>
      <x v="13"/>
    </i>
    <i>
      <x v="20"/>
    </i>
    <i>
      <x v="22"/>
    </i>
    <i>
      <x v="23"/>
    </i>
    <i>
      <x v="24"/>
    </i>
    <i>
      <x v="27"/>
    </i>
    <i>
      <x v="30"/>
    </i>
    <i>
      <x v="32"/>
    </i>
    <i>
      <x v="49"/>
    </i>
    <i>
      <x v="50"/>
    </i>
    <i t="grand">
      <x/>
    </i>
  </rowItems>
  <colFields count="1">
    <field x="5"/>
  </colFields>
  <colItems count="2">
    <i>
      <x v="12"/>
    </i>
    <i t="grand">
      <x/>
    </i>
  </colItems>
  <dataFields count="1">
    <dataField name="Ventas de Cursos por Plantel" fld="4" subtotal="count" baseField="0" baseItem="0"/>
  </dataFields>
  <chartFormats count="38">
    <chartFormat chart="0" format="39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42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43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44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D8554-002D-404E-ACBD-70AB15512CDD}" name="Ventas_por_Promotor" cacheId="1280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24" colHeaderCaption="Filtrar Promotores">
  <location ref="A14:J1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axis="axisCol" showAll="0">
      <items count="52">
        <item m="1" x="17"/>
        <item m="1" x="49"/>
        <item m="1" x="50"/>
        <item m="1" x="20"/>
        <item m="1" x="21"/>
        <item m="1" x="16"/>
        <item m="1" x="26"/>
        <item m="1" x="14"/>
        <item m="1" x="24"/>
        <item m="1" x="15"/>
        <item m="1" x="13"/>
        <item m="1" x="23"/>
        <item m="1" x="18"/>
        <item m="1" x="25"/>
        <item m="1" x="19"/>
        <item m="1" x="42"/>
        <item m="1" x="44"/>
        <item m="1" x="43"/>
        <item m="1" x="48"/>
        <item m="1" x="30"/>
        <item m="1" x="29"/>
        <item m="1" x="28"/>
        <item m="1" x="27"/>
        <item m="1" x="46"/>
        <item m="1" x="41"/>
        <item m="1" x="45"/>
        <item m="1" x="47"/>
        <item x="0"/>
        <item x="1"/>
        <item m="1" x="40"/>
        <item x="3"/>
        <item x="2"/>
        <item x="7"/>
        <item x="6"/>
        <item x="4"/>
        <item x="5"/>
        <item m="1" x="12"/>
        <item m="1" x="39"/>
        <item m="1" x="31"/>
        <item m="1" x="22"/>
        <item m="1" x="38"/>
        <item m="1" x="37"/>
        <item m="1" x="34"/>
        <item m="1" x="36"/>
        <item m="1" x="35"/>
        <item m="1" x="32"/>
        <item m="1" x="33"/>
        <item m="1" x="11"/>
        <item m="1" x="10"/>
        <item m="1" x="9"/>
        <item m="1" x="8"/>
        <item t="default"/>
      </items>
    </pivotField>
    <pivotField showAll="0"/>
    <pivotField showAll="0"/>
  </pivotFields>
  <rowItems count="1">
    <i/>
  </rowItems>
  <colFields count="1">
    <field x="10"/>
  </colFields>
  <colItems count="9"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 t="grand">
      <x/>
    </i>
  </colItems>
  <dataFields count="1">
    <dataField name="Ventas por Promotor" fld="4" subtotal="count" baseField="0" baseItem="0"/>
  </dataFields>
  <chartFormats count="6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6BF5F-5343-F04B-ABCB-4EB18C35767D}" name="PivotTable5" cacheId="1280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1" colHeaderCaption="Filtrar Gerente">
  <location ref="A4:C5" firstHeaderRow="0" firstDataRow="1" firstDataCol="1"/>
  <pivotFields count="13">
    <pivotField axis="axisCol" showAll="0">
      <items count="5">
        <item m="1" x="2"/>
        <item x="0"/>
        <item m="1" x="1"/>
        <item m="1" x="3"/>
        <item t="default"/>
      </items>
    </pivotField>
    <pivotField showAll="0"/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0"/>
  </colFields>
  <colItems count="2">
    <i>
      <x v="1"/>
    </i>
    <i t="grand">
      <x/>
    </i>
  </colItems>
  <dataFields count="1">
    <dataField name="Ventas por Gerente" fld="4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577C62-A946-3C4E-A6FC-06B111AA8AD0}" name="Ventas por Plante" cacheId="1280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8" colHeaderCaption="Filtrar Planteles">
  <location ref="A19:C20" firstHeaderRow="0" firstDataRow="1" firstDataCol="1"/>
  <pivotFields count="13">
    <pivotField showAll="0"/>
    <pivotField showAll="0"/>
    <pivotField showAll="0"/>
    <pivotField showAll="0"/>
    <pivotField dataField="1" numFmtId="166" showAll="0"/>
    <pivotField axis="axisCol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x="0"/>
        <item m="1" x="1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5"/>
  </colFields>
  <colItems count="2">
    <i>
      <x v="12"/>
    </i>
    <i t="grand">
      <x/>
    </i>
  </colItems>
  <dataFields count="1">
    <dataField name="Ventas Por Plantel" fld="4" subtotal="count" baseField="0" baseItem="0"/>
  </dataFields>
  <chartFormats count="44">
    <chartFormat chart="0" format="12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17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21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22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23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3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9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0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E380F-C175-B449-BC2E-0AB6C92FF62C}" name="Ventas de Coordinacion por Plantel" cacheId="1280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11" colHeaderCaption="Filtrar Planteles">
  <location ref="A92:C96" firstHeaderRow="1" firstDataRow="2" firstDataCol="1"/>
  <pivotFields count="13">
    <pivotField showAll="0"/>
    <pivotField axis="axisRow" showAll="0">
      <items count="9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x="1"/>
        <item x="0"/>
        <item t="default"/>
      </items>
    </pivotField>
    <pivotField showAll="0"/>
    <pivotField showAll="0"/>
    <pivotField numFmtId="166" showAll="0"/>
    <pivotField axis="axisCol" dataField="1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x="0"/>
        <item m="1" x="1"/>
        <item m="1" x="11"/>
        <item m="1" x="12"/>
        <item m="1" x="10"/>
        <item m="1" x="8"/>
        <item m="1" x="9"/>
        <item m="1" x="13"/>
        <item t="default"/>
      </items>
    </pivotField>
    <pivotField showAll="0"/>
    <pivotField showAll="0"/>
    <pivotField numFmtId="166" showAll="0"/>
    <pivotField numFmtId="14" showAll="0"/>
    <pivotField showAll="0"/>
    <pivotField showAll="0"/>
    <pivotField showAll="0"/>
  </pivotFields>
  <rowFields count="1">
    <field x="1"/>
  </rowFields>
  <rowItems count="3">
    <i>
      <x v="90"/>
    </i>
    <i>
      <x v="91"/>
    </i>
    <i t="grand">
      <x/>
    </i>
  </rowItems>
  <colFields count="1">
    <field x="5"/>
  </colFields>
  <colItems count="2">
    <i>
      <x v="12"/>
    </i>
    <i t="grand">
      <x/>
    </i>
  </colItems>
  <dataFields count="1">
    <dataField name="Ventas de Coordiacion por Plantel" fld="5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5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9DD47-D69C-2C48-A799-DEADF1F27C50}" name="Venta_por_Plantel_por_Curso" cacheId="1280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showHeaders="0" multipleFieldFilters="0" chartFormat="16" colHeaderCaption="Filtrar Cursos">
  <location ref="A29:N32" firstHeaderRow="1" firstDataRow="2" firstDataCol="1"/>
  <pivotFields count="13">
    <pivotField showAll="0"/>
    <pivotField showAll="0"/>
    <pivotField showAll="0"/>
    <pivotField showAll="0"/>
    <pivotField dataField="1" numFmtId="166" showAll="0"/>
    <pivotField axis="axisRow" showAll="0">
      <items count="21">
        <item m="1" x="14"/>
        <item m="1" x="15"/>
        <item m="1" x="4"/>
        <item m="1" x="16"/>
        <item m="1" x="17"/>
        <item m="1" x="18"/>
        <item m="1" x="3"/>
        <item m="1" x="19"/>
        <item m="1" x="2"/>
        <item m="1" x="6"/>
        <item m="1" x="5"/>
        <item m="1" x="7"/>
        <item x="0"/>
        <item m="1" x="1"/>
        <item m="1" x="11"/>
        <item m="1" x="12"/>
        <item m="1" x="10"/>
        <item m="1" x="8"/>
        <item m="1" x="9"/>
        <item m="1" x="13"/>
        <item t="default"/>
      </items>
    </pivotField>
    <pivotField axis="axisCol" showAll="0">
      <items count="57">
        <item m="1" x="50"/>
        <item m="1" x="51"/>
        <item m="1" x="52"/>
        <item m="1" x="53"/>
        <item m="1" x="54"/>
        <item m="1" x="55"/>
        <item x="4"/>
        <item m="1" x="48"/>
        <item m="1" x="26"/>
        <item x="1"/>
        <item m="1" x="41"/>
        <item m="1" x="29"/>
        <item m="1" x="25"/>
        <item x="7"/>
        <item m="1" x="28"/>
        <item m="1" x="49"/>
        <item m="1" x="47"/>
        <item m="1" x="46"/>
        <item m="1" x="21"/>
        <item m="1" x="13"/>
        <item x="5"/>
        <item m="1" x="43"/>
        <item x="3"/>
        <item x="2"/>
        <item x="6"/>
        <item m="1" x="44"/>
        <item m="1" x="14"/>
        <item x="11"/>
        <item m="1" x="16"/>
        <item m="1" x="18"/>
        <item x="8"/>
        <item m="1" x="45"/>
        <item x="0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x="10"/>
        <item x="9"/>
        <item m="1" x="12"/>
        <item m="1" x="19"/>
        <item m="1" x="15"/>
        <item m="1" x="17"/>
        <item m="1" x="20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Fields count="1">
    <field x="5"/>
  </rowFields>
  <rowItems count="2">
    <i>
      <x v="12"/>
    </i>
    <i t="grand">
      <x/>
    </i>
  </rowItems>
  <colFields count="1">
    <field x="6"/>
  </colFields>
  <colItems count="13">
    <i>
      <x v="6"/>
    </i>
    <i>
      <x v="9"/>
    </i>
    <i>
      <x v="13"/>
    </i>
    <i>
      <x v="20"/>
    </i>
    <i>
      <x v="22"/>
    </i>
    <i>
      <x v="23"/>
    </i>
    <i>
      <x v="24"/>
    </i>
    <i>
      <x v="27"/>
    </i>
    <i>
      <x v="30"/>
    </i>
    <i>
      <x v="32"/>
    </i>
    <i>
      <x v="49"/>
    </i>
    <i>
      <x v="50"/>
    </i>
    <i t="grand">
      <x/>
    </i>
  </colItems>
  <dataFields count="1">
    <dataField name="Ventas por Plantel por Curso" fld="4" subtotal="count" baseField="0" baseItem="0"/>
  </dataFields>
  <chartFormats count="6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5" count="1" selected="0">
            <x v="11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6E798-751B-7645-B002-F6BB46E2849D}" name="Ventas por Curso" cacheId="1280" applyNumberFormats="0" applyBorderFormats="0" applyFontFormats="0" applyPatternFormats="0" applyAlignmentFormats="0" applyWidthHeightFormats="1" dataCaption="Values" updatedVersion="8" minRefreshableVersion="3" itemPrintTitles="1" createdVersion="8" indent="0" showHeaders="0" multipleFieldFilters="0" chartFormat="10" colHeaderCaption="Filtrar Cursos">
  <location ref="A24:N25" firstHeaderRow="0" firstDataRow="1" firstDataCol="1"/>
  <pivotFields count="13">
    <pivotField showAll="0"/>
    <pivotField showAll="0"/>
    <pivotField showAll="0"/>
    <pivotField showAll="0"/>
    <pivotField dataField="1" numFmtId="166" showAll="0"/>
    <pivotField showAll="0"/>
    <pivotField axis="axisCol" showAll="0">
      <items count="57">
        <item m="1" x="50"/>
        <item m="1" x="51"/>
        <item m="1" x="52"/>
        <item m="1" x="53"/>
        <item m="1" x="54"/>
        <item m="1" x="55"/>
        <item x="4"/>
        <item m="1" x="48"/>
        <item m="1" x="26"/>
        <item x="1"/>
        <item m="1" x="41"/>
        <item m="1" x="29"/>
        <item m="1" x="25"/>
        <item x="7"/>
        <item m="1" x="28"/>
        <item m="1" x="49"/>
        <item m="1" x="47"/>
        <item m="1" x="46"/>
        <item m="1" x="21"/>
        <item m="1" x="13"/>
        <item x="5"/>
        <item m="1" x="43"/>
        <item x="3"/>
        <item x="2"/>
        <item x="6"/>
        <item m="1" x="44"/>
        <item m="1" x="14"/>
        <item x="11"/>
        <item m="1" x="16"/>
        <item m="1" x="18"/>
        <item x="8"/>
        <item m="1" x="45"/>
        <item x="0"/>
        <item m="1" x="23"/>
        <item m="1" x="30"/>
        <item m="1" x="35"/>
        <item m="1" x="33"/>
        <item m="1" x="37"/>
        <item m="1" x="39"/>
        <item m="1" x="31"/>
        <item m="1" x="32"/>
        <item m="1" x="36"/>
        <item m="1" x="27"/>
        <item m="1" x="24"/>
        <item m="1" x="34"/>
        <item m="1" x="38"/>
        <item m="1" x="40"/>
        <item m="1" x="42"/>
        <item m="1" x="22"/>
        <item x="10"/>
        <item x="9"/>
        <item m="1" x="12"/>
        <item m="1" x="19"/>
        <item m="1" x="15"/>
        <item m="1" x="17"/>
        <item m="1" x="20"/>
        <item t="default"/>
      </items>
    </pivotField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6"/>
  </colFields>
  <colItems count="13">
    <i>
      <x v="6"/>
    </i>
    <i>
      <x v="9"/>
    </i>
    <i>
      <x v="13"/>
    </i>
    <i>
      <x v="20"/>
    </i>
    <i>
      <x v="22"/>
    </i>
    <i>
      <x v="23"/>
    </i>
    <i>
      <x v="24"/>
    </i>
    <i>
      <x v="27"/>
    </i>
    <i>
      <x v="30"/>
    </i>
    <i>
      <x v="32"/>
    </i>
    <i>
      <x v="49"/>
    </i>
    <i>
      <x v="50"/>
    </i>
    <i t="grand">
      <x/>
    </i>
  </colItems>
  <dataFields count="1">
    <dataField name="Ventas por Curso" fld="4" subtotal="count" baseField="0" baseItem="0"/>
  </dataFields>
  <chartFormats count="7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0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78582B-9DAE-AF40-9B4E-E9B45AE15BFF}" name="Ventas por Coordinacion" cacheId="1280" applyNumberFormats="0" applyBorderFormats="0" applyFontFormats="0" applyPatternFormats="0" applyAlignmentFormats="0" applyWidthHeightFormats="1" dataCaption="Values" missingCaption="0" updatedVersion="8" minRefreshableVersion="3" showDrill="0" itemPrintTitles="1" createdVersion="8" indent="0" showHeaders="0" multipleFieldFilters="0" chartFormat="21" colHeaderCaption="Filtrar Coordinadores">
  <location ref="A9:D10" firstHeaderRow="0" firstDataRow="1" firstDataCol="1"/>
  <pivotFields count="13">
    <pivotField showAll="0"/>
    <pivotField axis="axisCol" showAll="0">
      <items count="93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x="1"/>
        <item x="0"/>
        <item t="default"/>
      </items>
    </pivotField>
    <pivotField showAll="0"/>
    <pivotField showAll="0"/>
    <pivotField dataField="1" numFmtId="166" showAll="0"/>
    <pivotField showAll="0"/>
    <pivotField showAll="0"/>
    <pivotField showAll="0"/>
    <pivotField numFmtId="166" showAll="0"/>
    <pivotField numFmtId="14" showAll="0"/>
    <pivotField showAll="0"/>
    <pivotField showAll="0"/>
    <pivotField showAll="0"/>
  </pivotFields>
  <rowItems count="1">
    <i/>
  </rowItems>
  <colFields count="1">
    <field x="1"/>
  </colFields>
  <colItems count="3">
    <i>
      <x v="90"/>
    </i>
    <i>
      <x v="91"/>
    </i>
    <i t="grand">
      <x/>
    </i>
  </colItems>
  <dataFields count="1">
    <dataField name="Ventas por Coordinacion" fld="4" subtotal="count" baseField="0" baseItem="0"/>
  </dataFields>
  <chartFormats count="9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Tabla_Premios_Promotor" displayName="Tabla_Premios_Promotor" ref="A4:F10" totalsRowShown="0" headerRowDxfId="552" dataDxfId="551" tableBorderDxfId="550" dataCellStyle="Currency">
  <autoFilter ref="A4:F10" xr:uid="{1DCBEDCC-84CA-4F68-A1BF-882DF7EB9AAD}"/>
  <tableColumns count="6">
    <tableColumn id="1" xr3:uid="{52B2CFAB-87CE-4CB9-8B44-7C63B5BB8779}" name="REGISTROS " dataDxfId="549"/>
    <tableColumn id="2" xr3:uid="{1F936614-3024-45E4-8B47-3E2669DC32FC}" name="0" dataDxfId="548" dataCellStyle="Currency"/>
    <tableColumn id="5" xr3:uid="{004B43FE-1D3B-4EE3-8961-771A3156DE8D}" name="13" dataDxfId="547" dataCellStyle="Currency"/>
    <tableColumn id="6" xr3:uid="{113128A4-9C84-4D65-ACBE-D34F68404358}" name="15" dataDxfId="546" dataCellStyle="Currency"/>
    <tableColumn id="3" xr3:uid="{4E945F5C-29A5-409D-9741-D02FDD95409D}" name="30" dataDxfId="545" dataCellStyle="Currency"/>
    <tableColumn id="4" xr3:uid="{F54F9DBA-BB7E-4D93-B316-DDF4038A6BBE}" name="40" dataDxfId="544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Tabla_Premios_Coordinador" displayName="Tabla_Premios_Coordinador" ref="H4:I11" totalsRowShown="0" headerRowDxfId="543" tableBorderDxfId="542">
  <autoFilter ref="H4:I11" xr:uid="{F9D8FF99-7FBD-4770-86D4-916903E3362B}"/>
  <tableColumns count="2">
    <tableColumn id="1" xr3:uid="{0E6771B9-BC03-4485-BDA4-FEEA8045374D}" name="REGISTROS" dataDxfId="541"/>
    <tableColumn id="2" xr3:uid="{4295DB49-D0F8-4407-9A7E-ED849FC12761}" name="PAGO" dataDxfId="540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Tabla_Premios_Gerente" displayName="Tabla_Premios_Gerente" ref="K4:L13" totalsRowShown="0" headerRowDxfId="539" tableBorderDxfId="538">
  <autoFilter ref="K4:L13" xr:uid="{782E832C-499C-406E-AFE6-A5C76665B594}"/>
  <tableColumns count="2">
    <tableColumn id="1" xr3:uid="{7A8416CF-E219-4CDB-8FDD-07CF7E1FE521}" name="REGISTROS" dataDxfId="537"/>
    <tableColumn id="2" xr3:uid="{C0009598-D6D0-42B2-9CE0-A1EE69F3EAA6}" name="PAGO" dataDxfId="536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la_Tabulador_Premio_Promotor_Total_Gerencia" displayName="Tabla_Tabulador_Premio_Promotor_Total_Gerencia" ref="A12:B17" totalsRowShown="0" headerRowDxfId="535" tableBorderDxfId="534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COLUMN(Tabla_Premios_Promotor[[#Headers],[0]])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la_Tabulador_Promotor" displayName="Tabla_Tabulador_Promotor" ref="A3:B4" totalsRowShown="0" headerRowDxfId="533" dataDxfId="532" tableBorderDxfId="531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530"/>
    <tableColumn id="2" xr3:uid="{70072444-3B0C-4F18-B27B-4FC876B6174F}" name="PAGO" dataDxfId="5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la_Tabulador_Coordinador" displayName="Tabla_Tabulador_Coordinador" ref="D3:F8" totalsRowShown="0" headerRowDxfId="528" dataDxfId="527" tableBorderDxfId="526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525"/>
    <tableColumn id="3" xr3:uid="{32B4B292-4525-4662-AD66-6005E8DBCE66}" name="MAX" dataDxfId="524"/>
    <tableColumn id="2" xr3:uid="{1D0B27CB-CCDF-4BB3-95C0-08040C389ED4}" name="PAGO" dataDxfId="523" dataCellStyle="Currency"/>
  </tableColumns>
  <tableStyleInfo name="TableStyleMedium1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la_Tabulador_Gerente" displayName="Tabla_Tabulador_Gerente" ref="H3:J8" totalsRowShown="0" headerRowDxfId="522" dataDxfId="521" tableBorderDxfId="520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519"/>
    <tableColumn id="3" xr3:uid="{DB963CCE-7667-4B57-8C20-10A4A00B0919}" name="MAX" dataDxfId="518"/>
    <tableColumn id="2" xr3:uid="{C1C619F7-F64B-4052-A8CA-7DEBAE64B680}" name="PAGO" dataDxfId="517" dataCellStyle="Currency"/>
  </tableColumns>
  <tableStyleInfo name="TableStyleMedium1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Tabla_Sueldo_Base_Por_Puesto" displayName="Tabla_Sueldo_Base_Por_Puesto" ref="L3:M6" totalsRowShown="0" headerRowDxfId="516" dataDxfId="515">
  <autoFilter ref="L3:M6" xr:uid="{CF9270D9-B009-4143-8D2B-9E1240DA6F10}"/>
  <tableColumns count="2">
    <tableColumn id="1" xr3:uid="{552B5163-6F1D-4FBD-A357-02C46236A87B}" name="PUESTO" dataDxfId="514"/>
    <tableColumn id="2" xr3:uid="{5711A27E-1EE4-46B1-A04E-5D03F5CEBB74}" name="SUELDO BASE" dataDxfId="513" dataCellStyle="Currency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Tabla_Sueldos_Base" displayName="Tabla_Sueldos_Base" ref="L10:P24" totalsRowShown="0" headerRowDxfId="512" dataDxfId="511">
  <autoFilter ref="L10:P24" xr:uid="{1147D880-06D1-4D7B-B657-F07A229C7E08}"/>
  <sortState xmlns:xlrd2="http://schemas.microsoft.com/office/spreadsheetml/2017/richdata2" ref="L11:P24">
    <sortCondition ref="P10:P24"/>
  </sortState>
  <tableColumns count="5">
    <tableColumn id="1" xr3:uid="{C2BD86FE-CD09-4E33-924A-D229ACE908E5}" name="COLABORADOR" dataDxfId="510"/>
    <tableColumn id="2" xr3:uid="{24553BA7-BE24-4460-AA82-33D1DCC84F4A}" name="SUELDO BASE" dataDxfId="509" dataCellStyle="Currency"/>
    <tableColumn id="5" xr3:uid="{6AE8BC63-6EC0-47FC-9DBB-DCE8AF4B89F8}" name="PUESTO" dataDxfId="508"/>
    <tableColumn id="3" xr3:uid="{EB4A0A70-B1F2-40A4-AC06-15BA77F108EE}" name="COORDINACION" dataDxfId="507"/>
    <tableColumn id="4" xr3:uid="{EDC6B3E8-8800-4CCF-9C64-C3873CF91EF2}" name="GERENCIA" dataDxfId="506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Tabla_Descuentos" displayName="Tabla_Descuentos" ref="R3:W4" totalsRowShown="0" headerRowDxfId="505" dataDxfId="504">
  <autoFilter ref="R3:W4" xr:uid="{968159DA-88A6-4E59-B876-F2A425C567A9}"/>
  <tableColumns count="6">
    <tableColumn id="1" xr3:uid="{6A4C6522-2E5C-4103-8B8C-B0A723293670}" name="COLABORADOR" dataDxfId="503"/>
    <tableColumn id="2" xr3:uid="{29E00D9E-BA5E-4284-871D-7C79414179C7}" name="DESCUENTO" dataDxfId="502" dataCellStyle="Currency">
      <calculatedColumnFormula>SUMIF(Tabla_Sueldos_Base[COORDINACION],Tabla_Descuentos[[#This Row],[COORDINACION]],Tabla_Sueldos_Base[SUELDO BASE])*0.3 * -1</calculatedColumnFormula>
    </tableColumn>
    <tableColumn id="6" xr3:uid="{FC42CF7F-86CC-4017-BD0A-792ED3EA4FAB}" name="CONCEPTO" dataDxfId="501" dataCellStyle="Currency"/>
    <tableColumn id="5" xr3:uid="{6D3C6C93-F493-4C8D-857F-155F5350958B}" name="PUESTO" dataDxfId="500"/>
    <tableColumn id="3" xr3:uid="{81E86445-B5A3-4E4E-93E5-A947F43CC839}" name="COORDINACION" dataDxfId="499"/>
    <tableColumn id="4" xr3:uid="{829B3219-00AE-46DB-8F5B-C4EFFEFCD5DB}" name="GERENCIA" dataDxfId="498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Tabla_Gerentes" displayName="Tabla_Gerentes" ref="A3:B6" totalsRowShown="0" headerRowDxfId="497" dataDxfId="496" tableBorderDxfId="495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494"/>
    <tableColumn id="2" xr3:uid="{00B08831-9CDB-4BD2-BC0F-DC47A6A4F354}" name="ALIAS" dataDxfId="493"/>
  </tableColumns>
  <tableStyleInfo name="TableStyleMedium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Tabla_Coordinadores" displayName="Tabla_Coordinadores" ref="D3:F14" totalsRowShown="0" headerRowDxfId="492" dataDxfId="491" tableBorderDxfId="490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489"/>
    <tableColumn id="3" xr3:uid="{2DD1284D-DA80-4597-803E-F543BE29814B}" name="ALIAS"/>
    <tableColumn id="2" xr3:uid="{4267DC2B-70EF-4B96-85D9-390931974CA4}" name="GERENCIA" dataDxfId="488"/>
  </tableColumns>
  <tableStyleInfo name="TableStyleMedium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Tabla_Promotores" displayName="Tabla_Promotores" ref="H3:K54" totalsRowShown="0" headerRowDxfId="487" dataDxfId="486" tableBorderDxfId="485">
  <autoFilter ref="H3:K54" xr:uid="{B4EB82E4-CF9A-4936-88EA-6D8471CDAA6B}"/>
  <sortState xmlns:xlrd2="http://schemas.microsoft.com/office/spreadsheetml/2017/richdata2" ref="H4:K4">
    <sortCondition ref="K3:K4"/>
  </sortState>
  <tableColumns count="4">
    <tableColumn id="1" xr3:uid="{AB044EFA-BC51-4471-87D5-475D29D84838}" name="NOMBRE" dataDxfId="484"/>
    <tableColumn id="4" xr3:uid="{A184B911-0E2E-4D86-8830-CA03C708B065}" name="ALIAS" dataDxfId="483"/>
    <tableColumn id="2" xr3:uid="{104E3815-4B2A-4477-9382-D78944AFF843}" name="COORDINACION" dataDxfId="482"/>
    <tableColumn id="3" xr3:uid="{461A0A24-4F60-4FB0-A7D3-2D78DCB499E9}" name="GERENCIA" dataDxfId="481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FF295D1-C73B-3641-8328-F0CC3CD7679F}" name="Tabla_Coordinadores_Gerencia_Activa" displayName="Tabla_Coordinadores_Gerencia_Activa" ref="M3:M6" totalsRowShown="0">
  <autoFilter ref="M3:M6" xr:uid="{4FF295D1-C73B-3641-8328-F0CC3CD7679F}"/>
  <sortState xmlns:xlrd2="http://schemas.microsoft.com/office/spreadsheetml/2017/richdata2" ref="M4:M6">
    <sortCondition ref="M4:M6"/>
  </sortState>
  <tableColumns count="1">
    <tableColumn id="1" xr3:uid="{F23983CF-C7C1-2F41-A69F-0A142DBCD018}" name="COORDINADOR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5A9EF8-E9C8-5B4D-B155-288B1855B213}" name="Tabla_Planteles" displayName="Tabla_Planteles" ref="A3:B16" totalsRowShown="0" tableBorderDxfId="480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737F8B-6C3E-1045-A721-B3836355001C}" name="Tabla_Razones_Sociales" displayName="Tabla_Razones_Sociales" ref="D3:D9" totalsRowShown="0" headerRowDxfId="479" dataDxfId="477" headerRowBorderDxfId="478" tableBorderDxfId="476">
  <autoFilter ref="D3:D9" xr:uid="{89B09C90-614E-AB47-8F79-718600BA92C3}"/>
  <sortState xmlns:xlrd2="http://schemas.microsoft.com/office/spreadsheetml/2017/richdata2" ref="D4:D9">
    <sortCondition ref="D3:D9"/>
  </sortState>
  <tableColumns count="1">
    <tableColumn id="1" xr3:uid="{8AB590BC-7FC7-EA47-B6FC-421C4BCCA867}" name="RAZON SOCIAL" dataDxfId="475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1B75C1-203F-ED44-AD9D-3F71FCD5CB57}" name="Tabla_Cursos" displayName="Tabla_Cursos" ref="A3:A27" totalsRowShown="0" tableBorderDxfId="474">
  <autoFilter ref="A3:A27" xr:uid="{4C1B75C1-203F-ED44-AD9D-3F71FCD5CB57}"/>
  <sortState xmlns:xlrd2="http://schemas.microsoft.com/office/spreadsheetml/2017/richdata2" ref="A4:A27">
    <sortCondition ref="A3:A27"/>
  </sortState>
  <tableColumns count="1">
    <tableColumn id="1" xr3:uid="{DB5C6237-0A61-BD48-BDA2-512170159DA0}" name="CURSOS"/>
  </tableColumns>
  <tableStyleInfo name="TableStyleMedium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473" dataDxfId="472" totalsRowDxfId="470" tableBorderDxfId="471">
  <autoFilter ref="A8:K9" xr:uid="{9C0FA07F-0DE0-4099-9974-17C69221CC48}"/>
  <tableColumns count="11">
    <tableColumn id="1" xr3:uid="{19C5DD40-BE0D-4F37-942C-33F42CA8A26B}" name="PROMOTOR" totalsRowLabel="TOTAL COMISION" dataDxfId="469" totalsRowDxfId="468"/>
    <tableColumn id="3" xr3:uid="{5B23042C-BE2F-4E30-A41F-5DC03A9C6C4D}" name="CREDENCIAL" dataDxfId="467" totalsRowDxfId="466"/>
    <tableColumn id="4" xr3:uid="{9B4226F9-249A-4A0A-B259-362B9DB0BAF7}" name="NOMBRE DEL ALUMNO" dataDxfId="465" totalsRowDxfId="464"/>
    <tableColumn id="5" xr3:uid="{4A52831D-FAC8-4B99-B890-88CD1DD952B8}" name="COMISION" totalsRowFunction="sum" dataDxfId="463" totalsRowDxfId="462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calculatedColumnFormula>
    </tableColumn>
    <tableColumn id="6" xr3:uid="{98E6506C-CDC5-4BF4-B0EC-396314124A1E}" name="PLANTEL" dataDxfId="461" totalsRowDxfId="460"/>
    <tableColumn id="7" xr3:uid="{E2569798-5824-4510-854E-E7A571E0E564}" name="CURSO" dataDxfId="459" totalsRowDxfId="458"/>
    <tableColumn id="8" xr3:uid="{67FDCAF1-8329-4126-BC1C-00F4EAAF6E00}" name="GRUPO" dataDxfId="457" totalsRowDxfId="456"/>
    <tableColumn id="9" xr3:uid="{AC40ABEB-FD9B-4099-9F83-E129B1162F76}" name="PAGO" dataDxfId="455" totalsRowDxfId="454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453" totalsRowDxfId="452"/>
    <tableColumn id="12" xr3:uid="{DD2945A0-712B-4694-BEE8-E37BE99A65ED}" name="TS PLANTEL " dataDxfId="451" totalsRowDxfId="450"/>
    <tableColumn id="13" xr3:uid="{9F84B062-DFF3-455F-907E-2FFD77D79C98}" name="TS CREDENCIAL " dataDxfId="449" totalsRowDxfId="448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447" dataDxfId="446" totalsRowDxfId="444" tableBorderDxfId="445">
  <autoFilter ref="A8:K9" xr:uid="{C71DDCE0-811A-4D44-9CD0-772974577224}"/>
  <tableColumns count="11">
    <tableColumn id="1" xr3:uid="{A6779933-13F4-45D5-B0BE-0E76DC3825EC}" name="PROMOTOR" totalsRowLabel="TOTAL COMISION" dataDxfId="443" totalsRowDxfId="442"/>
    <tableColumn id="3" xr3:uid="{B062B3B6-A816-4FF4-94DB-3941B90A3AFB}" name="CREDENCIAL" dataDxfId="441" totalsRowDxfId="440"/>
    <tableColumn id="4" xr3:uid="{AC623468-4FBB-4F5F-B2C6-7CA181BD4972}" name="NOMBRE DEL ALUMNO " dataDxfId="439" totalsRowDxfId="438"/>
    <tableColumn id="5" xr3:uid="{1F089BDE-6469-4A0B-BAE3-84045AEC151E}" name="COMISION" totalsRowFunction="sum" dataDxfId="437" totalsRowDxfId="436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435" totalsRowDxfId="434"/>
    <tableColumn id="7" xr3:uid="{0B52D944-9BCE-465A-9E0A-16ACA93A916E}" name="CURSO" dataDxfId="433" totalsRowDxfId="432"/>
    <tableColumn id="8" xr3:uid="{6ED92993-524D-44AC-BCB5-42E120A94D27}" name="GRUPO" dataDxfId="431" totalsRowDxfId="430"/>
    <tableColumn id="9" xr3:uid="{2C6EF25D-446E-444A-B421-53BBA5381135}" name="PAGO" dataDxfId="429" totalsRowDxfId="428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427" totalsRowDxfId="426"/>
    <tableColumn id="12" xr3:uid="{2EB107FE-318E-48B7-A8DC-B15BE97A41DE}" name="TS PLANTEL " dataDxfId="425" totalsRowDxfId="424"/>
    <tableColumn id="13" xr3:uid="{4C94A03A-F424-4744-A7E6-CCB2193F2A8D}" name="TS CREDENCIAL " dataDxfId="423" totalsRowDxfId="422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M70" totalsRowCount="1" headerRowDxfId="421" dataDxfId="420" totalsRowDxfId="418" tableBorderDxfId="419">
  <autoFilter ref="A8:M69" xr:uid="{A305F6E2-D5D6-4EBD-8B3C-0D248B73A287}"/>
  <sortState xmlns:xlrd2="http://schemas.microsoft.com/office/spreadsheetml/2017/richdata2" ref="A9:M69">
    <sortCondition ref="B8:B70"/>
  </sortState>
  <tableColumns count="13">
    <tableColumn id="2" xr3:uid="{56E64E82-5E58-554C-A882-E35B493A1EDD}" name="GERENTE" totalsRowLabel="TOTAL COMISION" dataDxfId="417" totalsRowDxfId="416">
      <calculatedColumnFormula>VLOOKUP(Nombre_Gerente,Tabla_Gerentes[],2,FALSE)</calculatedColumnFormula>
    </tableColumn>
    <tableColumn id="1" xr3:uid="{7448FB15-C3FC-46D5-9295-B52A380565C0}" name="COORDINADOR" dataDxfId="415" totalsRowDxfId="414"/>
    <tableColumn id="3" xr3:uid="{F7FE17D9-8003-43E0-96E2-9B972F359B57}" name="CREDENCIAL" dataDxfId="413" totalsRowDxfId="412"/>
    <tableColumn id="4" xr3:uid="{AC7EEA83-9F8E-44E3-B123-B0B53E6B8EC1}" name="NOMBRE DEL ALUMNO" dataDxfId="411" totalsRowDxfId="410"/>
    <tableColumn id="5" xr3:uid="{0692000D-513F-4924-BAA4-74F65B866529}" name="COMISION" totalsRowFunction="sum" dataDxfId="409" totalsRowDxfId="408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calculatedColumnFormula>
    </tableColumn>
    <tableColumn id="6" xr3:uid="{CA4978CE-10CF-48A8-948B-4C6B5BEB8BF5}" name="PLANTEL" dataDxfId="407" totalsRowDxfId="406"/>
    <tableColumn id="7" xr3:uid="{579CE2E3-347A-4C5C-82DC-98E153BDF40A}" name="CURSO" dataDxfId="405" totalsRowDxfId="404"/>
    <tableColumn id="8" xr3:uid="{0EBAAD61-5825-4628-90D2-2F35F3DA04C7}" name="GRUPO" dataDxfId="403" totalsRowDxfId="402"/>
    <tableColumn id="9" xr3:uid="{DA401AF7-4D16-49DC-8E7E-9B3EC63EABF5}" name="PAGO" dataDxfId="401" totalsRowDxfId="400" dataCellStyle="Currency"/>
    <tableColumn id="10" xr3:uid="{A2F8A34B-2DE7-44AF-8657-CBB70F6C2E5D}" name="FECHA" dataDxfId="399" totalsRowDxfId="398"/>
    <tableColumn id="11" xr3:uid="{9A6A3285-8D3A-4278-8063-F75D4C5AADAC}" name="PROMOTOR" dataDxfId="397" totalsRowDxfId="396"/>
    <tableColumn id="12" xr3:uid="{B6E9C414-52E7-489F-AE3D-3AE657C11D5F}" name="TS PLANTEL" dataDxfId="395" totalsRowDxfId="394"/>
    <tableColumn id="13" xr3:uid="{94FB8847-55A2-4AB1-892D-CC285D0C120B}" name="TS CREDENCIAL" dataDxfId="393" totalsRowDxfId="392"/>
  </tableColumns>
  <tableStyleInfo name="TableStyleMedium1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AF8961AC-33DC-D747-9F12-E1EC5CA99246}" name="Tabla_Coordinador_MARIANA_PACHECO" displayName="Tabla_Coordinador_MARIANA_PACHECO" ref="A8:K39" totalsRowCount="1" headerRowDxfId="391" dataDxfId="390" totalsRowDxfId="389" tableBorderDxfId="388">
  <autoFilter ref="A8:K38" xr:uid="{9C0FA07F-0DE0-4099-9974-17C69221CC48}"/>
  <sortState xmlns:xlrd2="http://schemas.microsoft.com/office/spreadsheetml/2017/richdata2" ref="A9:K38">
    <sortCondition ref="A8:A39"/>
  </sortState>
  <tableColumns count="11">
    <tableColumn id="1" xr3:uid="{B35063E4-8C11-4244-9D4E-1D4167B33736}" name="PROMOTOR" totalsRowLabel="TOTAL COMISION" dataDxfId="387" totalsRowDxfId="361"/>
    <tableColumn id="3" xr3:uid="{19F9576A-A308-9C43-86E2-F5FACEBBEA31}" name="CREDENCIAL" dataDxfId="386" totalsRowDxfId="360"/>
    <tableColumn id="4" xr3:uid="{7690A04A-901F-084B-AD12-BCD442ECA3A8}" name="NOMBRE DEL ALUMNO" dataDxfId="385" totalsRowDxfId="359"/>
    <tableColumn id="5" xr3:uid="{14C49036-37A0-A840-8D06-3923286F9581}" name="COMISION" totalsRowFunction="sum" dataDxfId="384" totalsRowDxfId="358">
      <calculatedColumnFormula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calculatedColumnFormula>
    </tableColumn>
    <tableColumn id="6" xr3:uid="{1486388D-1F7F-4D4B-A85A-EA785F0BF529}" name="PLANTEL" dataDxfId="383" totalsRowDxfId="357"/>
    <tableColumn id="7" xr3:uid="{93C59C89-424D-1443-B4DF-277EB96E18C4}" name="CURSO" dataDxfId="382" totalsRowDxfId="356"/>
    <tableColumn id="8" xr3:uid="{A9E979BF-8C7B-FA43-9D90-2024F99F2846}" name="GRUPO" dataDxfId="381" totalsRowDxfId="355"/>
    <tableColumn id="9" xr3:uid="{C108CA56-1F0F-204B-BBF2-2F5B4FB404D6}" name="PAGO" dataDxfId="380" totalsRowDxfId="354" dataCellStyle="Currency">
      <calculatedColumnFormula>IFERROR(VLOOKUP(Tabla_Coordinador_MARIANA_PACHECO[[#This Row],[CREDENCIAL]], Tabla_Gerente[[CREDENCIAL]:[PAGO]], 7, FALSE), 0)</calculatedColumnFormula>
    </tableColumn>
    <tableColumn id="10" xr3:uid="{711EBA84-6630-5144-B25D-86C40C363AFE}" name="FECHA" dataDxfId="379" totalsRowDxfId="353"/>
    <tableColumn id="12" xr3:uid="{0F9DA2AE-7D5F-ED43-B24A-B29B01BEFB91}" name="TS PLANTEL " dataDxfId="378" totalsRowDxfId="352"/>
    <tableColumn id="13" xr3:uid="{1335CA4C-8EDE-654C-AE9B-126DC4728F96}" name="TS CREDENCIAL " dataDxfId="377" totalsRowDxfId="351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1" xr:uid="{46DF27EA-ED1C-EA4A-A7D1-E321C6C9FA63}" name="Tabla_PromotorPEDRO_GUTIERREZ" displayName="Tabla_PromotorPEDRO_GUTIERREZ" ref="A8:K13" totalsRowCount="1" headerRowDxfId="268" dataDxfId="267" totalsRowDxfId="266" tableBorderDxfId="265">
  <autoFilter ref="A8:K12" xr:uid="{C71DDCE0-811A-4D44-9CD0-772974577224}"/>
  <tableColumns count="11">
    <tableColumn id="1" xr3:uid="{9027C2BE-AFED-3C49-9067-56ED5B38392D}" name="PROMOTOR" totalsRowLabel="TOTAL COMISION" dataDxfId="264" totalsRowDxfId="220"/>
    <tableColumn id="3" xr3:uid="{87C906C0-BA88-0548-A69F-7BA0EA1E8506}" name="CREDENCIAL" dataDxfId="263" totalsRowDxfId="219"/>
    <tableColumn id="4" xr3:uid="{F7DF044C-C47A-7642-98D5-CFF7BE0271AC}" name="NOMBRE DEL ALUMNO " dataDxfId="262" totalsRowDxfId="218"/>
    <tableColumn id="5" xr3:uid="{0DCC3548-D4DF-B24C-B20A-2C493B579DB2}" name="COMISION" totalsRowFunction="sum" dataDxfId="261" totalsRowDxfId="217">
      <calculatedColumnFormula>IF(
    OR(
        Tabla_PromotorPEDRO_GUTIERREZ[[#This Row],[GRUPO]] = "",
        Tabla_PromotorPEDRO_GUTIERREZ[[#This Row],[GRUPO]] = 500,
        COUNTIF(Tabla_PromotorPEDRO_GUTIERREZ[CREDENCIAL], Tabla_PromotorPEDRO_GUTIERREZ[[#This Row],[CREDENCIAL]]) &gt; 1,
        COUNTIF(Tabla_Gerente[CREDENCIAL], Tabla_PromotorPEDRO_GUTIERREZ[[#This Row],[CREDENCIAL]]) &gt; 1,
    ),
    0,
    IF(
        Tabla_PromotorPEDRO_GUTIERREZ[[#This Row],[GRUPO]] = 503,
        Tabla_PromotorPEDRO_GUTIERREZ[[#This Row],[PAGO]],
        IF(
            Tabla_PromotorPEDRO_GUTIERREZ[[#This Row],[PAGO]] &gt;= 299,
            Tabla_PromotorPEDRO_GUTIERREZ[[#This Row],[PAGO]] - 150,
            0
        )
    )
)</calculatedColumnFormula>
    </tableColumn>
    <tableColumn id="6" xr3:uid="{4207CBFA-6AC2-5246-9817-0CA044EC4CDB}" name="PLANTEL" dataDxfId="260" totalsRowDxfId="216"/>
    <tableColumn id="7" xr3:uid="{0B8E0CD7-48E9-8C41-B976-D602AFD4D8F7}" name="CURSO" dataDxfId="259" totalsRowDxfId="215"/>
    <tableColumn id="8" xr3:uid="{0761A05C-0927-E84C-AB83-E976B5E306A6}" name="GRUPO" dataDxfId="258" totalsRowDxfId="214"/>
    <tableColumn id="9" xr3:uid="{63086311-4063-3B4A-9311-8C1CE7D17167}" name="PAGO" dataDxfId="257" totalsRowDxfId="213">
      <calculatedColumnFormula>IFERROR(VLOOKUP(Tabla_PromotorPEDRO_GUTIERREZ[[#This Row],[CREDENCIAL]], Tabla_Gerente[[CREDENCIAL]:[PAGO]], 7, FALSE), 0)</calculatedColumnFormula>
    </tableColumn>
    <tableColumn id="10" xr3:uid="{C42062FA-8797-C747-9581-9D3F84FF9149}" name="FECHA" dataDxfId="256" totalsRowDxfId="212"/>
    <tableColumn id="12" xr3:uid="{E7C5F73F-9F3F-484B-8DC6-E24DE0ECD32B}" name="TS PLANTEL " dataDxfId="255" totalsRowDxfId="211"/>
    <tableColumn id="13" xr3:uid="{BBAC57EE-2145-D743-B4F6-BA26844E5F39}" name="TS CREDENCIAL " dataDxfId="254" totalsRowDxfId="210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0" xr:uid="{791F4DD4-4589-9A4F-A63A-0EBFCFE4E083}" name="Tabla_PromotorFATIMA_HERNANDEZ" displayName="Tabla_PromotorFATIMA_HERNANDEZ" ref="A8:K16" totalsRowCount="1" headerRowDxfId="283" dataDxfId="282" totalsRowDxfId="281" tableBorderDxfId="280">
  <autoFilter ref="A8:K15" xr:uid="{C71DDCE0-811A-4D44-9CD0-772974577224}"/>
  <tableColumns count="11">
    <tableColumn id="1" xr3:uid="{1E932CEA-DC99-7043-A941-F1506BCA18C6}" name="PROMOTOR" totalsRowLabel="TOTAL COMISION" dataDxfId="279" totalsRowDxfId="231"/>
    <tableColumn id="3" xr3:uid="{9C1B6D16-4FCB-3B47-9E7F-4B6904F42B0B}" name="CREDENCIAL" dataDxfId="278" totalsRowDxfId="230"/>
    <tableColumn id="4" xr3:uid="{3700B68C-BA50-4740-929B-62E4BE586706}" name="NOMBRE DEL ALUMNO " dataDxfId="277" totalsRowDxfId="229"/>
    <tableColumn id="5" xr3:uid="{33E68432-4958-4742-9992-62E222F2B76F}" name="COMISION" totalsRowFunction="sum" dataDxfId="276" totalsRowDxfId="228">
      <calculatedColumnFormula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calculatedColumnFormula>
    </tableColumn>
    <tableColumn id="6" xr3:uid="{4CA4C589-514D-7F49-8EBE-3BD288D595A7}" name="PLANTEL" dataDxfId="275" totalsRowDxfId="227"/>
    <tableColumn id="7" xr3:uid="{670D6A00-5ABA-204B-A203-489ABDA58903}" name="CURSO" dataDxfId="274" totalsRowDxfId="226"/>
    <tableColumn id="8" xr3:uid="{B0DF2FD1-8E32-6F4F-8306-8EB7CE7ABAF2}" name="GRUPO" dataDxfId="273" totalsRowDxfId="225"/>
    <tableColumn id="9" xr3:uid="{35DE0DE7-F278-7748-B9C5-16ED27BE34C8}" name="PAGO" dataDxfId="272" totalsRowDxfId="224">
      <calculatedColumnFormula>IFERROR(VLOOKUP(Tabla_PromotorFATIMA_HERNANDEZ[[#This Row],[CREDENCIAL]], Tabla_Gerente[[CREDENCIAL]:[PAGO]], 7, FALSE), 0)</calculatedColumnFormula>
    </tableColumn>
    <tableColumn id="10" xr3:uid="{26C01935-83B4-4F46-A9BB-1A23DF99F2A3}" name="FECHA" dataDxfId="271" totalsRowDxfId="223"/>
    <tableColumn id="12" xr3:uid="{771FC654-518D-DB4F-875C-219BAE0E8901}" name="TS PLANTEL " dataDxfId="270" totalsRowDxfId="222"/>
    <tableColumn id="13" xr3:uid="{F191FB6D-7800-4F46-A733-72E0DCDA2993}" name="TS CREDENCIAL " dataDxfId="269" totalsRowDxfId="221"/>
  </tableColumns>
  <tableStyleInfo name="TableStyleMedium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9" xr:uid="{1D2EC52B-C855-A245-A10E-5ADCC34E9B23}" name="Tabla_PromotorYANISSE_TORRES" displayName="Tabla_PromotorYANISSE_TORRES" ref="A8:K10" totalsRowCount="1" headerRowDxfId="309" dataDxfId="308" totalsRowDxfId="307" tableBorderDxfId="306">
  <autoFilter ref="A8:K9" xr:uid="{C71DDCE0-811A-4D44-9CD0-772974577224}"/>
  <tableColumns count="11">
    <tableColumn id="1" xr3:uid="{E3D5E74C-5CB0-DE41-99C2-C22B8DDE1EDC}" name="PROMOTOR" totalsRowLabel="TOTAL COMISION" dataDxfId="304" totalsRowDxfId="305"/>
    <tableColumn id="3" xr3:uid="{A02F13DD-1D46-824B-872A-51EAFCDDA143}" name="CREDENCIAL" dataDxfId="302" totalsRowDxfId="303"/>
    <tableColumn id="4" xr3:uid="{01A5C176-08A4-A045-B2D8-7900D967FAA5}" name="NOMBRE DEL ALUMNO " dataDxfId="300" totalsRowDxfId="301"/>
    <tableColumn id="5" xr3:uid="{2146172F-69C0-7842-BF73-5C0A1895B682}" name="COMISION" totalsRowFunction="sum" dataDxfId="298" totalsRowDxfId="299">
      <calculatedColumnFormula>IF(
    OR(
        Tabla_PromotorYANISSE_TORRES[[#This Row],[GRUPO]] = "",
        Tabla_PromotorYANISSE_TORRES[[#This Row],[GRUPO]] = 500,
        COUNTIF(Tabla_PromotorYANISSE_TORRES[CREDENCIAL], Tabla_PromotorYANISSE_TORRES[[#This Row],[CREDENCIAL]]) &gt; 1,
        COUNTIF(Tabla_Gerente[CREDENCIAL], Tabla_PromotorYANISSE_TORRES[[#This Row],[CREDENCIAL]]) &gt; 1,
    ),
    0,
    IF(
        Tabla_PromotorYANISSE_TORRES[[#This Row],[GRUPO]] = 503,
        Tabla_PromotorYANISSE_TORRES[[#This Row],[PAGO]],
        IF(
            Tabla_PromotorYANISSE_TORRES[[#This Row],[PAGO]] &gt;= 299,
            Tabla_PromotorYANISSE_TORRES[[#This Row],[PAGO]] - 150,
            0
        )
    )
)</calculatedColumnFormula>
    </tableColumn>
    <tableColumn id="6" xr3:uid="{5DF7B343-F997-E24F-8E8D-15C0ABAB830E}" name="PLANTEL" dataDxfId="296" totalsRowDxfId="297"/>
    <tableColumn id="7" xr3:uid="{80B70313-B0A8-0744-992B-243C2F0757C0}" name="CURSO" dataDxfId="294" totalsRowDxfId="295"/>
    <tableColumn id="8" xr3:uid="{FDD260D9-62BE-D646-B567-9DAA2AC6B660}" name="GRUPO" dataDxfId="292" totalsRowDxfId="293"/>
    <tableColumn id="9" xr3:uid="{B622A37E-E599-7345-83A0-0C42984E6517}" name="PAGO" dataDxfId="290" totalsRowDxfId="291">
      <calculatedColumnFormula>IFERROR(VLOOKUP(Tabla_PromotorYANISSE_TORRES[[#This Row],[CREDENCIAL]], Tabla_Gerente[[CREDENCIAL]:[PAGO]], 7, FALSE), 0)</calculatedColumnFormula>
    </tableColumn>
    <tableColumn id="10" xr3:uid="{DACBC3D2-ABBF-1040-BA3D-E20783C55A4A}" name="FECHA" dataDxfId="288" totalsRowDxfId="289"/>
    <tableColumn id="12" xr3:uid="{09F2B549-F896-2D46-81FC-71108A93020B}" name="TS PLANTEL " dataDxfId="286" totalsRowDxfId="287"/>
    <tableColumn id="13" xr3:uid="{9CD62213-7DF1-DB4A-9DCA-B9A987D9D500}" name="TS CREDENCIAL " dataDxfId="284" totalsRowDxfId="285"/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8" xr:uid="{CC5ED840-07DD-BF42-8EA5-A762D3FCA2D8}" name="Tabla_PromotorLIZBETH_MORALES" displayName="Tabla_PromotorLIZBETH_MORALES" ref="A8:K13" totalsRowCount="1" headerRowDxfId="324" dataDxfId="323" totalsRowDxfId="322" tableBorderDxfId="321">
  <autoFilter ref="A8:K12" xr:uid="{C71DDCE0-811A-4D44-9CD0-772974577224}"/>
  <tableColumns count="11">
    <tableColumn id="1" xr3:uid="{CEC045CC-03DA-1B41-A3ED-70E152578B64}" name="PROMOTOR" totalsRowLabel="TOTAL COMISION" dataDxfId="320" totalsRowDxfId="242"/>
    <tableColumn id="3" xr3:uid="{A9F8BF78-316F-0240-ABE5-A95762BD55A7}" name="CREDENCIAL" dataDxfId="319" totalsRowDxfId="241"/>
    <tableColumn id="4" xr3:uid="{7A545E37-98F5-324D-8808-FACF7FCCB13B}" name="NOMBRE DEL ALUMNO " dataDxfId="318" totalsRowDxfId="240"/>
    <tableColumn id="5" xr3:uid="{EC75298B-003D-D640-962F-7C0FC0E76C91}" name="COMISION" totalsRowFunction="sum" dataDxfId="317" totalsRowDxfId="239">
      <calculatedColumnFormula>IF(
    OR(
        Tabla_PromotorLIZBETH_MORALES[[#This Row],[GRUPO]] = "",
        Tabla_PromotorLIZBETH_MORALES[[#This Row],[GRUPO]] = 500,
        COUNTIF(Tabla_PromotorLIZBETH_MORALES[CREDENCIAL], Tabla_PromotorLIZBETH_MORALES[[#This Row],[CREDENCIAL]]) &gt; 1,
        COUNTIF(Tabla_Gerente[CREDENCIAL], Tabla_PromotorLIZBETH_MORALES[[#This Row],[CREDENCIAL]]) &gt; 1,
    ),
    0,
    IF(
        Tabla_PromotorLIZBETH_MORALES[[#This Row],[GRUPO]] = 503,
        Tabla_PromotorLIZBETH_MORALES[[#This Row],[PAGO]],
        IF(
            Tabla_PromotorLIZBETH_MORALES[[#This Row],[PAGO]] &gt;= 299,
            Tabla_PromotorLIZBETH_MORALES[[#This Row],[PAGO]] - 150,
            0
        )
    )
)</calculatedColumnFormula>
    </tableColumn>
    <tableColumn id="6" xr3:uid="{A7C234F7-91A0-6E4A-9A29-33A212160CCE}" name="PLANTEL" dataDxfId="316" totalsRowDxfId="238"/>
    <tableColumn id="7" xr3:uid="{0A9DBF9C-BFEE-5F47-81B1-F81C99B9BCB3}" name="CURSO" dataDxfId="315" totalsRowDxfId="237"/>
    <tableColumn id="8" xr3:uid="{EA4568E3-FD10-9C48-BD95-4DB67A6DFB65}" name="GRUPO" dataDxfId="314" totalsRowDxfId="236"/>
    <tableColumn id="9" xr3:uid="{07C9E450-610B-6F41-8DF8-84FE28C3B9BA}" name="PAGO" dataDxfId="313" totalsRowDxfId="235">
      <calculatedColumnFormula>IFERROR(VLOOKUP(Tabla_PromotorLIZBETH_MORALES[[#This Row],[CREDENCIAL]], Tabla_Gerente[[CREDENCIAL]:[PAGO]], 7, FALSE), 0)</calculatedColumnFormula>
    </tableColumn>
    <tableColumn id="10" xr3:uid="{725D553E-F7BD-CC4E-A221-E6DA54EADD73}" name="FECHA" dataDxfId="312" totalsRowDxfId="234"/>
    <tableColumn id="12" xr3:uid="{F445B5A3-F6F1-534E-A7A6-F763435F9C77}" name="TS PLANTEL " dataDxfId="311" totalsRowDxfId="233"/>
    <tableColumn id="13" xr3:uid="{940BF38E-232C-4E4F-8A4A-18DDA5004F94}" name="TS CREDENCIAL " dataDxfId="310" totalsRowDxfId="232"/>
  </tableColumns>
  <tableStyleInfo name="TableStyleMedium2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7" xr:uid="{0A51CCB7-0456-8E4E-B75A-0E7D927FAA98}" name="Tabla_PromotorEUNICE_MORALES" displayName="Tabla_PromotorEUNICE_MORALES" ref="A8:K24" totalsRowCount="1" headerRowDxfId="339" dataDxfId="338" totalsRowDxfId="337" tableBorderDxfId="336">
  <autoFilter ref="A8:K23" xr:uid="{C71DDCE0-811A-4D44-9CD0-772974577224}"/>
  <tableColumns count="11">
    <tableColumn id="1" xr3:uid="{CAC7A302-6E39-9C47-A3DB-E159664FD2A9}" name="PROMOTOR" totalsRowLabel="TOTAL COMISION" dataDxfId="335" totalsRowDxfId="253"/>
    <tableColumn id="3" xr3:uid="{55260848-712B-6542-8FEA-57B33750B3D6}" name="CREDENCIAL" dataDxfId="334" totalsRowDxfId="252"/>
    <tableColumn id="4" xr3:uid="{A0496B4F-488E-5048-AC83-E021679FE111}" name="NOMBRE DEL ALUMNO " dataDxfId="333" totalsRowDxfId="251"/>
    <tableColumn id="5" xr3:uid="{D2505583-AF34-E943-ABE1-B1BCD276B9FC}" name="COMISION" totalsRowFunction="sum" dataDxfId="332" totalsRowDxfId="250">
      <calculatedColumnFormula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calculatedColumnFormula>
    </tableColumn>
    <tableColumn id="6" xr3:uid="{E01F669C-3723-914B-8FEA-AC70FAAEF3C7}" name="PLANTEL" dataDxfId="331" totalsRowDxfId="249"/>
    <tableColumn id="7" xr3:uid="{CE6D6B15-0B41-1543-B7B4-7D3AB208E005}" name="CURSO" dataDxfId="330" totalsRowDxfId="248"/>
    <tableColumn id="8" xr3:uid="{B85D301B-9813-9242-A028-C8C87646CD75}" name="GRUPO" dataDxfId="329" totalsRowDxfId="247"/>
    <tableColumn id="9" xr3:uid="{ED69B55A-7627-024F-BB51-1F79FF54C7F6}" name="PAGO" dataDxfId="328" totalsRowDxfId="246">
      <calculatedColumnFormula>IFERROR(VLOOKUP(Tabla_PromotorEUNICE_MORALES[[#This Row],[CREDENCIAL]], Tabla_Gerente[[CREDENCIAL]:[PAGO]], 7, FALSE), 0)</calculatedColumnFormula>
    </tableColumn>
    <tableColumn id="10" xr3:uid="{19F3EA90-B130-7043-B6AE-8BBC16349FE0}" name="FECHA" dataDxfId="327" totalsRowDxfId="245"/>
    <tableColumn id="12" xr3:uid="{6DD03289-BC54-9549-9E1F-5109FD917978}" name="TS PLANTEL " dataDxfId="326" totalsRowDxfId="244"/>
    <tableColumn id="13" xr3:uid="{5A46784C-13A6-CB43-93D3-263D8FBC7C97}" name="TS CREDENCIAL " dataDxfId="325" totalsRowDxfId="243"/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999339A2-7385-FA4C-9659-616280F134DE}" name="Tabla_Coordinador_OLIVIA_PACHECO" displayName="Tabla_Coordinador_OLIVIA_PACHECO" ref="A8:K40" totalsRowCount="1" headerRowDxfId="376" dataDxfId="375" totalsRowDxfId="374" tableBorderDxfId="373">
  <autoFilter ref="A8:K39" xr:uid="{9C0FA07F-0DE0-4099-9974-17C69221CC48}"/>
  <sortState xmlns:xlrd2="http://schemas.microsoft.com/office/spreadsheetml/2017/richdata2" ref="A9:K39">
    <sortCondition ref="A8:A40"/>
  </sortState>
  <tableColumns count="11">
    <tableColumn id="1" xr3:uid="{ED0E6003-745E-EB4A-AE71-35C8F5769473}" name="PROMOTOR" totalsRowLabel="TOTAL COMISION" dataDxfId="372" totalsRowDxfId="350"/>
    <tableColumn id="3" xr3:uid="{1BBA2934-56B8-0F48-8590-C144171D7492}" name="CREDENCIAL" dataDxfId="371" totalsRowDxfId="349"/>
    <tableColumn id="4" xr3:uid="{0357DF61-7E3E-5F46-9117-9113B9794362}" name="NOMBRE DEL ALUMNO" dataDxfId="370" totalsRowDxfId="348"/>
    <tableColumn id="5" xr3:uid="{93BA3EB7-D069-0044-B2AA-C3E1830D0D23}" name="COMISION" totalsRowFunction="sum" dataDxfId="369" totalsRowDxfId="347">
      <calculatedColumnFormula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calculatedColumnFormula>
    </tableColumn>
    <tableColumn id="6" xr3:uid="{01492DAB-85CA-1540-8783-D96B0C56F435}" name="PLANTEL" dataDxfId="368" totalsRowDxfId="346"/>
    <tableColumn id="7" xr3:uid="{AF49D07A-3907-514A-A736-900C21295B8B}" name="CURSO" dataDxfId="367" totalsRowDxfId="345"/>
    <tableColumn id="8" xr3:uid="{56B22286-0E8E-A042-809C-4CF212F28CFA}" name="GRUPO" dataDxfId="366" totalsRowDxfId="344"/>
    <tableColumn id="9" xr3:uid="{3A60489A-C3F7-6548-8D78-F94AA6078258}" name="PAGO" dataDxfId="365" totalsRowDxfId="343" dataCellStyle="Currency">
      <calculatedColumnFormula>IFERROR(VLOOKUP(Tabla_Coordinador_OLIVIA_PACHECO[[#This Row],[CREDENCIAL]], Tabla_Gerente[[CREDENCIAL]:[PAGO]], 7, FALSE), 0)</calculatedColumnFormula>
    </tableColumn>
    <tableColumn id="10" xr3:uid="{8201D12F-9047-1F4A-8C1F-4C8C4D23BD0C}" name="FECHA" dataDxfId="364" totalsRowDxfId="342"/>
    <tableColumn id="12" xr3:uid="{404F6A53-036C-3C4F-9A0E-6A5365CD45CC}" name="TS PLANTEL " dataDxfId="363" totalsRowDxfId="341"/>
    <tableColumn id="13" xr3:uid="{7BC74912-924E-C64E-B102-BB5D5B56FD04}" name="TS CREDENCIAL " dataDxfId="362" totalsRowDxfId="340"/>
  </tableColumns>
  <tableStyleInfo name="TableStyleMedium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5" xr:uid="{F58F9ECE-435D-414B-B898-E2D2F7359109}" name="Tabla_PromotorHUGO_PACHECO" displayName="Tabla_PromotorHUGO_PACHECO" ref="A8:K14" totalsRowCount="1" headerRowDxfId="164" dataDxfId="163" totalsRowDxfId="162" tableBorderDxfId="161">
  <autoFilter ref="A8:K13" xr:uid="{C71DDCE0-811A-4D44-9CD0-772974577224}"/>
  <tableColumns count="11">
    <tableColumn id="1" xr3:uid="{3DB3292A-7082-D54C-92BF-C31FEAEB9AD3}" name="PROMOTOR" totalsRowLabel="TOTAL COMISION" dataDxfId="160" totalsRowDxfId="10"/>
    <tableColumn id="3" xr3:uid="{6B16F4AB-83F0-D94B-87C1-82059BEDC297}" name="CREDENCIAL" dataDxfId="159" totalsRowDxfId="9"/>
    <tableColumn id="4" xr3:uid="{C886AE01-5755-DA4C-A4DC-C57BE7497B3B}" name="NOMBRE DEL ALUMNO " dataDxfId="158" totalsRowDxfId="8"/>
    <tableColumn id="5" xr3:uid="{705DA6DE-DD0A-4145-90A3-2D1897465770}" name="COMISION" totalsRowFunction="sum" dataDxfId="157" totalsRowDxfId="7">
      <calculatedColumnFormula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calculatedColumnFormula>
    </tableColumn>
    <tableColumn id="6" xr3:uid="{9D4CF866-E409-884C-85DA-C99F9DA35E56}" name="PLANTEL" dataDxfId="156" totalsRowDxfId="6"/>
    <tableColumn id="7" xr3:uid="{048A8933-43D4-6146-BFEA-9DE2049ADDD2}" name="CURSO" dataDxfId="155" totalsRowDxfId="5"/>
    <tableColumn id="8" xr3:uid="{27608BEB-2767-7A41-BF8D-4069B5FA9435}" name="GRUPO" dataDxfId="154" totalsRowDxfId="4"/>
    <tableColumn id="9" xr3:uid="{20FEE19B-B427-5C48-ACDC-7343C05B7EDA}" name="PAGO" dataDxfId="153" totalsRowDxfId="3">
      <calculatedColumnFormula>IFERROR(VLOOKUP(Tabla_PromotorHUGO_PACHECO[[#This Row],[CREDENCIAL]], Tabla_Gerente[[CREDENCIAL]:[PAGO]], 7, FALSE), 0)</calculatedColumnFormula>
    </tableColumn>
    <tableColumn id="10" xr3:uid="{B202B66A-338F-F848-8826-0D7A971A3D95}" name="FECHA" dataDxfId="152" totalsRowDxfId="2"/>
    <tableColumn id="12" xr3:uid="{35BD42CE-DCAF-594A-8DEF-8605E8CD21D2}" name="TS PLANTEL " dataDxfId="151" totalsRowDxfId="1"/>
    <tableColumn id="13" xr3:uid="{7683C192-45E7-EC4C-867E-E639E5B80199}" name="TS CREDENCIAL " dataDxfId="150" totalsRowDxfId="0"/>
  </tableColumns>
  <tableStyleInfo name="TableStyleMedium2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4" xr:uid="{40211B4D-3B56-4C4B-B24D-56F2835E5302}" name="Tabla_PromotorENRIQUE_OJEDA" displayName="Tabla_PromotorENRIQUE_OJEDA" ref="A8:K18" totalsRowCount="1" headerRowDxfId="179" dataDxfId="178" totalsRowDxfId="177" tableBorderDxfId="176">
  <autoFilter ref="A8:K17" xr:uid="{C71DDCE0-811A-4D44-9CD0-772974577224}"/>
  <tableColumns count="11">
    <tableColumn id="1" xr3:uid="{38D9AAE3-5A2A-514B-9FA2-A1987B360BD2}" name="PROMOTOR" totalsRowLabel="TOTAL COMISION" dataDxfId="175" totalsRowDxfId="127"/>
    <tableColumn id="3" xr3:uid="{D5213007-E9A6-BE4F-B7C6-32D051940DA5}" name="CREDENCIAL" dataDxfId="174" totalsRowDxfId="126"/>
    <tableColumn id="4" xr3:uid="{F8396361-E735-CB4F-B932-CB993E0079D1}" name="NOMBRE DEL ALUMNO " dataDxfId="173" totalsRowDxfId="125"/>
    <tableColumn id="5" xr3:uid="{A4E683AD-8967-AE41-BA9A-2708586A4A54}" name="COMISION" totalsRowFunction="sum" dataDxfId="172" totalsRowDxfId="124">
      <calculatedColumnFormula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calculatedColumnFormula>
    </tableColumn>
    <tableColumn id="6" xr3:uid="{B029A715-8A08-D44A-962C-49C6D14B0797}" name="PLANTEL" dataDxfId="171" totalsRowDxfId="123"/>
    <tableColumn id="7" xr3:uid="{BAB40084-EF6F-C14E-9F43-E2F1DAFA3117}" name="CURSO" dataDxfId="170" totalsRowDxfId="122"/>
    <tableColumn id="8" xr3:uid="{E4865F2D-4A9D-2F48-A2F6-BD42615639F5}" name="GRUPO" dataDxfId="169" totalsRowDxfId="121"/>
    <tableColumn id="9" xr3:uid="{1A41E8A4-5301-B745-B1EE-72F88A84B6BE}" name="PAGO" dataDxfId="168" totalsRowDxfId="120">
      <calculatedColumnFormula>IFERROR(VLOOKUP(Tabla_PromotorENRIQUE_OJEDA[[#This Row],[CREDENCIAL]], Tabla_Gerente[[CREDENCIAL]:[PAGO]], 7, FALSE), 0)</calculatedColumnFormula>
    </tableColumn>
    <tableColumn id="10" xr3:uid="{7AE17760-09E4-4341-B9DA-24726DF158FF}" name="FECHA" dataDxfId="167" totalsRowDxfId="119"/>
    <tableColumn id="12" xr3:uid="{14022A51-DD2B-274D-A0AD-EFB3D2D67BAB}" name="TS PLANTEL " dataDxfId="166" totalsRowDxfId="118"/>
    <tableColumn id="13" xr3:uid="{38D1626C-B9AD-D24E-BFB6-D88B32143094}" name="TS CREDENCIAL " dataDxfId="165" totalsRowDxfId="117"/>
  </tableColumns>
  <tableStyleInfo name="TableStyleMedium2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3" xr:uid="{8127A1C5-CB1C-9E43-9608-A78F6D94990B}" name="Tabla_PromotorEFRAIN_CORTES" displayName="Tabla_PromotorEFRAIN_CORTES" ref="A8:K20" totalsRowCount="1" headerRowDxfId="194" dataDxfId="193" totalsRowDxfId="192" tableBorderDxfId="191">
  <autoFilter ref="A8:K19" xr:uid="{C71DDCE0-811A-4D44-9CD0-772974577224}"/>
  <tableColumns count="11">
    <tableColumn id="1" xr3:uid="{112984C5-3074-2846-98E3-5BDC934E4E8E}" name="PROMOTOR" totalsRowLabel="TOTAL COMISION" dataDxfId="190" totalsRowDxfId="138"/>
    <tableColumn id="3" xr3:uid="{65CCE7D9-F8B0-4A42-A5B9-4C00AAC1CCCF}" name="CREDENCIAL" dataDxfId="189" totalsRowDxfId="137"/>
    <tableColumn id="4" xr3:uid="{C094E055-F35C-B644-95F5-8CB081225F80}" name="NOMBRE DEL ALUMNO " dataDxfId="188" totalsRowDxfId="136"/>
    <tableColumn id="5" xr3:uid="{3976741B-6F3D-6749-B9C3-A34E9FBC3F08}" name="COMISION" totalsRowFunction="sum" dataDxfId="187" totalsRowDxfId="135">
      <calculatedColumnFormula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calculatedColumnFormula>
    </tableColumn>
    <tableColumn id="6" xr3:uid="{84B32DDA-23C7-6940-8FBD-5A5560577169}" name="PLANTEL" dataDxfId="186" totalsRowDxfId="134"/>
    <tableColumn id="7" xr3:uid="{E8EAEE9D-101E-EE47-BF1B-E16325223F4B}" name="CURSO" dataDxfId="185" totalsRowDxfId="133"/>
    <tableColumn id="8" xr3:uid="{E9B9FD92-DD4D-E747-A922-1B8148071D08}" name="GRUPO" dataDxfId="184" totalsRowDxfId="132"/>
    <tableColumn id="9" xr3:uid="{25F748FA-999D-F445-871D-7EA609720763}" name="PAGO" dataDxfId="183" totalsRowDxfId="131">
      <calculatedColumnFormula>IFERROR(VLOOKUP(Tabla_PromotorEFRAIN_CORTES[[#This Row],[CREDENCIAL]], Tabla_Gerente[[CREDENCIAL]:[PAGO]], 7, FALSE), 0)</calculatedColumnFormula>
    </tableColumn>
    <tableColumn id="10" xr3:uid="{CC107F88-B2E7-1A42-AEF6-273069537840}" name="FECHA" dataDxfId="182" totalsRowDxfId="130"/>
    <tableColumn id="12" xr3:uid="{2ED35B8F-30C2-444A-8684-E3349F6BC0AD}" name="TS PLANTEL " dataDxfId="181" totalsRowDxfId="129"/>
    <tableColumn id="13" xr3:uid="{F47F391C-16CF-F84B-8BB9-41C327C221AC}" name="TS CREDENCIAL " dataDxfId="180" totalsRowDxfId="128"/>
  </tableColumns>
  <tableStyleInfo name="TableStyleMedium2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2" xr:uid="{370AD4C1-5C42-D24A-ABA0-96E9822EFE95}" name="Tabla_PromotorDAMIAN_BRAVO" displayName="Tabla_PromotorDAMIAN_BRAVO" ref="A8:K15" totalsRowCount="1" headerRowDxfId="209" dataDxfId="208" totalsRowDxfId="207" tableBorderDxfId="206">
  <autoFilter ref="A8:K14" xr:uid="{C71DDCE0-811A-4D44-9CD0-772974577224}"/>
  <tableColumns count="11">
    <tableColumn id="1" xr3:uid="{024C6833-7424-E44B-B060-3FA4668E86E7}" name="PROMOTOR" totalsRowLabel="TOTAL COMISION" dataDxfId="205" totalsRowDxfId="149"/>
    <tableColumn id="3" xr3:uid="{3F1C0071-EEFD-0C4B-B404-9DB5E9DFDD0A}" name="CREDENCIAL" dataDxfId="204" totalsRowDxfId="148"/>
    <tableColumn id="4" xr3:uid="{7EF52D7E-F7D5-864C-B5A2-991156976863}" name="NOMBRE DEL ALUMNO " dataDxfId="203" totalsRowDxfId="147"/>
    <tableColumn id="5" xr3:uid="{ECC8F899-D39F-C749-9554-26DDB769C8E6}" name="COMISION" totalsRowFunction="sum" dataDxfId="202" totalsRowDxfId="146">
      <calculatedColumnFormula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calculatedColumnFormula>
    </tableColumn>
    <tableColumn id="6" xr3:uid="{1854588A-C834-AC43-8073-20C97A0033C9}" name="PLANTEL" dataDxfId="201" totalsRowDxfId="145"/>
    <tableColumn id="7" xr3:uid="{30C9E116-88BF-5442-B522-8BA1981BBC4E}" name="CURSO" dataDxfId="200" totalsRowDxfId="144"/>
    <tableColumn id="8" xr3:uid="{B1120701-A2CC-A54A-9324-EA69456481F8}" name="GRUPO" dataDxfId="199" totalsRowDxfId="143"/>
    <tableColumn id="9" xr3:uid="{5CC4E448-4F11-A445-A8CE-F1BDAB0CCC75}" name="PAGO" dataDxfId="198" totalsRowDxfId="142">
      <calculatedColumnFormula>IFERROR(VLOOKUP(Tabla_PromotorDAMIAN_BRAVO[[#This Row],[CREDENCIAL]], Tabla_Gerente[[CREDENCIAL]:[PAGO]], 7, FALSE), 0)</calculatedColumnFormula>
    </tableColumn>
    <tableColumn id="10" xr3:uid="{40C21681-4DF8-A344-BA6A-690241FBD639}" name="FECHA" dataDxfId="197" totalsRowDxfId="141"/>
    <tableColumn id="12" xr3:uid="{7FEA9A78-1540-E34E-8D40-1575EC70D203}" name="TS PLANTEL " dataDxfId="196" totalsRowDxfId="140"/>
    <tableColumn id="13" xr3:uid="{76E02026-1EC7-D24B-985E-E8655DD1D734}" name="TS CREDENCIAL " dataDxfId="195" totalsRowDxfId="13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B41" sqref="B41"/>
    </sheetView>
  </sheetViews>
  <sheetFormatPr baseColWidth="10" defaultColWidth="22.33203125" defaultRowHeight="15" x14ac:dyDescent="0.2"/>
  <cols>
    <col min="1" max="1" width="22.5" bestFit="1" customWidth="1"/>
    <col min="2" max="2" width="24.6640625" bestFit="1" customWidth="1"/>
    <col min="3" max="6" width="11.5" bestFit="1" customWidth="1"/>
    <col min="7" max="7" width="2.83203125" customWidth="1"/>
    <col min="8" max="8" width="23.1640625" bestFit="1" customWidth="1"/>
    <col min="9" max="9" width="11.5" bestFit="1" customWidth="1"/>
    <col min="10" max="10" width="2.83203125" customWidth="1"/>
    <col min="11" max="11" width="16.33203125" bestFit="1" customWidth="1"/>
    <col min="12" max="12" width="11.5" bestFit="1" customWidth="1"/>
  </cols>
  <sheetData>
    <row r="1" spans="1:13" ht="21" thickBot="1" x14ac:dyDescent="0.3">
      <c r="A1" s="63" t="s">
        <v>0</v>
      </c>
      <c r="B1" s="58"/>
      <c r="C1" s="58"/>
      <c r="D1" s="58"/>
      <c r="E1" s="58"/>
      <c r="F1" s="58"/>
      <c r="H1" s="63" t="s">
        <v>9</v>
      </c>
      <c r="I1" s="58"/>
      <c r="J1" s="7"/>
      <c r="K1" s="58" t="s">
        <v>3</v>
      </c>
      <c r="L1" s="58"/>
      <c r="M1" s="6"/>
    </row>
    <row r="2" spans="1:13" ht="15" customHeight="1" thickTop="1" x14ac:dyDescent="0.2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6" x14ac:dyDescent="0.2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6" x14ac:dyDescent="0.2">
      <c r="A4" s="4" t="s">
        <v>2</v>
      </c>
      <c r="B4" s="4" t="s">
        <v>46</v>
      </c>
      <c r="C4" s="65" t="s">
        <v>45</v>
      </c>
      <c r="D4" s="65" t="s">
        <v>10</v>
      </c>
      <c r="E4" s="65" t="s">
        <v>11</v>
      </c>
      <c r="F4" s="65" t="s">
        <v>12</v>
      </c>
      <c r="H4" s="64" t="s">
        <v>5</v>
      </c>
      <c r="I4" s="64" t="s">
        <v>1</v>
      </c>
      <c r="J4" s="6"/>
      <c r="K4" s="64" t="s">
        <v>5</v>
      </c>
      <c r="L4" s="64" t="s">
        <v>1</v>
      </c>
      <c r="M4" s="6"/>
    </row>
    <row r="5" spans="1:13" ht="16" x14ac:dyDescent="0.2">
      <c r="A5" s="62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6" x14ac:dyDescent="0.2">
      <c r="A6" s="62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6" x14ac:dyDescent="0.2">
      <c r="A7" s="62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6" x14ac:dyDescent="0.2">
      <c r="A8" s="62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6" x14ac:dyDescent="0.2">
      <c r="A9" s="62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6" x14ac:dyDescent="0.2">
      <c r="A10" s="62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6" x14ac:dyDescent="0.2">
      <c r="A11" s="62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6" x14ac:dyDescent="0.2">
      <c r="A12" s="66" t="s">
        <v>43</v>
      </c>
      <c r="B12" s="66" t="s">
        <v>44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6" x14ac:dyDescent="0.2">
      <c r="A13" s="1">
        <v>0</v>
      </c>
      <c r="B13" s="1">
        <f>COLUMN(Tabla_Premios_Promotor[[#Headers],[0]])</f>
        <v>2</v>
      </c>
      <c r="C13" s="1"/>
      <c r="K13" s="1">
        <v>200</v>
      </c>
      <c r="L13" s="5">
        <v>8000</v>
      </c>
      <c r="M13" s="5"/>
    </row>
    <row r="14" spans="1:13" ht="16" x14ac:dyDescent="0.2">
      <c r="A14" s="1">
        <v>13</v>
      </c>
      <c r="B14" s="1">
        <f>COLUMN(Tabla_Premios_Promotor[[#Headers],[13]])</f>
        <v>3</v>
      </c>
    </row>
    <row r="15" spans="1:13" x14ac:dyDescent="0.2">
      <c r="A15">
        <v>15</v>
      </c>
      <c r="B15">
        <f>COLUMN(Tabla_Premios_Promotor[[#Headers],[15]])</f>
        <v>4</v>
      </c>
    </row>
    <row r="16" spans="1:13" x14ac:dyDescent="0.2">
      <c r="A16">
        <v>30</v>
      </c>
      <c r="B16">
        <f>COLUMN(Tabla_Premios_Promotor[[#Headers],[30]])</f>
        <v>5</v>
      </c>
    </row>
    <row r="17" spans="1:12" x14ac:dyDescent="0.2">
      <c r="A17">
        <v>40</v>
      </c>
      <c r="B17">
        <f>COLUMN(Tabla_Premios_Promotor[[#Headers],[40]])</f>
        <v>6</v>
      </c>
    </row>
    <row r="19" spans="1:12" ht="16" x14ac:dyDescent="0.2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D20" s="13"/>
    </row>
    <row r="21" spans="1:12" ht="16" x14ac:dyDescent="0.2">
      <c r="A21" s="13"/>
      <c r="B21" s="13"/>
      <c r="C21" s="13"/>
      <c r="D21" s="13"/>
    </row>
    <row r="22" spans="1:12" ht="16" x14ac:dyDescent="0.2">
      <c r="A22" s="13"/>
      <c r="B22" s="13"/>
      <c r="C22" s="13"/>
      <c r="D22" s="13"/>
    </row>
    <row r="23" spans="1:12" ht="16" x14ac:dyDescent="0.2">
      <c r="A23" s="13"/>
      <c r="B23" s="13"/>
      <c r="C23" s="13"/>
      <c r="D23" s="13"/>
    </row>
    <row r="24" spans="1:12" ht="16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6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6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6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6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">
      <c r="B29" s="41"/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  <pageSetUpPr fitToPage="1"/>
  </sheetPr>
  <dimension ref="A1:W51"/>
  <sheetViews>
    <sheetView workbookViewId="0">
      <selection activeCell="J8" sqref="J8"/>
    </sheetView>
  </sheetViews>
  <sheetFormatPr baseColWidth="10" defaultColWidth="11.5" defaultRowHeight="16" x14ac:dyDescent="0.2"/>
  <cols>
    <col min="1" max="1" width="15" style="1" bestFit="1" customWidth="1"/>
    <col min="2" max="2" width="8.1640625" style="2" bestFit="1" customWidth="1"/>
    <col min="3" max="3" width="2.83203125" style="2" customWidth="1"/>
    <col min="4" max="4" width="16.5" style="1" bestFit="1" customWidth="1"/>
    <col min="5" max="5" width="5.6640625" style="1" bestFit="1" customWidth="1"/>
    <col min="6" max="6" width="9.83203125" style="1" bestFit="1" customWidth="1"/>
    <col min="7" max="7" width="2.83203125" style="1" customWidth="1"/>
    <col min="8" max="8" width="11" style="1" bestFit="1" customWidth="1"/>
    <col min="9" max="9" width="5.6640625" style="1" bestFit="1" customWidth="1"/>
    <col min="10" max="10" width="9.83203125" style="1" bestFit="1" customWidth="1"/>
    <col min="11" max="11" width="2.83203125" style="1" customWidth="1"/>
    <col min="12" max="12" width="41.6640625" style="1" bestFit="1" customWidth="1"/>
    <col min="13" max="13" width="16.6640625" style="1" bestFit="1" customWidth="1"/>
    <col min="14" max="14" width="12.5" bestFit="1" customWidth="1"/>
    <col min="15" max="15" width="20.33203125" style="1" bestFit="1" customWidth="1"/>
    <col min="16" max="16" width="24" style="1" bestFit="1" customWidth="1"/>
    <col min="17" max="17" width="2.83203125" style="1" customWidth="1"/>
    <col min="18" max="18" width="41.6640625" style="1" bestFit="1" customWidth="1"/>
    <col min="19" max="19" width="16.6640625" style="1" bestFit="1" customWidth="1"/>
    <col min="20" max="20" width="39.1640625" style="1" bestFit="1" customWidth="1"/>
    <col min="21" max="21" width="15.83203125" style="1" bestFit="1" customWidth="1"/>
    <col min="22" max="22" width="20.33203125" style="1" bestFit="1" customWidth="1"/>
    <col min="23" max="23" width="24" style="1" bestFit="1" customWidth="1"/>
    <col min="24" max="16384" width="11.5" style="1"/>
  </cols>
  <sheetData>
    <row r="1" spans="1:23" ht="21" thickBot="1" x14ac:dyDescent="0.3">
      <c r="A1" s="58" t="s">
        <v>8</v>
      </c>
      <c r="B1" s="58"/>
      <c r="D1" s="59" t="s">
        <v>14</v>
      </c>
      <c r="E1" s="58"/>
      <c r="F1" s="58"/>
      <c r="H1" s="59" t="s">
        <v>15</v>
      </c>
      <c r="I1" s="58"/>
      <c r="J1" s="58"/>
      <c r="L1" s="59" t="s">
        <v>105</v>
      </c>
      <c r="M1" s="58"/>
      <c r="N1" s="58"/>
      <c r="O1" s="58"/>
      <c r="P1" s="58"/>
      <c r="R1" s="59" t="s">
        <v>185</v>
      </c>
      <c r="S1" s="58"/>
      <c r="T1" s="58"/>
      <c r="U1" s="58"/>
      <c r="V1" s="58"/>
      <c r="W1" s="58"/>
    </row>
    <row r="2" spans="1:23" ht="17" thickTop="1" x14ac:dyDescent="0.2">
      <c r="A2" s="70"/>
      <c r="B2" s="5"/>
      <c r="D2" s="71"/>
      <c r="E2" s="4"/>
      <c r="H2" s="71"/>
      <c r="I2" s="4"/>
      <c r="N2" s="1"/>
    </row>
    <row r="3" spans="1:23" x14ac:dyDescent="0.2">
      <c r="A3" s="3" t="s">
        <v>40</v>
      </c>
      <c r="B3" s="8" t="s">
        <v>1</v>
      </c>
      <c r="D3" s="4" t="s">
        <v>41</v>
      </c>
      <c r="E3" s="4" t="s">
        <v>42</v>
      </c>
      <c r="F3" s="8" t="s">
        <v>1</v>
      </c>
      <c r="G3" s="8"/>
      <c r="H3" s="4" t="s">
        <v>41</v>
      </c>
      <c r="I3" s="4" t="s">
        <v>42</v>
      </c>
      <c r="J3" s="9" t="s">
        <v>1</v>
      </c>
      <c r="L3" s="1" t="s">
        <v>103</v>
      </c>
      <c r="M3" s="1" t="s">
        <v>13</v>
      </c>
      <c r="N3" s="1"/>
      <c r="R3" s="1" t="s">
        <v>106</v>
      </c>
      <c r="S3" s="1" t="s">
        <v>107</v>
      </c>
      <c r="T3" s="1" t="s">
        <v>109</v>
      </c>
      <c r="U3" s="1" t="s">
        <v>103</v>
      </c>
      <c r="V3" s="1" t="s">
        <v>89</v>
      </c>
      <c r="W3" s="1" t="s">
        <v>88</v>
      </c>
    </row>
    <row r="4" spans="1:23" x14ac:dyDescent="0.2">
      <c r="A4" s="61">
        <v>500</v>
      </c>
      <c r="B4" s="61">
        <v>350</v>
      </c>
      <c r="C4" s="7"/>
      <c r="D4" s="62">
        <v>0</v>
      </c>
      <c r="E4" s="62">
        <v>4</v>
      </c>
      <c r="F4" s="5">
        <v>0</v>
      </c>
      <c r="G4" s="5"/>
      <c r="H4" s="62">
        <v>0</v>
      </c>
      <c r="I4" s="62">
        <v>9</v>
      </c>
      <c r="J4" s="5">
        <v>0</v>
      </c>
      <c r="L4" s="12" t="s">
        <v>104</v>
      </c>
      <c r="M4" s="69">
        <v>1000</v>
      </c>
      <c r="N4" s="1"/>
      <c r="R4" s="1" t="s">
        <v>69</v>
      </c>
      <c r="S4" s="69">
        <f>SUMIF(Tabla_Sueldos_Base[COORDINACION],Tabla_Descuentos[[#This Row],[COORDINACION]],Tabla_Sueldos_Base[SUELDO BASE])*0.3 * -1</f>
        <v>-630</v>
      </c>
      <c r="T4" s="69" t="s">
        <v>110</v>
      </c>
      <c r="U4" s="1" t="s">
        <v>6</v>
      </c>
      <c r="V4" s="1" t="s">
        <v>64</v>
      </c>
      <c r="W4" s="1" t="s">
        <v>57</v>
      </c>
    </row>
    <row r="5" spans="1:23" x14ac:dyDescent="0.2">
      <c r="A5" s="7"/>
      <c r="B5" s="7"/>
      <c r="C5" s="7"/>
      <c r="D5" s="62">
        <v>5</v>
      </c>
      <c r="E5" s="62">
        <v>9</v>
      </c>
      <c r="F5" s="5">
        <v>70</v>
      </c>
      <c r="G5" s="5"/>
      <c r="H5" s="62">
        <v>10</v>
      </c>
      <c r="I5" s="62">
        <v>19</v>
      </c>
      <c r="J5" s="5">
        <v>50</v>
      </c>
      <c r="L5" s="1" t="s">
        <v>6</v>
      </c>
      <c r="M5" s="69">
        <v>500</v>
      </c>
      <c r="N5" s="1"/>
      <c r="S5" s="69"/>
      <c r="T5" s="69"/>
    </row>
    <row r="6" spans="1:23" x14ac:dyDescent="0.2">
      <c r="A6" s="13"/>
      <c r="B6" s="13"/>
      <c r="C6" s="29"/>
      <c r="D6" s="62">
        <v>10</v>
      </c>
      <c r="E6" s="62">
        <v>14</v>
      </c>
      <c r="F6" s="5">
        <v>100</v>
      </c>
      <c r="G6" s="13"/>
      <c r="H6" s="62">
        <v>20</v>
      </c>
      <c r="I6" s="62">
        <v>29</v>
      </c>
      <c r="J6" s="5">
        <v>70</v>
      </c>
      <c r="K6" s="13"/>
      <c r="L6" s="13" t="s">
        <v>7</v>
      </c>
      <c r="M6" s="69">
        <v>0</v>
      </c>
      <c r="N6" s="1"/>
      <c r="S6" s="69"/>
      <c r="T6" s="69"/>
    </row>
    <row r="7" spans="1:23" x14ac:dyDescent="0.2">
      <c r="A7" s="13"/>
      <c r="B7" s="13"/>
      <c r="C7" s="27"/>
      <c r="D7" s="62">
        <v>15</v>
      </c>
      <c r="E7" s="62">
        <v>19</v>
      </c>
      <c r="F7" s="5">
        <v>120</v>
      </c>
      <c r="G7" s="13"/>
      <c r="H7" s="62">
        <v>30</v>
      </c>
      <c r="I7" s="62">
        <v>49</v>
      </c>
      <c r="J7" s="5">
        <v>100</v>
      </c>
      <c r="K7" s="13"/>
      <c r="L7" s="13"/>
      <c r="N7" s="1"/>
      <c r="S7" s="69"/>
      <c r="T7" s="69"/>
    </row>
    <row r="8" spans="1:23" x14ac:dyDescent="0.2">
      <c r="A8" s="13"/>
      <c r="B8" s="13"/>
      <c r="C8" s="29"/>
      <c r="D8" s="62">
        <v>20</v>
      </c>
      <c r="E8" s="62" t="s">
        <v>51</v>
      </c>
      <c r="F8" s="5">
        <v>140</v>
      </c>
      <c r="G8" s="13"/>
      <c r="H8" s="62">
        <v>50</v>
      </c>
      <c r="I8" s="62" t="s">
        <v>51</v>
      </c>
      <c r="J8" s="5">
        <v>120</v>
      </c>
      <c r="K8" s="13"/>
      <c r="L8" s="13"/>
      <c r="N8" s="1"/>
      <c r="S8" s="69"/>
      <c r="T8" s="69"/>
    </row>
    <row r="9" spans="1:23" x14ac:dyDescent="0.2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69"/>
      <c r="T9" s="69"/>
    </row>
    <row r="10" spans="1:23" x14ac:dyDescent="0.2">
      <c r="A10" s="13"/>
      <c r="B10" s="13"/>
      <c r="C10" s="13"/>
      <c r="D10" s="13"/>
      <c r="L10" s="117" t="s">
        <v>106</v>
      </c>
      <c r="M10" s="1" t="s">
        <v>13</v>
      </c>
      <c r="N10" s="1" t="s">
        <v>103</v>
      </c>
      <c r="O10" s="1" t="s">
        <v>89</v>
      </c>
      <c r="P10" s="1" t="s">
        <v>88</v>
      </c>
      <c r="S10" s="69"/>
      <c r="T10" s="69"/>
    </row>
    <row r="11" spans="1:23" x14ac:dyDescent="0.2">
      <c r="A11" s="13"/>
      <c r="B11" s="13"/>
      <c r="C11" s="13"/>
      <c r="D11" s="13"/>
      <c r="L11" s="1" t="s">
        <v>72</v>
      </c>
      <c r="M11" s="69">
        <v>700</v>
      </c>
      <c r="N11" s="1" t="s">
        <v>7</v>
      </c>
      <c r="O11" s="1" t="s">
        <v>64</v>
      </c>
      <c r="P11" s="1" t="s">
        <v>57</v>
      </c>
      <c r="S11" s="69"/>
      <c r="T11" s="69"/>
    </row>
    <row r="12" spans="1:23" x14ac:dyDescent="0.2">
      <c r="A12" s="13"/>
      <c r="B12" s="13"/>
      <c r="C12" s="13"/>
      <c r="D12" s="13"/>
      <c r="G12" s="13"/>
      <c r="L12" s="1" t="s">
        <v>73</v>
      </c>
      <c r="M12" s="69">
        <v>700</v>
      </c>
      <c r="N12" s="1" t="s">
        <v>7</v>
      </c>
      <c r="O12" s="1" t="s">
        <v>64</v>
      </c>
      <c r="P12" s="1" t="s">
        <v>57</v>
      </c>
    </row>
    <row r="13" spans="1:23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74</v>
      </c>
      <c r="M13" s="69">
        <v>700</v>
      </c>
      <c r="N13" s="1" t="s">
        <v>7</v>
      </c>
      <c r="O13" s="1" t="s">
        <v>64</v>
      </c>
      <c r="P13" s="1" t="s">
        <v>57</v>
      </c>
    </row>
    <row r="14" spans="1:23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84</v>
      </c>
      <c r="M14" s="69">
        <v>1000</v>
      </c>
      <c r="N14" s="1" t="s">
        <v>7</v>
      </c>
      <c r="O14" s="1" t="s">
        <v>65</v>
      </c>
      <c r="P14" s="1" t="s">
        <v>57</v>
      </c>
    </row>
    <row r="15" spans="1:23" x14ac:dyDescent="0.2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83</v>
      </c>
      <c r="M15" s="69">
        <v>700</v>
      </c>
      <c r="N15" s="1" t="s">
        <v>7</v>
      </c>
      <c r="O15" s="1" t="s">
        <v>65</v>
      </c>
      <c r="P15" s="1" t="s">
        <v>57</v>
      </c>
    </row>
    <row r="16" spans="1:23" x14ac:dyDescent="0.2">
      <c r="B16" s="1"/>
      <c r="C16" s="1"/>
      <c r="L16" s="1" t="s">
        <v>82</v>
      </c>
      <c r="M16" s="69">
        <v>700</v>
      </c>
      <c r="N16" s="1" t="s">
        <v>7</v>
      </c>
      <c r="O16" s="1" t="s">
        <v>65</v>
      </c>
      <c r="P16" s="1" t="s">
        <v>57</v>
      </c>
    </row>
    <row r="17" spans="2:16" x14ac:dyDescent="0.2">
      <c r="B17" s="1"/>
      <c r="C17" s="1"/>
      <c r="L17" s="1" t="s">
        <v>85</v>
      </c>
      <c r="M17" s="69">
        <v>1000</v>
      </c>
      <c r="N17" s="1" t="s">
        <v>7</v>
      </c>
      <c r="O17" s="1" t="s">
        <v>65</v>
      </c>
      <c r="P17" s="1" t="s">
        <v>57</v>
      </c>
    </row>
    <row r="18" spans="2:16" x14ac:dyDescent="0.2">
      <c r="B18" s="1"/>
      <c r="C18" s="1"/>
      <c r="L18" s="1" t="s">
        <v>81</v>
      </c>
      <c r="M18" s="69">
        <v>1000</v>
      </c>
      <c r="N18" s="1" t="s">
        <v>7</v>
      </c>
      <c r="O18" s="1" t="s">
        <v>59</v>
      </c>
      <c r="P18" s="1" t="s">
        <v>57</v>
      </c>
    </row>
    <row r="19" spans="2:16" x14ac:dyDescent="0.2">
      <c r="B19" s="1"/>
      <c r="C19" s="1"/>
      <c r="L19" s="1" t="s">
        <v>79</v>
      </c>
      <c r="M19" s="69">
        <v>500</v>
      </c>
      <c r="N19" s="1" t="s">
        <v>7</v>
      </c>
      <c r="O19" s="1" t="s">
        <v>59</v>
      </c>
      <c r="P19" s="1" t="s">
        <v>57</v>
      </c>
    </row>
    <row r="20" spans="2:16" x14ac:dyDescent="0.2">
      <c r="B20" s="1"/>
      <c r="C20" s="1"/>
      <c r="L20" s="1" t="s">
        <v>128</v>
      </c>
      <c r="M20" s="69">
        <v>500</v>
      </c>
      <c r="N20" s="1" t="s">
        <v>7</v>
      </c>
      <c r="O20" s="1" t="s">
        <v>120</v>
      </c>
      <c r="P20" s="1" t="s">
        <v>116</v>
      </c>
    </row>
    <row r="21" spans="2:16" x14ac:dyDescent="0.2">
      <c r="B21" s="1"/>
      <c r="C21" s="1"/>
      <c r="L21" s="1" t="s">
        <v>129</v>
      </c>
      <c r="M21" s="69">
        <v>500</v>
      </c>
      <c r="N21" s="1" t="s">
        <v>7</v>
      </c>
      <c r="O21" s="1" t="s">
        <v>120</v>
      </c>
      <c r="P21" s="1" t="s">
        <v>116</v>
      </c>
    </row>
    <row r="22" spans="2:16" x14ac:dyDescent="0.2">
      <c r="L22" s="1" t="s">
        <v>178</v>
      </c>
      <c r="M22" s="69">
        <v>500</v>
      </c>
      <c r="N22" s="1" t="s">
        <v>7</v>
      </c>
      <c r="O22" s="1" t="s">
        <v>120</v>
      </c>
      <c r="P22" s="1" t="s">
        <v>116</v>
      </c>
    </row>
    <row r="23" spans="2:16" x14ac:dyDescent="0.2">
      <c r="L23" s="1" t="s">
        <v>126</v>
      </c>
      <c r="M23" s="69">
        <v>500</v>
      </c>
      <c r="N23" s="1" t="s">
        <v>7</v>
      </c>
      <c r="O23" s="1" t="s">
        <v>118</v>
      </c>
      <c r="P23" s="1" t="s">
        <v>116</v>
      </c>
    </row>
    <row r="24" spans="2:16" x14ac:dyDescent="0.2">
      <c r="L24" s="1" t="s">
        <v>127</v>
      </c>
      <c r="M24" s="69">
        <v>500</v>
      </c>
      <c r="N24" s="1" t="s">
        <v>7</v>
      </c>
      <c r="O24" s="1" t="s">
        <v>118</v>
      </c>
      <c r="P24" s="1" t="s">
        <v>116</v>
      </c>
    </row>
    <row r="25" spans="2:16" x14ac:dyDescent="0.2">
      <c r="M25" s="69"/>
      <c r="N25" s="1"/>
    </row>
    <row r="27" spans="2:16" x14ac:dyDescent="0.2">
      <c r="B27" s="1"/>
      <c r="C27" s="9"/>
    </row>
    <row r="28" spans="2:16" x14ac:dyDescent="0.2">
      <c r="B28" s="1"/>
      <c r="C28" s="9"/>
    </row>
    <row r="29" spans="2:16" x14ac:dyDescent="0.2">
      <c r="B29" s="1"/>
      <c r="C29" s="5"/>
    </row>
    <row r="30" spans="2:16" x14ac:dyDescent="0.2">
      <c r="B30" s="1"/>
      <c r="C30" s="5"/>
    </row>
    <row r="31" spans="2:16" x14ac:dyDescent="0.2">
      <c r="B31" s="1"/>
      <c r="C31" s="5"/>
    </row>
    <row r="32" spans="2:16" x14ac:dyDescent="0.2">
      <c r="B32" s="1"/>
      <c r="C32" s="5"/>
    </row>
    <row r="38" spans="2:5" x14ac:dyDescent="0.2">
      <c r="B38" s="10"/>
      <c r="C38" s="10"/>
    </row>
    <row r="39" spans="2:5" x14ac:dyDescent="0.2">
      <c r="B39" s="10"/>
      <c r="C39" s="10"/>
      <c r="D39" s="10"/>
      <c r="E39" s="10"/>
    </row>
    <row r="40" spans="2:5" x14ac:dyDescent="0.2">
      <c r="B40" s="10"/>
      <c r="C40" s="10"/>
      <c r="D40" s="10"/>
      <c r="E40" s="10"/>
    </row>
    <row r="41" spans="2:5" x14ac:dyDescent="0.2">
      <c r="B41" s="10"/>
      <c r="C41" s="10"/>
      <c r="D41" s="10"/>
      <c r="E41" s="10"/>
    </row>
    <row r="42" spans="2:5" x14ac:dyDescent="0.2">
      <c r="B42" s="1"/>
      <c r="C42" s="1"/>
      <c r="D42" s="10"/>
      <c r="E42" s="10"/>
    </row>
    <row r="43" spans="2:5" x14ac:dyDescent="0.2">
      <c r="B43" s="11"/>
      <c r="C43" s="11"/>
    </row>
    <row r="44" spans="2:5" x14ac:dyDescent="0.2">
      <c r="B44" s="11"/>
      <c r="C44" s="11"/>
      <c r="D44" s="11"/>
      <c r="E44" s="11"/>
    </row>
    <row r="45" spans="2:5" x14ac:dyDescent="0.2">
      <c r="B45" s="11"/>
      <c r="C45" s="11"/>
      <c r="D45" s="11"/>
      <c r="E45" s="11"/>
    </row>
    <row r="46" spans="2:5" x14ac:dyDescent="0.2">
      <c r="B46" s="11"/>
      <c r="C46" s="11"/>
      <c r="D46" s="11"/>
      <c r="E46" s="11"/>
    </row>
    <row r="47" spans="2:5" x14ac:dyDescent="0.2">
      <c r="B47" s="1"/>
      <c r="C47" s="1"/>
      <c r="D47" s="11"/>
      <c r="E47" s="11"/>
    </row>
    <row r="48" spans="2:5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</sheetData>
  <sheetProtection formatCells="0" formatColumns="0" formatRows="0" insertColumns="0" insertRows="0" insertHyperlinks="0" deleteColumns="0" deleteRows="0" sort="0" autoFilter="0" pivotTables="0"/>
  <dataValidations count="5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24 U4" xr:uid="{342D9635-3C48-4326-82D8-7F8C3C5FF452}">
      <formula1>Puestos</formula1>
    </dataValidation>
    <dataValidation type="list" allowBlank="1" showInputMessage="1" showErrorMessage="1" sqref="O11:O24 V4" xr:uid="{2CEA4F90-913C-4F7E-A844-C80F62AB1BC2}">
      <formula1>Alias_Coordinadores</formula1>
    </dataValidation>
    <dataValidation type="list" allowBlank="1" showInputMessage="1" showErrorMessage="1" sqref="P11:P24 W4" xr:uid="{D57AA25B-EFC2-4916-B551-2CC8B6E8A91F}">
      <formula1>Alias_Gerentes</formula1>
    </dataValidation>
    <dataValidation type="list" allowBlank="1" showInputMessage="1" showErrorMessage="1" sqref="L11:L24" xr:uid="{151FF7F3-44B8-7840-87C8-034662927DF0}">
      <formula1>Nombres_Promotores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4"/>
  <sheetViews>
    <sheetView workbookViewId="0">
      <selection activeCell="O6" sqref="O6"/>
    </sheetView>
  </sheetViews>
  <sheetFormatPr baseColWidth="10" defaultColWidth="8.83203125" defaultRowHeight="15" x14ac:dyDescent="0.2"/>
  <cols>
    <col min="1" max="1" width="32.5" bestFit="1" customWidth="1"/>
    <col min="2" max="2" width="22.5" bestFit="1" customWidth="1"/>
    <col min="3" max="3" width="2.83203125" customWidth="1"/>
    <col min="4" max="4" width="33.5" bestFit="1" customWidth="1"/>
    <col min="5" max="6" width="22.5" bestFit="1" customWidth="1"/>
    <col min="7" max="7" width="2.83203125" customWidth="1"/>
    <col min="8" max="8" width="38.5" bestFit="1" customWidth="1"/>
    <col min="9" max="9" width="25.6640625" bestFit="1" customWidth="1"/>
    <col min="10" max="11" width="22.5" bestFit="1" customWidth="1"/>
    <col min="12" max="12" width="3.33203125" customWidth="1"/>
    <col min="13" max="13" width="27.83203125" bestFit="1" customWidth="1"/>
    <col min="14" max="22" width="8.83203125" customWidth="1"/>
    <col min="23" max="23" width="9" customWidth="1"/>
  </cols>
  <sheetData>
    <row r="1" spans="1:18" ht="21" thickBot="1" x14ac:dyDescent="0.3">
      <c r="A1" s="58" t="s">
        <v>49</v>
      </c>
      <c r="B1" s="58"/>
      <c r="D1" s="58" t="s">
        <v>48</v>
      </c>
      <c r="E1" s="58"/>
      <c r="F1" s="58"/>
      <c r="H1" s="58" t="s">
        <v>50</v>
      </c>
      <c r="I1" s="58"/>
      <c r="J1" s="58"/>
      <c r="K1" s="58"/>
      <c r="M1" s="58" t="s">
        <v>186</v>
      </c>
    </row>
    <row r="2" spans="1:18" ht="21" thickTop="1" x14ac:dyDescent="0.25">
      <c r="A2" s="60"/>
      <c r="B2" s="60"/>
      <c r="D2" s="60"/>
      <c r="E2" s="60"/>
      <c r="H2" s="60"/>
      <c r="I2" s="60"/>
    </row>
    <row r="3" spans="1:18" x14ac:dyDescent="0.2">
      <c r="A3" t="s">
        <v>86</v>
      </c>
      <c r="B3" t="s">
        <v>87</v>
      </c>
      <c r="D3" t="s">
        <v>86</v>
      </c>
      <c r="E3" t="s">
        <v>87</v>
      </c>
      <c r="F3" t="s">
        <v>88</v>
      </c>
      <c r="H3" t="s">
        <v>86</v>
      </c>
      <c r="I3" t="s">
        <v>87</v>
      </c>
      <c r="J3" t="s">
        <v>89</v>
      </c>
      <c r="K3" t="s">
        <v>88</v>
      </c>
      <c r="M3" t="s">
        <v>6</v>
      </c>
    </row>
    <row r="4" spans="1:18" x14ac:dyDescent="0.2">
      <c r="A4" t="s">
        <v>66</v>
      </c>
      <c r="B4" t="s">
        <v>57</v>
      </c>
      <c r="D4" s="56" t="s">
        <v>66</v>
      </c>
      <c r="E4" s="56" t="s">
        <v>175</v>
      </c>
      <c r="F4" t="s">
        <v>57</v>
      </c>
      <c r="H4" s="95" t="s">
        <v>66</v>
      </c>
      <c r="I4" s="95" t="s">
        <v>102</v>
      </c>
      <c r="J4" s="95" t="s">
        <v>175</v>
      </c>
      <c r="K4" s="95" t="s">
        <v>57</v>
      </c>
      <c r="M4" t="s">
        <v>120</v>
      </c>
      <c r="N4" s="55"/>
      <c r="O4" s="55"/>
      <c r="Q4" s="55"/>
      <c r="R4" s="55"/>
    </row>
    <row r="5" spans="1:18" x14ac:dyDescent="0.2">
      <c r="A5" t="s">
        <v>115</v>
      </c>
      <c r="B5" t="s">
        <v>116</v>
      </c>
      <c r="D5" s="56" t="s">
        <v>69</v>
      </c>
      <c r="E5" s="56" t="s">
        <v>64</v>
      </c>
      <c r="F5" t="s">
        <v>57</v>
      </c>
      <c r="H5" s="95" t="s">
        <v>72</v>
      </c>
      <c r="I5" s="95" t="s">
        <v>92</v>
      </c>
      <c r="J5" s="95" t="s">
        <v>64</v>
      </c>
      <c r="K5" s="95" t="s">
        <v>57</v>
      </c>
      <c r="M5" t="s">
        <v>118</v>
      </c>
      <c r="N5" s="55"/>
    </row>
    <row r="6" spans="1:18" x14ac:dyDescent="0.2">
      <c r="A6" s="55" t="s">
        <v>137</v>
      </c>
      <c r="B6" s="55" t="s">
        <v>135</v>
      </c>
      <c r="C6" s="55"/>
      <c r="D6" t="s">
        <v>68</v>
      </c>
      <c r="E6" t="s">
        <v>65</v>
      </c>
      <c r="F6" t="s">
        <v>57</v>
      </c>
      <c r="G6" s="57"/>
      <c r="H6" s="95" t="s">
        <v>71</v>
      </c>
      <c r="I6" s="95" t="s">
        <v>62</v>
      </c>
      <c r="J6" s="95" t="s">
        <v>64</v>
      </c>
      <c r="K6" s="95" t="s">
        <v>57</v>
      </c>
      <c r="L6" s="55"/>
      <c r="M6" t="s">
        <v>176</v>
      </c>
    </row>
    <row r="7" spans="1:18" x14ac:dyDescent="0.2">
      <c r="A7" s="55"/>
      <c r="B7" s="55"/>
      <c r="C7" s="55"/>
      <c r="D7" t="s">
        <v>67</v>
      </c>
      <c r="E7" t="s">
        <v>59</v>
      </c>
      <c r="F7" t="s">
        <v>57</v>
      </c>
      <c r="G7" s="55"/>
      <c r="H7" s="95" t="s">
        <v>69</v>
      </c>
      <c r="I7" s="95" t="s">
        <v>101</v>
      </c>
      <c r="J7" s="95" t="s">
        <v>64</v>
      </c>
      <c r="K7" s="95" t="s">
        <v>57</v>
      </c>
      <c r="L7" s="55"/>
    </row>
    <row r="8" spans="1:18" x14ac:dyDescent="0.2">
      <c r="A8" s="55"/>
      <c r="B8" s="55"/>
      <c r="C8" s="55"/>
      <c r="D8" t="s">
        <v>70</v>
      </c>
      <c r="E8" t="s">
        <v>90</v>
      </c>
      <c r="F8" t="s">
        <v>57</v>
      </c>
      <c r="G8" s="55"/>
      <c r="H8" s="95" t="s">
        <v>75</v>
      </c>
      <c r="I8" s="95" t="s">
        <v>93</v>
      </c>
      <c r="J8" s="95" t="s">
        <v>64</v>
      </c>
      <c r="K8" s="95" t="s">
        <v>57</v>
      </c>
      <c r="L8" s="55"/>
    </row>
    <row r="9" spans="1:18" x14ac:dyDescent="0.2">
      <c r="A9" s="55"/>
      <c r="B9" s="55"/>
      <c r="C9" s="55"/>
      <c r="D9" s="56" t="s">
        <v>119</v>
      </c>
      <c r="E9" s="56" t="s">
        <v>120</v>
      </c>
      <c r="F9" t="s">
        <v>116</v>
      </c>
      <c r="G9" s="55"/>
      <c r="H9" s="95" t="s">
        <v>73</v>
      </c>
      <c r="I9" s="95" t="s">
        <v>54</v>
      </c>
      <c r="J9" s="95" t="s">
        <v>64</v>
      </c>
      <c r="K9" s="95" t="s">
        <v>57</v>
      </c>
      <c r="L9" s="55"/>
    </row>
    <row r="10" spans="1:18" x14ac:dyDescent="0.2">
      <c r="A10" s="55"/>
      <c r="B10" s="55"/>
      <c r="C10" s="55"/>
      <c r="D10" t="s">
        <v>117</v>
      </c>
      <c r="E10" t="s">
        <v>118</v>
      </c>
      <c r="F10" t="s">
        <v>116</v>
      </c>
      <c r="G10" s="55"/>
      <c r="H10" s="95" t="s">
        <v>74</v>
      </c>
      <c r="I10" s="95" t="s">
        <v>63</v>
      </c>
      <c r="J10" s="95" t="s">
        <v>64</v>
      </c>
      <c r="K10" s="95" t="s">
        <v>57</v>
      </c>
      <c r="L10" s="55"/>
    </row>
    <row r="11" spans="1:18" x14ac:dyDescent="0.2">
      <c r="A11" s="55"/>
      <c r="B11" s="55"/>
      <c r="D11" t="s">
        <v>115</v>
      </c>
      <c r="E11" t="s">
        <v>176</v>
      </c>
      <c r="F11" t="s">
        <v>116</v>
      </c>
      <c r="H11" s="95" t="s">
        <v>76</v>
      </c>
      <c r="I11" s="95" t="s">
        <v>61</v>
      </c>
      <c r="J11" s="95" t="s">
        <v>64</v>
      </c>
      <c r="K11" s="95" t="s">
        <v>57</v>
      </c>
    </row>
    <row r="12" spans="1:18" x14ac:dyDescent="0.2">
      <c r="A12" s="55"/>
      <c r="B12" s="55"/>
      <c r="D12" s="56" t="s">
        <v>138</v>
      </c>
      <c r="E12" s="56" t="s">
        <v>139</v>
      </c>
      <c r="F12" t="s">
        <v>135</v>
      </c>
      <c r="H12" s="95" t="s">
        <v>83</v>
      </c>
      <c r="I12" s="95" t="s">
        <v>56</v>
      </c>
      <c r="J12" s="95" t="s">
        <v>65</v>
      </c>
      <c r="K12" s="95" t="s">
        <v>57</v>
      </c>
    </row>
    <row r="13" spans="1:18" x14ac:dyDescent="0.2">
      <c r="A13" s="55"/>
      <c r="B13" s="55"/>
      <c r="D13" s="56" t="s">
        <v>134</v>
      </c>
      <c r="E13" s="56" t="s">
        <v>174</v>
      </c>
      <c r="F13" t="s">
        <v>135</v>
      </c>
      <c r="H13" s="95" t="s">
        <v>82</v>
      </c>
      <c r="I13" s="95" t="s">
        <v>96</v>
      </c>
      <c r="J13" s="95" t="s">
        <v>65</v>
      </c>
      <c r="K13" s="95" t="s">
        <v>57</v>
      </c>
    </row>
    <row r="14" spans="1:18" x14ac:dyDescent="0.2">
      <c r="A14" s="55"/>
      <c r="B14" s="55"/>
      <c r="D14" t="s">
        <v>158</v>
      </c>
      <c r="E14" t="s">
        <v>136</v>
      </c>
      <c r="F14" t="s">
        <v>135</v>
      </c>
      <c r="H14" s="95" t="s">
        <v>84</v>
      </c>
      <c r="I14" s="95" t="s">
        <v>173</v>
      </c>
      <c r="J14" s="95" t="s">
        <v>65</v>
      </c>
      <c r="K14" s="95" t="s">
        <v>57</v>
      </c>
    </row>
    <row r="15" spans="1:18" x14ac:dyDescent="0.2">
      <c r="A15" s="55"/>
      <c r="B15" s="55"/>
      <c r="H15" s="95" t="s">
        <v>85</v>
      </c>
      <c r="I15" s="95" t="s">
        <v>55</v>
      </c>
      <c r="J15" s="95" t="s">
        <v>65</v>
      </c>
      <c r="K15" s="95" t="s">
        <v>57</v>
      </c>
    </row>
    <row r="16" spans="1:18" x14ac:dyDescent="0.2">
      <c r="H16" s="95" t="s">
        <v>68</v>
      </c>
      <c r="I16" s="95" t="s">
        <v>98</v>
      </c>
      <c r="J16" s="95" t="s">
        <v>65</v>
      </c>
      <c r="K16" s="95" t="s">
        <v>57</v>
      </c>
    </row>
    <row r="17" spans="8:11" x14ac:dyDescent="0.2">
      <c r="H17" s="95" t="s">
        <v>80</v>
      </c>
      <c r="I17" s="95" t="s">
        <v>58</v>
      </c>
      <c r="J17" s="95" t="s">
        <v>59</v>
      </c>
      <c r="K17" s="95" t="s">
        <v>57</v>
      </c>
    </row>
    <row r="18" spans="8:11" x14ac:dyDescent="0.2">
      <c r="H18" s="95" t="s">
        <v>78</v>
      </c>
      <c r="I18" s="95" t="s">
        <v>60</v>
      </c>
      <c r="J18" s="95" t="s">
        <v>59</v>
      </c>
      <c r="K18" s="95" t="s">
        <v>57</v>
      </c>
    </row>
    <row r="19" spans="8:11" x14ac:dyDescent="0.2">
      <c r="H19" s="95" t="s">
        <v>67</v>
      </c>
      <c r="I19" s="95" t="s">
        <v>99</v>
      </c>
      <c r="J19" s="95" t="s">
        <v>59</v>
      </c>
      <c r="K19" s="95" t="s">
        <v>57</v>
      </c>
    </row>
    <row r="20" spans="8:11" x14ac:dyDescent="0.2">
      <c r="H20" s="95" t="s">
        <v>81</v>
      </c>
      <c r="I20" s="95" t="s">
        <v>94</v>
      </c>
      <c r="J20" s="95" t="s">
        <v>59</v>
      </c>
      <c r="K20" s="95" t="s">
        <v>57</v>
      </c>
    </row>
    <row r="21" spans="8:11" x14ac:dyDescent="0.2">
      <c r="H21" s="95" t="s">
        <v>79</v>
      </c>
      <c r="I21" s="95" t="s">
        <v>95</v>
      </c>
      <c r="J21" s="95" t="s">
        <v>59</v>
      </c>
      <c r="K21" s="95" t="s">
        <v>57</v>
      </c>
    </row>
    <row r="22" spans="8:11" x14ac:dyDescent="0.2">
      <c r="H22" s="95" t="s">
        <v>77</v>
      </c>
      <c r="I22" s="95" t="s">
        <v>91</v>
      </c>
      <c r="J22" s="95" t="s">
        <v>90</v>
      </c>
      <c r="K22" s="95" t="s">
        <v>57</v>
      </c>
    </row>
    <row r="23" spans="8:11" x14ac:dyDescent="0.2">
      <c r="H23" s="95" t="s">
        <v>70</v>
      </c>
      <c r="I23" s="95" t="s">
        <v>100</v>
      </c>
      <c r="J23" s="95" t="s">
        <v>90</v>
      </c>
      <c r="K23" s="95" t="s">
        <v>57</v>
      </c>
    </row>
    <row r="24" spans="8:11" x14ac:dyDescent="0.2">
      <c r="H24" s="95" t="s">
        <v>128</v>
      </c>
      <c r="I24" s="95" t="s">
        <v>177</v>
      </c>
      <c r="J24" s="95" t="s">
        <v>120</v>
      </c>
      <c r="K24" s="95" t="s">
        <v>116</v>
      </c>
    </row>
    <row r="25" spans="8:11" x14ac:dyDescent="0.2">
      <c r="H25" s="95" t="s">
        <v>130</v>
      </c>
      <c r="I25" s="95" t="s">
        <v>133</v>
      </c>
      <c r="J25" s="95" t="s">
        <v>120</v>
      </c>
      <c r="K25" s="95" t="s">
        <v>116</v>
      </c>
    </row>
    <row r="26" spans="8:11" x14ac:dyDescent="0.2">
      <c r="H26" s="95" t="s">
        <v>129</v>
      </c>
      <c r="I26" s="95" t="s">
        <v>180</v>
      </c>
      <c r="J26" s="95" t="s">
        <v>120</v>
      </c>
      <c r="K26" s="95" t="s">
        <v>116</v>
      </c>
    </row>
    <row r="27" spans="8:11" x14ac:dyDescent="0.2">
      <c r="H27" s="95" t="s">
        <v>119</v>
      </c>
      <c r="I27" s="95" t="s">
        <v>122</v>
      </c>
      <c r="J27" s="95" t="s">
        <v>120</v>
      </c>
      <c r="K27" s="95" t="s">
        <v>116</v>
      </c>
    </row>
    <row r="28" spans="8:11" x14ac:dyDescent="0.2">
      <c r="H28" s="95" t="s">
        <v>131</v>
      </c>
      <c r="I28" s="95" t="s">
        <v>132</v>
      </c>
      <c r="J28" s="95" t="s">
        <v>120</v>
      </c>
      <c r="K28" s="95" t="s">
        <v>116</v>
      </c>
    </row>
    <row r="29" spans="8:11" x14ac:dyDescent="0.2">
      <c r="H29" s="95" t="s">
        <v>126</v>
      </c>
      <c r="I29" s="95" t="s">
        <v>113</v>
      </c>
      <c r="J29" s="95" t="s">
        <v>118</v>
      </c>
      <c r="K29" s="95" t="s">
        <v>116</v>
      </c>
    </row>
    <row r="30" spans="8:11" x14ac:dyDescent="0.2">
      <c r="H30" s="95" t="s">
        <v>127</v>
      </c>
      <c r="I30" s="95" t="s">
        <v>114</v>
      </c>
      <c r="J30" s="95" t="s">
        <v>118</v>
      </c>
      <c r="K30" s="95" t="s">
        <v>116</v>
      </c>
    </row>
    <row r="31" spans="8:11" x14ac:dyDescent="0.2">
      <c r="H31" s="95" t="s">
        <v>124</v>
      </c>
      <c r="I31" s="95" t="s">
        <v>111</v>
      </c>
      <c r="J31" s="95" t="s">
        <v>118</v>
      </c>
      <c r="K31" s="95" t="s">
        <v>116</v>
      </c>
    </row>
    <row r="32" spans="8:11" x14ac:dyDescent="0.2">
      <c r="H32" s="95" t="s">
        <v>125</v>
      </c>
      <c r="I32" s="95" t="s">
        <v>112</v>
      </c>
      <c r="J32" s="95" t="s">
        <v>118</v>
      </c>
      <c r="K32" s="95" t="s">
        <v>116</v>
      </c>
    </row>
    <row r="33" spans="8:11" x14ac:dyDescent="0.2">
      <c r="H33" s="95" t="s">
        <v>117</v>
      </c>
      <c r="I33" s="95" t="s">
        <v>121</v>
      </c>
      <c r="J33" s="95" t="s">
        <v>118</v>
      </c>
      <c r="K33" s="95" t="s">
        <v>116</v>
      </c>
    </row>
    <row r="34" spans="8:11" x14ac:dyDescent="0.2">
      <c r="H34" s="95" t="s">
        <v>181</v>
      </c>
      <c r="I34" s="95" t="s">
        <v>179</v>
      </c>
      <c r="J34" s="95" t="s">
        <v>120</v>
      </c>
      <c r="K34" s="95" t="s">
        <v>116</v>
      </c>
    </row>
    <row r="35" spans="8:11" x14ac:dyDescent="0.2">
      <c r="H35" s="95" t="s">
        <v>178</v>
      </c>
      <c r="I35" s="95" t="s">
        <v>178</v>
      </c>
      <c r="J35" s="95" t="s">
        <v>120</v>
      </c>
      <c r="K35" s="95" t="s">
        <v>116</v>
      </c>
    </row>
    <row r="36" spans="8:11" x14ac:dyDescent="0.2">
      <c r="H36" s="95" t="s">
        <v>115</v>
      </c>
      <c r="I36" s="95" t="s">
        <v>123</v>
      </c>
      <c r="J36" s="95" t="s">
        <v>176</v>
      </c>
      <c r="K36" s="95" t="s">
        <v>116</v>
      </c>
    </row>
    <row r="37" spans="8:11" x14ac:dyDescent="0.2">
      <c r="H37" s="95" t="s">
        <v>167</v>
      </c>
      <c r="I37" s="95" t="s">
        <v>148</v>
      </c>
      <c r="J37" s="95" t="s">
        <v>139</v>
      </c>
      <c r="K37" s="95" t="s">
        <v>135</v>
      </c>
    </row>
    <row r="38" spans="8:11" x14ac:dyDescent="0.2">
      <c r="H38" s="95" t="s">
        <v>169</v>
      </c>
      <c r="I38" s="95" t="s">
        <v>156</v>
      </c>
      <c r="J38" s="95" t="s">
        <v>139</v>
      </c>
      <c r="K38" s="95" t="s">
        <v>135</v>
      </c>
    </row>
    <row r="39" spans="8:11" x14ac:dyDescent="0.2">
      <c r="H39" s="95" t="s">
        <v>138</v>
      </c>
      <c r="I39" s="95" t="s">
        <v>142</v>
      </c>
      <c r="J39" s="95" t="s">
        <v>139</v>
      </c>
      <c r="K39" s="95" t="s">
        <v>135</v>
      </c>
    </row>
    <row r="40" spans="8:11" x14ac:dyDescent="0.2">
      <c r="H40" s="95" t="s">
        <v>171</v>
      </c>
      <c r="I40" s="95" t="s">
        <v>151</v>
      </c>
      <c r="J40" s="95" t="s">
        <v>139</v>
      </c>
      <c r="K40" s="95" t="s">
        <v>135</v>
      </c>
    </row>
    <row r="41" spans="8:11" x14ac:dyDescent="0.2">
      <c r="H41" s="95" t="s">
        <v>170</v>
      </c>
      <c r="I41" s="95" t="s">
        <v>150</v>
      </c>
      <c r="J41" s="95" t="s">
        <v>139</v>
      </c>
      <c r="K41" s="95" t="s">
        <v>135</v>
      </c>
    </row>
    <row r="42" spans="8:11" x14ac:dyDescent="0.2">
      <c r="H42" s="95" t="s">
        <v>168</v>
      </c>
      <c r="I42" s="95" t="s">
        <v>149</v>
      </c>
      <c r="J42" s="95" t="s">
        <v>139</v>
      </c>
      <c r="K42" s="95" t="s">
        <v>135</v>
      </c>
    </row>
    <row r="43" spans="8:11" x14ac:dyDescent="0.2">
      <c r="H43" s="95" t="s">
        <v>152</v>
      </c>
      <c r="I43" s="95" t="s">
        <v>153</v>
      </c>
      <c r="J43" s="95" t="s">
        <v>139</v>
      </c>
      <c r="K43" s="95" t="s">
        <v>135</v>
      </c>
    </row>
    <row r="44" spans="8:11" x14ac:dyDescent="0.2">
      <c r="H44" s="95" t="s">
        <v>172</v>
      </c>
      <c r="I44" s="95" t="s">
        <v>157</v>
      </c>
      <c r="J44" s="95" t="s">
        <v>139</v>
      </c>
      <c r="K44" s="95" t="s">
        <v>135</v>
      </c>
    </row>
    <row r="45" spans="8:11" x14ac:dyDescent="0.2">
      <c r="H45" s="95" t="s">
        <v>134</v>
      </c>
      <c r="I45" s="95" t="s">
        <v>140</v>
      </c>
      <c r="J45" s="95" t="s">
        <v>174</v>
      </c>
      <c r="K45" s="95" t="s">
        <v>135</v>
      </c>
    </row>
    <row r="46" spans="8:11" x14ac:dyDescent="0.2">
      <c r="H46" s="95" t="s">
        <v>147</v>
      </c>
      <c r="I46" s="95" t="s">
        <v>147</v>
      </c>
      <c r="J46" s="95" t="s">
        <v>136</v>
      </c>
      <c r="K46" s="95" t="s">
        <v>135</v>
      </c>
    </row>
    <row r="47" spans="8:11" x14ac:dyDescent="0.2">
      <c r="H47" s="95" t="s">
        <v>159</v>
      </c>
      <c r="I47" s="95" t="s">
        <v>160</v>
      </c>
      <c r="J47" s="95" t="s">
        <v>136</v>
      </c>
      <c r="K47" s="95" t="s">
        <v>135</v>
      </c>
    </row>
    <row r="48" spans="8:11" x14ac:dyDescent="0.2">
      <c r="H48" s="95" t="s">
        <v>162</v>
      </c>
      <c r="I48" s="95" t="s">
        <v>155</v>
      </c>
      <c r="J48" s="95" t="s">
        <v>136</v>
      </c>
      <c r="K48" s="95" t="s">
        <v>135</v>
      </c>
    </row>
    <row r="49" spans="8:11" x14ac:dyDescent="0.2">
      <c r="H49" s="95" t="s">
        <v>164</v>
      </c>
      <c r="I49" s="95" t="s">
        <v>146</v>
      </c>
      <c r="J49" s="95" t="s">
        <v>136</v>
      </c>
      <c r="K49" s="95" t="s">
        <v>135</v>
      </c>
    </row>
    <row r="50" spans="8:11" x14ac:dyDescent="0.2">
      <c r="H50" s="95" t="s">
        <v>163</v>
      </c>
      <c r="I50" s="95" t="s">
        <v>145</v>
      </c>
      <c r="J50" s="95" t="s">
        <v>136</v>
      </c>
      <c r="K50" s="95" t="s">
        <v>135</v>
      </c>
    </row>
    <row r="51" spans="8:11" x14ac:dyDescent="0.2">
      <c r="H51" s="95" t="s">
        <v>161</v>
      </c>
      <c r="I51" s="95" t="s">
        <v>144</v>
      </c>
      <c r="J51" s="95" t="s">
        <v>136</v>
      </c>
      <c r="K51" s="95" t="s">
        <v>135</v>
      </c>
    </row>
    <row r="52" spans="8:11" x14ac:dyDescent="0.2">
      <c r="H52" s="95" t="s">
        <v>165</v>
      </c>
      <c r="I52" s="95" t="s">
        <v>166</v>
      </c>
      <c r="J52" s="95" t="s">
        <v>136</v>
      </c>
      <c r="K52" s="95" t="s">
        <v>135</v>
      </c>
    </row>
    <row r="53" spans="8:11" x14ac:dyDescent="0.2">
      <c r="H53" s="95" t="s">
        <v>143</v>
      </c>
      <c r="I53" s="95" t="s">
        <v>143</v>
      </c>
      <c r="J53" s="95" t="s">
        <v>136</v>
      </c>
      <c r="K53" s="95" t="s">
        <v>135</v>
      </c>
    </row>
    <row r="54" spans="8:11" x14ac:dyDescent="0.2">
      <c r="H54" s="95" t="s">
        <v>158</v>
      </c>
      <c r="I54" s="95" t="s">
        <v>141</v>
      </c>
      <c r="J54" s="95" t="s">
        <v>136</v>
      </c>
      <c r="K54" s="95" t="s">
        <v>135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conditionalFormatting sqref="I4:I54">
    <cfRule type="duplicateValues" dxfId="116" priority="1029"/>
  </conditionalFormatting>
  <dataValidations count="7">
    <dataValidation type="list" allowBlank="1" showInputMessage="1" showErrorMessage="1" sqref="F4:F14 K4:K54" xr:uid="{782D795E-2BAC-487C-9A7E-2ACC2252D51E}">
      <formula1>Alias_Gerentes</formula1>
    </dataValidation>
    <dataValidation type="list" allowBlank="1" showInputMessage="1" showErrorMessage="1" sqref="J7:J54" xr:uid="{8286D5F4-693B-47AA-AB0B-AEA73A2B0A7B}">
      <formula1>Alias_Coordinadores</formula1>
    </dataValidation>
    <dataValidation type="list" allowBlank="1" showInputMessage="1" showErrorMessage="1" sqref="AO7" xr:uid="{70715728-F501-6741-A430-F187EF24D07D}">
      <formula1>"EVELYN VELAZQUEZ,FRIDA RIVERA,MICHELLE APARICIO (P),MINA APARICIO,YADIRA VEGA"</formula1>
    </dataValidation>
    <dataValidation type="list" allowBlank="1" showInputMessage="1" showErrorMessage="1" sqref="AO8" xr:uid="{5FF3874C-7C79-4B4E-B4F9-247C2DD77AB1}">
      <formula1>"JOSE FERNÁNDEZ,YANELY HERNADEZ (P)"</formula1>
    </dataValidation>
    <dataValidation type="list" allowBlank="1" showInputMessage="1" showErrorMessage="1" sqref="AO4" xr:uid="{79C84C9E-5DA8-5240-9904-F9625BB4C96D}">
      <formula1>"EUNICE MORALES,FATIMA HERNANDEZ,LIZBETH MORALES,MARIANA PACHECO (P),MIGUEL RODRIGUEZ,PEDRO GUTIERREZ,YANISSE TORRES"</formula1>
    </dataValidation>
    <dataValidation type="list" allowBlank="1" showInputMessage="1" showErrorMessage="1" sqref="AO5" xr:uid="{FC9E3F29-128C-4B46-98C5-14A550C26138}">
      <formula1>"DAMIAN BRAVO,EFRAIN CORTES,ENRIQUE OJEDA,HUGO PACHECO,OLIVIA PACHECO (P)"</formula1>
    </dataValidation>
    <dataValidation type="list" allowBlank="1" showInputMessage="1" showErrorMessage="1" sqref="AO6" xr:uid="{F370E02C-1FF0-1546-9C28-EFD72DC66F9A}">
      <formula1>"PEDRO MORA (P)"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3688-E5DE-7C4D-8D51-D75859389102}">
  <sheetPr codeName="Sheet5">
    <tabColor rgb="FF7030A0"/>
  </sheetPr>
  <dimension ref="A1:L26"/>
  <sheetViews>
    <sheetView workbookViewId="0">
      <selection activeCell="B41" sqref="B41"/>
    </sheetView>
  </sheetViews>
  <sheetFormatPr baseColWidth="10" defaultColWidth="8.83203125" defaultRowHeight="15" x14ac:dyDescent="0.2"/>
  <cols>
    <col min="1" max="1" width="19.5" bestFit="1" customWidth="1"/>
    <col min="2" max="2" width="38.1640625" bestFit="1" customWidth="1"/>
    <col min="3" max="3" width="3.33203125" customWidth="1"/>
    <col min="4" max="4" width="38.1640625" bestFit="1" customWidth="1"/>
  </cols>
  <sheetData>
    <row r="1" spans="1:4" ht="21" thickBot="1" x14ac:dyDescent="0.3">
      <c r="A1" s="58" t="s">
        <v>238</v>
      </c>
      <c r="B1" s="58"/>
      <c r="D1" s="58" t="s">
        <v>237</v>
      </c>
    </row>
    <row r="2" spans="1:4" ht="21" thickTop="1" x14ac:dyDescent="0.25">
      <c r="A2" s="60"/>
    </row>
    <row r="3" spans="1:4" ht="16" thickBot="1" x14ac:dyDescent="0.25">
      <c r="A3" t="s">
        <v>86</v>
      </c>
      <c r="B3" t="s">
        <v>30</v>
      </c>
      <c r="D3" s="119" t="s">
        <v>30</v>
      </c>
    </row>
    <row r="4" spans="1:4" x14ac:dyDescent="0.2">
      <c r="A4" t="s">
        <v>36</v>
      </c>
      <c r="B4" t="s">
        <v>234</v>
      </c>
      <c r="D4" t="s">
        <v>220</v>
      </c>
    </row>
    <row r="5" spans="1:4" x14ac:dyDescent="0.2">
      <c r="A5" t="s">
        <v>236</v>
      </c>
      <c r="B5" t="s">
        <v>193</v>
      </c>
      <c r="D5" t="s">
        <v>226</v>
      </c>
    </row>
    <row r="6" spans="1:4" x14ac:dyDescent="0.2">
      <c r="A6" t="s">
        <v>235</v>
      </c>
      <c r="B6" t="s">
        <v>226</v>
      </c>
      <c r="D6" t="s">
        <v>234</v>
      </c>
    </row>
    <row r="7" spans="1:4" x14ac:dyDescent="0.2">
      <c r="A7" t="s">
        <v>233</v>
      </c>
      <c r="B7" t="s">
        <v>226</v>
      </c>
      <c r="D7" t="s">
        <v>229</v>
      </c>
    </row>
    <row r="8" spans="1:4" x14ac:dyDescent="0.2">
      <c r="A8" t="s">
        <v>232</v>
      </c>
      <c r="B8" t="s">
        <v>222</v>
      </c>
      <c r="D8" t="s">
        <v>193</v>
      </c>
    </row>
    <row r="9" spans="1:4" x14ac:dyDescent="0.2">
      <c r="A9" t="s">
        <v>231</v>
      </c>
      <c r="B9" t="s">
        <v>226</v>
      </c>
      <c r="D9" t="s">
        <v>222</v>
      </c>
    </row>
    <row r="10" spans="1:4" ht="16" x14ac:dyDescent="0.2">
      <c r="A10" t="s">
        <v>230</v>
      </c>
      <c r="B10" t="s">
        <v>229</v>
      </c>
      <c r="D10" s="28"/>
    </row>
    <row r="11" spans="1:4" ht="16" x14ac:dyDescent="0.2">
      <c r="A11" t="s">
        <v>228</v>
      </c>
      <c r="B11" t="s">
        <v>193</v>
      </c>
      <c r="D11" s="13"/>
    </row>
    <row r="12" spans="1:4" ht="16" x14ac:dyDescent="0.2">
      <c r="A12" t="s">
        <v>227</v>
      </c>
      <c r="B12" t="s">
        <v>226</v>
      </c>
      <c r="D12" s="13"/>
    </row>
    <row r="13" spans="1:4" ht="16" x14ac:dyDescent="0.2">
      <c r="A13" t="s">
        <v>225</v>
      </c>
      <c r="B13" t="s">
        <v>222</v>
      </c>
      <c r="D13" s="13"/>
    </row>
    <row r="14" spans="1:4" ht="16" x14ac:dyDescent="0.2">
      <c r="A14" t="s">
        <v>224</v>
      </c>
      <c r="B14" t="s">
        <v>222</v>
      </c>
      <c r="D14" s="13"/>
    </row>
    <row r="15" spans="1:4" ht="16" x14ac:dyDescent="0.2">
      <c r="A15" t="s">
        <v>223</v>
      </c>
      <c r="B15" t="s">
        <v>222</v>
      </c>
      <c r="D15" s="13"/>
    </row>
    <row r="16" spans="1:4" x14ac:dyDescent="0.2">
      <c r="A16" t="s">
        <v>221</v>
      </c>
      <c r="B16" t="s">
        <v>220</v>
      </c>
    </row>
    <row r="17" spans="1:12" ht="16" x14ac:dyDescent="0.2">
      <c r="A17" s="13"/>
      <c r="B17" s="13"/>
      <c r="C17" s="29"/>
      <c r="E17" s="26"/>
      <c r="F17" s="26"/>
      <c r="G17" s="13"/>
      <c r="H17" s="13"/>
      <c r="I17" s="13"/>
      <c r="J17" s="13"/>
      <c r="K17" s="13"/>
      <c r="L17" s="13"/>
    </row>
    <row r="18" spans="1:12" ht="16" x14ac:dyDescent="0.2">
      <c r="A18" s="13"/>
      <c r="B18" s="13"/>
      <c r="C18" s="13"/>
      <c r="E18" s="13"/>
      <c r="F18" s="13"/>
      <c r="G18" s="13"/>
      <c r="H18" s="13"/>
      <c r="I18" s="13"/>
      <c r="J18" s="13"/>
      <c r="K18" s="13"/>
      <c r="L18" s="13"/>
    </row>
    <row r="19" spans="1:12" ht="16" x14ac:dyDescent="0.2">
      <c r="A19" s="13"/>
      <c r="B19" s="13"/>
      <c r="C19" s="13"/>
      <c r="E19" s="13"/>
      <c r="F19" s="13"/>
      <c r="G19" s="13"/>
      <c r="H19" s="13"/>
      <c r="I19" s="13"/>
      <c r="J19" s="13"/>
      <c r="K19" s="13"/>
      <c r="L19" s="13"/>
    </row>
    <row r="20" spans="1:12" ht="16" x14ac:dyDescent="0.2">
      <c r="A20" s="13"/>
      <c r="B20" s="13"/>
      <c r="C20" s="13"/>
      <c r="E20" s="13"/>
      <c r="F20" s="13"/>
      <c r="G20" s="13"/>
      <c r="H20" s="13"/>
      <c r="I20" s="13"/>
      <c r="J20" s="13"/>
      <c r="K20" s="13"/>
      <c r="L20" s="13"/>
    </row>
    <row r="21" spans="1:12" ht="16" x14ac:dyDescent="0.2">
      <c r="A21" s="13"/>
      <c r="B21" s="13"/>
      <c r="C21" s="13"/>
      <c r="E21" s="13"/>
      <c r="F21" s="13"/>
      <c r="G21" s="13"/>
      <c r="H21" s="13"/>
      <c r="I21" s="13"/>
      <c r="J21" s="13"/>
      <c r="K21" s="13"/>
      <c r="L21" s="13"/>
    </row>
    <row r="22" spans="1:12" ht="16" x14ac:dyDescent="0.2">
      <c r="A22" s="13"/>
      <c r="B22" s="13"/>
      <c r="C22" s="13"/>
      <c r="E22" s="13"/>
      <c r="F22" s="13"/>
      <c r="G22" s="13"/>
      <c r="H22" s="13"/>
      <c r="I22" s="13"/>
      <c r="J22" s="13"/>
      <c r="K22" s="13"/>
      <c r="L22" s="13"/>
    </row>
    <row r="23" spans="1:12" ht="16" x14ac:dyDescent="0.2">
      <c r="J23" s="13"/>
      <c r="K23" s="13"/>
      <c r="L23" s="13"/>
    </row>
    <row r="24" spans="1:12" ht="16" x14ac:dyDescent="0.2">
      <c r="J24" s="13"/>
      <c r="K24" s="13"/>
      <c r="L24" s="13"/>
    </row>
    <row r="25" spans="1:12" ht="16" x14ac:dyDescent="0.2">
      <c r="J25" s="13"/>
      <c r="K25" s="13"/>
      <c r="L25" s="13"/>
    </row>
    <row r="26" spans="1:12" ht="16" x14ac:dyDescent="0.2">
      <c r="J26" s="13"/>
      <c r="K26" s="13"/>
      <c r="L26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506D-A04C-D249-9304-2D59B883D29B}">
  <sheetPr codeName="Sheet4">
    <tabColor rgb="FF00B0F0"/>
  </sheetPr>
  <dimension ref="A1:A27"/>
  <sheetViews>
    <sheetView workbookViewId="0">
      <selection activeCell="A4" sqref="A4:A27"/>
    </sheetView>
  </sheetViews>
  <sheetFormatPr baseColWidth="10" defaultRowHeight="15" x14ac:dyDescent="0.2"/>
  <cols>
    <col min="1" max="1" width="16.6640625" bestFit="1" customWidth="1"/>
  </cols>
  <sheetData>
    <row r="1" spans="1:1" ht="21" thickBot="1" x14ac:dyDescent="0.3">
      <c r="A1" s="58" t="s">
        <v>194</v>
      </c>
    </row>
    <row r="2" spans="1:1" ht="16" thickTop="1" x14ac:dyDescent="0.2"/>
    <row r="3" spans="1:1" x14ac:dyDescent="0.2">
      <c r="A3" t="s">
        <v>206</v>
      </c>
    </row>
    <row r="4" spans="1:1" x14ac:dyDescent="0.2">
      <c r="A4" t="s">
        <v>239</v>
      </c>
    </row>
    <row r="5" spans="1:1" x14ac:dyDescent="0.2">
      <c r="A5" t="s">
        <v>198</v>
      </c>
    </row>
    <row r="6" spans="1:1" x14ac:dyDescent="0.2">
      <c r="A6" t="s">
        <v>216</v>
      </c>
    </row>
    <row r="7" spans="1:1" x14ac:dyDescent="0.2">
      <c r="A7" t="s">
        <v>215</v>
      </c>
    </row>
    <row r="8" spans="1:1" x14ac:dyDescent="0.2">
      <c r="A8" t="s">
        <v>243</v>
      </c>
    </row>
    <row r="9" spans="1:1" x14ac:dyDescent="0.2">
      <c r="A9" t="s">
        <v>199</v>
      </c>
    </row>
    <row r="10" spans="1:1" x14ac:dyDescent="0.2">
      <c r="A10" t="s">
        <v>200</v>
      </c>
    </row>
    <row r="11" spans="1:1" x14ac:dyDescent="0.2">
      <c r="A11" t="s">
        <v>202</v>
      </c>
    </row>
    <row r="12" spans="1:1" x14ac:dyDescent="0.2">
      <c r="A12" t="s">
        <v>242</v>
      </c>
    </row>
    <row r="13" spans="1:1" x14ac:dyDescent="0.2">
      <c r="A13" t="s">
        <v>195</v>
      </c>
    </row>
    <row r="14" spans="1:1" x14ac:dyDescent="0.2">
      <c r="A14" t="s">
        <v>205</v>
      </c>
    </row>
    <row r="15" spans="1:1" x14ac:dyDescent="0.2">
      <c r="A15" t="s">
        <v>304</v>
      </c>
    </row>
    <row r="16" spans="1:1" x14ac:dyDescent="0.2">
      <c r="A16" t="s">
        <v>214</v>
      </c>
    </row>
    <row r="17" spans="1:1" x14ac:dyDescent="0.2">
      <c r="A17" t="s">
        <v>217</v>
      </c>
    </row>
    <row r="18" spans="1:1" x14ac:dyDescent="0.2">
      <c r="A18" t="s">
        <v>219</v>
      </c>
    </row>
    <row r="19" spans="1:1" x14ac:dyDescent="0.2">
      <c r="A19" t="s">
        <v>204</v>
      </c>
    </row>
    <row r="20" spans="1:1" x14ac:dyDescent="0.2">
      <c r="A20" t="s">
        <v>203</v>
      </c>
    </row>
    <row r="21" spans="1:1" x14ac:dyDescent="0.2">
      <c r="A21" t="s">
        <v>240</v>
      </c>
    </row>
    <row r="22" spans="1:1" x14ac:dyDescent="0.2">
      <c r="A22" t="s">
        <v>201</v>
      </c>
    </row>
    <row r="23" spans="1:1" x14ac:dyDescent="0.2">
      <c r="A23" t="s">
        <v>303</v>
      </c>
    </row>
    <row r="24" spans="1:1" x14ac:dyDescent="0.2">
      <c r="A24" t="s">
        <v>241</v>
      </c>
    </row>
    <row r="25" spans="1:1" x14ac:dyDescent="0.2">
      <c r="A25" t="s">
        <v>218</v>
      </c>
    </row>
    <row r="26" spans="1:1" x14ac:dyDescent="0.2">
      <c r="A26" t="s">
        <v>197</v>
      </c>
    </row>
    <row r="27" spans="1:1" x14ac:dyDescent="0.2">
      <c r="A27" t="s">
        <v>196</v>
      </c>
    </row>
  </sheetData>
  <sheetProtection formatCells="0" formatColumns="0" formatRows="0" insertColumns="0" insertRows="0" insertHyperlinks="0" deleteColumns="0" deleteRows="0" sort="0" autoFilter="0" pivotTables="0"/>
  <phoneticPr fontId="8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3E57-D7D6-0846-AB60-95D3FC77A20B}">
  <sheetPr codeName="Sheet10">
    <tabColor rgb="FF92D050"/>
  </sheetPr>
  <dimension ref="A1:O96"/>
  <sheetViews>
    <sheetView workbookViewId="0">
      <selection activeCell="F43" sqref="F43"/>
    </sheetView>
  </sheetViews>
  <sheetFormatPr baseColWidth="10" defaultRowHeight="15" x14ac:dyDescent="0.2"/>
  <cols>
    <col min="1" max="1" width="36.5" bestFit="1" customWidth="1"/>
    <col min="2" max="2" width="17.6640625" bestFit="1" customWidth="1"/>
    <col min="3" max="3" width="16.83203125" bestFit="1" customWidth="1"/>
    <col min="4" max="4" width="14.83203125" bestFit="1" customWidth="1"/>
    <col min="5" max="5" width="17.1640625" bestFit="1" customWidth="1"/>
    <col min="6" max="6" width="12.83203125" bestFit="1" customWidth="1"/>
    <col min="7" max="7" width="13.83203125" bestFit="1" customWidth="1"/>
    <col min="8" max="8" width="13.33203125" bestFit="1" customWidth="1"/>
    <col min="9" max="9" width="15.1640625" bestFit="1" customWidth="1"/>
    <col min="10" max="10" width="11.33203125" bestFit="1" customWidth="1"/>
    <col min="11" max="11" width="17.1640625" bestFit="1" customWidth="1"/>
    <col min="12" max="12" width="10" bestFit="1" customWidth="1"/>
    <col min="13" max="13" width="14" bestFit="1" customWidth="1"/>
    <col min="14" max="14" width="10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1" spans="1:15" ht="25" thickBot="1" x14ac:dyDescent="0.35">
      <c r="A1" s="115" t="s">
        <v>208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ht="16" thickTop="1" x14ac:dyDescent="0.2"/>
    <row r="3" spans="1:15" ht="20" thickBot="1" x14ac:dyDescent="0.3">
      <c r="A3" s="116" t="s">
        <v>213</v>
      </c>
    </row>
    <row r="4" spans="1:15" ht="16" thickTop="1" x14ac:dyDescent="0.2">
      <c r="B4" t="s">
        <v>116</v>
      </c>
      <c r="C4" t="s">
        <v>187</v>
      </c>
    </row>
    <row r="5" spans="1:15" x14ac:dyDescent="0.2">
      <c r="A5" t="s">
        <v>213</v>
      </c>
      <c r="B5" s="143">
        <v>61</v>
      </c>
      <c r="C5" s="143">
        <v>61</v>
      </c>
    </row>
    <row r="8" spans="1:15" ht="20" thickBot="1" x14ac:dyDescent="0.3">
      <c r="A8" s="116" t="s">
        <v>189</v>
      </c>
    </row>
    <row r="9" spans="1:15" ht="16" thickTop="1" x14ac:dyDescent="0.2">
      <c r="B9" t="s">
        <v>118</v>
      </c>
      <c r="C9" t="s">
        <v>120</v>
      </c>
      <c r="D9" t="s">
        <v>187</v>
      </c>
    </row>
    <row r="10" spans="1:15" x14ac:dyDescent="0.2">
      <c r="A10" t="s">
        <v>189</v>
      </c>
      <c r="B10" s="143">
        <v>31</v>
      </c>
      <c r="C10" s="143">
        <v>30</v>
      </c>
      <c r="D10" s="143">
        <v>61</v>
      </c>
    </row>
    <row r="13" spans="1:15" ht="20" thickBot="1" x14ac:dyDescent="0.3">
      <c r="A13" s="116" t="s">
        <v>207</v>
      </c>
    </row>
    <row r="14" spans="1:15" ht="16" thickTop="1" x14ac:dyDescent="0.2">
      <c r="B14" t="s">
        <v>133</v>
      </c>
      <c r="C14" t="s">
        <v>177</v>
      </c>
      <c r="D14" t="s">
        <v>179</v>
      </c>
      <c r="E14" t="s">
        <v>180</v>
      </c>
      <c r="F14" t="s">
        <v>112</v>
      </c>
      <c r="G14" t="s">
        <v>114</v>
      </c>
      <c r="H14" t="s">
        <v>113</v>
      </c>
      <c r="I14" t="s">
        <v>111</v>
      </c>
      <c r="J14" t="s">
        <v>187</v>
      </c>
    </row>
    <row r="15" spans="1:15" x14ac:dyDescent="0.2">
      <c r="A15" t="s">
        <v>207</v>
      </c>
      <c r="B15" s="143">
        <v>7</v>
      </c>
      <c r="C15" s="143">
        <v>15</v>
      </c>
      <c r="D15" s="143">
        <v>4</v>
      </c>
      <c r="E15" s="143">
        <v>4</v>
      </c>
      <c r="F15" s="143">
        <v>5</v>
      </c>
      <c r="G15" s="143">
        <v>11</v>
      </c>
      <c r="H15" s="143">
        <v>6</v>
      </c>
      <c r="I15" s="143">
        <v>9</v>
      </c>
      <c r="J15" s="143">
        <v>61</v>
      </c>
    </row>
    <row r="18" spans="1:14" ht="20" thickBot="1" x14ac:dyDescent="0.3">
      <c r="A18" s="116" t="s">
        <v>209</v>
      </c>
    </row>
    <row r="19" spans="1:14" ht="16" thickTop="1" x14ac:dyDescent="0.2">
      <c r="B19" t="s">
        <v>36</v>
      </c>
      <c r="C19" t="s">
        <v>187</v>
      </c>
    </row>
    <row r="20" spans="1:14" x14ac:dyDescent="0.2">
      <c r="A20" t="s">
        <v>191</v>
      </c>
      <c r="B20" s="143">
        <v>61</v>
      </c>
      <c r="C20" s="143">
        <v>61</v>
      </c>
    </row>
    <row r="23" spans="1:14" ht="20" thickBot="1" x14ac:dyDescent="0.3">
      <c r="A23" s="116" t="s">
        <v>192</v>
      </c>
    </row>
    <row r="24" spans="1:14" ht="16" thickTop="1" x14ac:dyDescent="0.2">
      <c r="B24" t="s">
        <v>195</v>
      </c>
      <c r="C24" t="s">
        <v>198</v>
      </c>
      <c r="D24" t="s">
        <v>201</v>
      </c>
      <c r="E24" t="s">
        <v>214</v>
      </c>
      <c r="F24" t="s">
        <v>215</v>
      </c>
      <c r="G24" t="s">
        <v>216</v>
      </c>
      <c r="H24" t="s">
        <v>217</v>
      </c>
      <c r="I24" t="s">
        <v>218</v>
      </c>
      <c r="J24" t="s">
        <v>219</v>
      </c>
      <c r="K24" t="s">
        <v>239</v>
      </c>
      <c r="L24" t="s">
        <v>303</v>
      </c>
      <c r="M24" t="s">
        <v>304</v>
      </c>
      <c r="N24" t="s">
        <v>187</v>
      </c>
    </row>
    <row r="25" spans="1:14" x14ac:dyDescent="0.2">
      <c r="A25" t="s">
        <v>192</v>
      </c>
      <c r="B25" s="143">
        <v>9</v>
      </c>
      <c r="C25" s="143">
        <v>3</v>
      </c>
      <c r="D25" s="143">
        <v>8</v>
      </c>
      <c r="E25" s="143">
        <v>4</v>
      </c>
      <c r="F25" s="143">
        <v>5</v>
      </c>
      <c r="G25" s="143">
        <v>16</v>
      </c>
      <c r="H25" s="143">
        <v>1</v>
      </c>
      <c r="I25" s="143">
        <v>4</v>
      </c>
      <c r="J25" s="143">
        <v>2</v>
      </c>
      <c r="K25" s="143">
        <v>5</v>
      </c>
      <c r="L25" s="143">
        <v>3</v>
      </c>
      <c r="M25" s="143">
        <v>1</v>
      </c>
      <c r="N25" s="143">
        <v>61</v>
      </c>
    </row>
    <row r="28" spans="1:14" ht="20" thickBot="1" x14ac:dyDescent="0.3">
      <c r="A28" s="116" t="s">
        <v>210</v>
      </c>
    </row>
    <row r="29" spans="1:14" ht="16" thickTop="1" x14ac:dyDescent="0.2">
      <c r="A29" s="105" t="s">
        <v>210</v>
      </c>
    </row>
    <row r="30" spans="1:14" x14ac:dyDescent="0.2">
      <c r="B30" t="s">
        <v>195</v>
      </c>
      <c r="C30" t="s">
        <v>198</v>
      </c>
      <c r="D30" t="s">
        <v>201</v>
      </c>
      <c r="E30" t="s">
        <v>214</v>
      </c>
      <c r="F30" t="s">
        <v>215</v>
      </c>
      <c r="G30" t="s">
        <v>216</v>
      </c>
      <c r="H30" t="s">
        <v>217</v>
      </c>
      <c r="I30" t="s">
        <v>218</v>
      </c>
      <c r="J30" t="s">
        <v>219</v>
      </c>
      <c r="K30" t="s">
        <v>239</v>
      </c>
      <c r="L30" t="s">
        <v>303</v>
      </c>
      <c r="M30" t="s">
        <v>304</v>
      </c>
      <c r="N30" t="s">
        <v>187</v>
      </c>
    </row>
    <row r="31" spans="1:14" x14ac:dyDescent="0.2">
      <c r="A31" s="106" t="s">
        <v>36</v>
      </c>
      <c r="B31" s="143">
        <v>9</v>
      </c>
      <c r="C31" s="143">
        <v>3</v>
      </c>
      <c r="D31" s="143">
        <v>8</v>
      </c>
      <c r="E31" s="143">
        <v>4</v>
      </c>
      <c r="F31" s="143">
        <v>5</v>
      </c>
      <c r="G31" s="143">
        <v>16</v>
      </c>
      <c r="H31" s="143">
        <v>1</v>
      </c>
      <c r="I31" s="143">
        <v>4</v>
      </c>
      <c r="J31" s="143">
        <v>2</v>
      </c>
      <c r="K31" s="143">
        <v>5</v>
      </c>
      <c r="L31" s="143">
        <v>3</v>
      </c>
      <c r="M31" s="143">
        <v>1</v>
      </c>
      <c r="N31" s="143">
        <v>61</v>
      </c>
    </row>
    <row r="32" spans="1:14" x14ac:dyDescent="0.2">
      <c r="A32" s="106" t="s">
        <v>187</v>
      </c>
      <c r="B32" s="143">
        <v>9</v>
      </c>
      <c r="C32" s="143">
        <v>3</v>
      </c>
      <c r="D32" s="143">
        <v>8</v>
      </c>
      <c r="E32" s="143">
        <v>4</v>
      </c>
      <c r="F32" s="143">
        <v>5</v>
      </c>
      <c r="G32" s="143">
        <v>16</v>
      </c>
      <c r="H32" s="143">
        <v>1</v>
      </c>
      <c r="I32" s="143">
        <v>4</v>
      </c>
      <c r="J32" s="143">
        <v>2</v>
      </c>
      <c r="K32" s="143">
        <v>5</v>
      </c>
      <c r="L32" s="143">
        <v>3</v>
      </c>
      <c r="M32" s="143">
        <v>1</v>
      </c>
      <c r="N32" s="143">
        <v>61</v>
      </c>
    </row>
    <row r="45" spans="1:3" ht="20" thickBot="1" x14ac:dyDescent="0.3">
      <c r="A45" s="116" t="s">
        <v>211</v>
      </c>
    </row>
    <row r="46" spans="1:3" ht="16" thickTop="1" x14ac:dyDescent="0.2">
      <c r="A46" s="105" t="s">
        <v>211</v>
      </c>
    </row>
    <row r="47" spans="1:3" x14ac:dyDescent="0.2">
      <c r="B47" t="s">
        <v>36</v>
      </c>
      <c r="C47" t="s">
        <v>187</v>
      </c>
    </row>
    <row r="48" spans="1:3" x14ac:dyDescent="0.2">
      <c r="A48" s="106" t="s">
        <v>195</v>
      </c>
      <c r="B48" s="143">
        <v>9</v>
      </c>
      <c r="C48" s="143">
        <v>9</v>
      </c>
    </row>
    <row r="49" spans="1:3" x14ac:dyDescent="0.2">
      <c r="A49" s="106" t="s">
        <v>198</v>
      </c>
      <c r="B49" s="143">
        <v>3</v>
      </c>
      <c r="C49" s="143">
        <v>3</v>
      </c>
    </row>
    <row r="50" spans="1:3" x14ac:dyDescent="0.2">
      <c r="A50" s="106" t="s">
        <v>201</v>
      </c>
      <c r="B50" s="143">
        <v>8</v>
      </c>
      <c r="C50" s="143">
        <v>8</v>
      </c>
    </row>
    <row r="51" spans="1:3" x14ac:dyDescent="0.2">
      <c r="A51" s="106" t="s">
        <v>214</v>
      </c>
      <c r="B51" s="143">
        <v>4</v>
      </c>
      <c r="C51" s="143">
        <v>4</v>
      </c>
    </row>
    <row r="52" spans="1:3" x14ac:dyDescent="0.2">
      <c r="A52" s="106" t="s">
        <v>215</v>
      </c>
      <c r="B52" s="143">
        <v>5</v>
      </c>
      <c r="C52" s="143">
        <v>5</v>
      </c>
    </row>
    <row r="53" spans="1:3" x14ac:dyDescent="0.2">
      <c r="A53" s="106" t="s">
        <v>216</v>
      </c>
      <c r="B53" s="143">
        <v>16</v>
      </c>
      <c r="C53" s="143">
        <v>16</v>
      </c>
    </row>
    <row r="54" spans="1:3" x14ac:dyDescent="0.2">
      <c r="A54" s="106" t="s">
        <v>217</v>
      </c>
      <c r="B54" s="143">
        <v>1</v>
      </c>
      <c r="C54" s="143">
        <v>1</v>
      </c>
    </row>
    <row r="55" spans="1:3" x14ac:dyDescent="0.2">
      <c r="A55" s="106" t="s">
        <v>218</v>
      </c>
      <c r="B55" s="143">
        <v>4</v>
      </c>
      <c r="C55" s="143">
        <v>4</v>
      </c>
    </row>
    <row r="56" spans="1:3" x14ac:dyDescent="0.2">
      <c r="A56" s="106" t="s">
        <v>219</v>
      </c>
      <c r="B56" s="143">
        <v>2</v>
      </c>
      <c r="C56" s="143">
        <v>2</v>
      </c>
    </row>
    <row r="57" spans="1:3" x14ac:dyDescent="0.2">
      <c r="A57" s="106" t="s">
        <v>239</v>
      </c>
      <c r="B57" s="143">
        <v>5</v>
      </c>
      <c r="C57" s="143">
        <v>5</v>
      </c>
    </row>
    <row r="58" spans="1:3" x14ac:dyDescent="0.2">
      <c r="A58" s="106" t="s">
        <v>303</v>
      </c>
      <c r="B58" s="143">
        <v>3</v>
      </c>
      <c r="C58" s="143">
        <v>3</v>
      </c>
    </row>
    <row r="59" spans="1:3" x14ac:dyDescent="0.2">
      <c r="A59" s="106" t="s">
        <v>304</v>
      </c>
      <c r="B59" s="143">
        <v>1</v>
      </c>
      <c r="C59" s="143">
        <v>1</v>
      </c>
    </row>
    <row r="60" spans="1:3" x14ac:dyDescent="0.2">
      <c r="A60" s="106" t="s">
        <v>187</v>
      </c>
      <c r="B60" s="143">
        <v>61</v>
      </c>
      <c r="C60" s="143">
        <v>61</v>
      </c>
    </row>
    <row r="70" spans="1:1" x14ac:dyDescent="0.2">
      <c r="A70" s="106"/>
    </row>
    <row r="71" spans="1:1" x14ac:dyDescent="0.2">
      <c r="A71" s="106"/>
    </row>
    <row r="72" spans="1:1" x14ac:dyDescent="0.2">
      <c r="A72" s="106"/>
    </row>
    <row r="73" spans="1:1" x14ac:dyDescent="0.2">
      <c r="A73" s="106"/>
    </row>
    <row r="74" spans="1:1" x14ac:dyDescent="0.2">
      <c r="A74" s="106"/>
    </row>
    <row r="75" spans="1:1" x14ac:dyDescent="0.2">
      <c r="A75" s="106"/>
    </row>
    <row r="76" spans="1:1" x14ac:dyDescent="0.2">
      <c r="A76" s="106"/>
    </row>
    <row r="77" spans="1:1" x14ac:dyDescent="0.2">
      <c r="A77" s="106"/>
    </row>
    <row r="78" spans="1:1" x14ac:dyDescent="0.2">
      <c r="A78" s="106"/>
    </row>
    <row r="79" spans="1:1" x14ac:dyDescent="0.2">
      <c r="A79" s="106"/>
    </row>
    <row r="80" spans="1:1" x14ac:dyDescent="0.2">
      <c r="A80" s="106"/>
    </row>
    <row r="81" spans="1:3" x14ac:dyDescent="0.2">
      <c r="A81" s="106"/>
    </row>
    <row r="82" spans="1:3" x14ac:dyDescent="0.2">
      <c r="A82" s="106"/>
    </row>
    <row r="83" spans="1:3" x14ac:dyDescent="0.2">
      <c r="A83" s="106"/>
    </row>
    <row r="84" spans="1:3" x14ac:dyDescent="0.2">
      <c r="A84" s="106"/>
    </row>
    <row r="85" spans="1:3" x14ac:dyDescent="0.2">
      <c r="A85" s="106"/>
    </row>
    <row r="86" spans="1:3" x14ac:dyDescent="0.2">
      <c r="A86" s="106"/>
    </row>
    <row r="87" spans="1:3" x14ac:dyDescent="0.2">
      <c r="A87" s="106"/>
    </row>
    <row r="88" spans="1:3" x14ac:dyDescent="0.2">
      <c r="A88" s="106"/>
    </row>
    <row r="89" spans="1:3" x14ac:dyDescent="0.2">
      <c r="A89" s="106"/>
    </row>
    <row r="91" spans="1:3" ht="20" thickBot="1" x14ac:dyDescent="0.3">
      <c r="A91" s="116" t="s">
        <v>212</v>
      </c>
    </row>
    <row r="92" spans="1:3" ht="16" thickTop="1" x14ac:dyDescent="0.2">
      <c r="A92" s="105" t="s">
        <v>190</v>
      </c>
    </row>
    <row r="93" spans="1:3" x14ac:dyDescent="0.2">
      <c r="B93" t="s">
        <v>36</v>
      </c>
      <c r="C93" t="s">
        <v>187</v>
      </c>
    </row>
    <row r="94" spans="1:3" x14ac:dyDescent="0.2">
      <c r="A94" s="106" t="s">
        <v>118</v>
      </c>
      <c r="B94" s="143">
        <v>31</v>
      </c>
      <c r="C94" s="143">
        <v>31</v>
      </c>
    </row>
    <row r="95" spans="1:3" x14ac:dyDescent="0.2">
      <c r="A95" s="106" t="s">
        <v>120</v>
      </c>
      <c r="B95" s="143">
        <v>30</v>
      </c>
      <c r="C95" s="143">
        <v>30</v>
      </c>
    </row>
    <row r="96" spans="1:3" x14ac:dyDescent="0.2">
      <c r="A96" s="106" t="s">
        <v>187</v>
      </c>
      <c r="B96" s="143">
        <v>61</v>
      </c>
      <c r="C96" s="143">
        <v>61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B75DA-0C51-CE46-B65B-8D53D1DA2962}">
  <sheetPr codeName="Sheet8">
    <tabColor rgb="FFCC99FF"/>
  </sheetPr>
  <dimension ref="F219"/>
  <sheetViews>
    <sheetView tabSelected="1" topLeftCell="D1" zoomScaleNormal="100" zoomScaleSheetLayoutView="100" workbookViewId="0">
      <selection activeCell="AF45" sqref="AF45"/>
    </sheetView>
  </sheetViews>
  <sheetFormatPr baseColWidth="10" defaultRowHeight="15" x14ac:dyDescent="0.2"/>
  <cols>
    <col min="1" max="1" width="27.83203125" bestFit="1" customWidth="1"/>
    <col min="2" max="2" width="19.5" bestFit="1" customWidth="1"/>
    <col min="3" max="3" width="14" bestFit="1" customWidth="1"/>
    <col min="4" max="4" width="16.83203125" bestFit="1" customWidth="1"/>
    <col min="5" max="5" width="16" bestFit="1" customWidth="1"/>
    <col min="6" max="6" width="16.5" bestFit="1" customWidth="1"/>
    <col min="7" max="7" width="17.1640625" bestFit="1" customWidth="1"/>
    <col min="8" max="8" width="16.83203125" bestFit="1" customWidth="1"/>
    <col min="9" max="9" width="18.1640625" bestFit="1" customWidth="1"/>
    <col min="10" max="10" width="17.33203125" bestFit="1" customWidth="1"/>
    <col min="11" max="11" width="16.5" bestFit="1" customWidth="1"/>
    <col min="12" max="12" width="11.5" bestFit="1" customWidth="1"/>
    <col min="13" max="13" width="16.5" bestFit="1" customWidth="1"/>
    <col min="14" max="14" width="13.5" bestFit="1" customWidth="1"/>
    <col min="15" max="15" width="13.1640625" bestFit="1" customWidth="1"/>
    <col min="16" max="16" width="11.83203125" bestFit="1" customWidth="1"/>
    <col min="17" max="17" width="10" bestFit="1" customWidth="1"/>
  </cols>
  <sheetData>
    <row r="219" spans="6:6" x14ac:dyDescent="0.2">
      <c r="F219" s="113"/>
    </row>
  </sheetData>
  <pageMargins left="0.7" right="0.7" top="0.75" bottom="0.75" header="0.3" footer="0.3"/>
  <pageSetup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K29"/>
  <sheetViews>
    <sheetView workbookViewId="0">
      <selection activeCell="O6" sqref="O6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8.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5.83203125" style="13" bestFit="1" customWidth="1"/>
    <col min="8" max="8" width="12" style="13" bestFit="1" customWidth="1"/>
    <col min="9" max="9" width="30.1640625" style="19" bestFit="1" customWidth="1"/>
    <col min="10" max="10" width="17.6640625" style="13" bestFit="1" customWidth="1"/>
    <col min="11" max="11" width="21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99"/>
      <c r="C3" s="44" t="s">
        <v>29</v>
      </c>
      <c r="D3" s="100"/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37</v>
      </c>
      <c r="J4" s="72">
        <v>0</v>
      </c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7"/>
      <c r="B9" s="18"/>
      <c r="C9" s="18"/>
      <c r="D9" s="50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Tabla_Tabulador_Coordinador[],
        3,
        TRUE
    )
)</f>
        <v>0</v>
      </c>
      <c r="E9" s="18"/>
      <c r="F9" s="18"/>
      <c r="G9" s="42"/>
      <c r="H9" s="67">
        <f>IFERROR(VLOOKUP(Tabla_Coordinador[[#This Row],[CREDENCIAL]], Tabla_Gerente[[CREDENCIAL]:[PAGO]], 7, FALSE), 0)</f>
        <v>0</v>
      </c>
      <c r="I9" s="102"/>
      <c r="J9" s="19"/>
      <c r="K9" s="19"/>
    </row>
    <row r="10" spans="1:11" x14ac:dyDescent="0.2">
      <c r="A10" s="27" t="s">
        <v>39</v>
      </c>
      <c r="B10" s="14"/>
      <c r="C10" s="15"/>
      <c r="D10" s="52">
        <f>SUBTOTAL(109,Tabla_Coordinador[COMISION])</f>
        <v>0</v>
      </c>
      <c r="E10" s="14"/>
      <c r="F10" s="14"/>
      <c r="G10" s="14"/>
      <c r="H10" s="14"/>
      <c r="I10" s="16"/>
      <c r="J10" s="16"/>
      <c r="K10" s="16"/>
    </row>
    <row r="11" spans="1:11" x14ac:dyDescent="0.2">
      <c r="A11" s="27"/>
      <c r="B11" s="14"/>
      <c r="C11" s="15"/>
      <c r="D11" s="52"/>
      <c r="E11" s="14"/>
      <c r="F11" s="14"/>
      <c r="G11" s="14"/>
      <c r="H11" s="53"/>
      <c r="I11" s="16"/>
      <c r="J11" s="16"/>
      <c r="K11" s="16"/>
    </row>
    <row r="12" spans="1:11" x14ac:dyDescent="0.2">
      <c r="A12" s="27" t="s">
        <v>13</v>
      </c>
      <c r="D12" s="26">
        <f>Sueldo_Base_Coordinador</f>
        <v>500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IF(Total_Registros_Coordinador &gt;= Premios!H5,
    VLOOKUP(Total_Registros_Coordinador, Tabla_Premios_Coordinador[], 1, TRUE),
    0
)</f>
        <v>0</v>
      </c>
      <c r="C13" s="34"/>
      <c r="D13" s="36">
        <f>IF(Premio_Coordinador &gt; 0, VLOOKUP(Premio_Coordinador, Tabla_Premios_Coordinador[], 2, FALSE),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40">
        <f>_xlfn.IFNA(SUMIFS(Tabla_Descuentos[DESCUENTO], Tabla_Descuentos[COLABORADOR], Nombre_Coordinador, Tabla_Descuentos[PUESTO], Puesto_Coordinador), 0)</f>
        <v>0</v>
      </c>
      <c r="E15" s="16"/>
      <c r="F15" s="15"/>
      <c r="H15" s="15"/>
      <c r="J15" s="22"/>
      <c r="K15" s="22"/>
    </row>
    <row r="16" spans="1:11" ht="17" thickBot="1" x14ac:dyDescent="0.25">
      <c r="A16" s="37" t="s">
        <v>23</v>
      </c>
      <c r="B16" s="34"/>
      <c r="C16" s="34"/>
      <c r="D16" s="48">
        <f>(Pago_Subtotal_Coordinador * 0.05) * -1</f>
        <v>-25</v>
      </c>
      <c r="E16" s="16"/>
      <c r="F16" s="15"/>
      <c r="H16" s="15"/>
    </row>
    <row r="17" spans="1:9" ht="17" thickBot="1" x14ac:dyDescent="0.25">
      <c r="A17" s="42"/>
      <c r="C17" s="29"/>
      <c r="D17" s="28"/>
      <c r="E17" s="16"/>
      <c r="F17" s="15"/>
    </row>
    <row r="18" spans="1:9" ht="17" thickBot="1" x14ac:dyDescent="0.25">
      <c r="A18" s="37" t="s">
        <v>38</v>
      </c>
      <c r="B18" s="34"/>
      <c r="C18" s="49"/>
      <c r="D18" s="30">
        <f>Pago_Subtotal_Coordinador + Descuento_Coordinador + Deduccion_Coordinador</f>
        <v>475</v>
      </c>
      <c r="E18" s="16"/>
      <c r="F18" s="15"/>
    </row>
    <row r="19" spans="1:9" x14ac:dyDescent="0.2">
      <c r="C19" s="29"/>
      <c r="D19" s="28"/>
      <c r="E19" s="26"/>
      <c r="F19" s="26"/>
    </row>
    <row r="20" spans="1:9" x14ac:dyDescent="0.2">
      <c r="C20" s="29"/>
      <c r="D20" s="28"/>
      <c r="E20" s="26"/>
      <c r="F20" s="26"/>
      <c r="I20" s="13"/>
    </row>
    <row r="21" spans="1:9" ht="17" thickBot="1" x14ac:dyDescent="0.25">
      <c r="C21" s="37" t="s">
        <v>24</v>
      </c>
      <c r="D21" s="129" t="str" cm="1">
        <f t="array" ref="D21">NumeroATexto(Pago_Neto_Coordinador)</f>
        <v>CUATROCIENTOS SETENTA Y CINCO PESOS 00/100</v>
      </c>
      <c r="E21" s="129"/>
      <c r="F21" s="129"/>
      <c r="G21" s="129"/>
      <c r="H21" s="129"/>
      <c r="I21" s="129"/>
    </row>
    <row r="22" spans="1:9" x14ac:dyDescent="0.2">
      <c r="C22" s="27"/>
      <c r="D22" s="26"/>
      <c r="E22" s="16"/>
      <c r="F22" s="15"/>
      <c r="I22" s="13"/>
    </row>
    <row r="23" spans="1:9" x14ac:dyDescent="0.2">
      <c r="C23" s="29"/>
      <c r="D23" s="28"/>
      <c r="I23" s="13"/>
    </row>
    <row r="24" spans="1:9" ht="17" thickBot="1" x14ac:dyDescent="0.25">
      <c r="C24" s="33" t="s">
        <v>25</v>
      </c>
      <c r="D24" s="130"/>
      <c r="E24" s="130"/>
      <c r="F24" s="130"/>
      <c r="G24" s="130"/>
      <c r="H24" s="130"/>
      <c r="I24" s="130"/>
    </row>
    <row r="25" spans="1:9" x14ac:dyDescent="0.2">
      <c r="I25" s="13"/>
    </row>
    <row r="26" spans="1:9" x14ac:dyDescent="0.2">
      <c r="I26" s="13"/>
    </row>
    <row r="27" spans="1:9" x14ac:dyDescent="0.2">
      <c r="I27" s="13"/>
    </row>
    <row r="28" spans="1:9" x14ac:dyDescent="0.2">
      <c r="I28" s="13"/>
    </row>
    <row r="29" spans="1:9" x14ac:dyDescent="0.2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115" priority="8" operator="equal">
      <formula>0</formula>
    </cfRule>
    <cfRule type="cellIs" dxfId="114" priority="17" operator="equal">
      <formula>$G9=501</formula>
    </cfRule>
  </conditionalFormatting>
  <conditionalFormatting sqref="G9">
    <cfRule type="cellIs" dxfId="113" priority="2" operator="equal">
      <formula>505</formula>
    </cfRule>
    <cfRule type="cellIs" dxfId="112" priority="6" operator="equal">
      <formula>501</formula>
    </cfRule>
    <cfRule type="containsBlanks" dxfId="111" priority="9">
      <formula>LEN(TRIM(G9))=0</formula>
    </cfRule>
  </conditionalFormatting>
  <conditionalFormatting sqref="B9">
    <cfRule type="duplicateValues" dxfId="110" priority="25"/>
  </conditionalFormatting>
  <conditionalFormatting sqref="A9:K9">
    <cfRule type="expression" dxfId="109" priority="4">
      <formula>$G9 = 503</formula>
    </cfRule>
  </conditionalFormatting>
  <conditionalFormatting sqref="H9">
    <cfRule type="cellIs" dxfId="108" priority="1" stopIfTrue="1" operator="lessThan">
      <formula>299</formula>
    </cfRule>
  </conditionalFormatting>
  <dataValidations count="8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Periodo_De_Pago_Inicial_Gerente</formula1>
      <formula2>Periodo_De_Pago_Final_Gerente</formula2>
    </dataValidation>
    <dataValidation showInputMessage="1" showErrorMessage="1" sqref="A9" xr:uid="{FE1C4E0D-2F6C-482C-9073-AD83A343D7D3}"/>
    <dataValidation type="list" allowBlank="1" showInputMessage="1" showErrorMessage="1" sqref="B2:D2" xr:uid="{049684D4-0C7F-461E-B85E-1D148FAABBAD}">
      <formula1>Razones_Sociales</formula1>
    </dataValidation>
    <dataValidation type="list" allowBlank="1" showInputMessage="1" showErrorMessage="1" sqref="F9" xr:uid="{4DA2B57B-808D-5A47-A3F4-77E8618FFDA1}">
      <formula1>Cursos</formula1>
    </dataValidation>
    <dataValidation type="list" allowBlank="1" showInputMessage="1" showErrorMessage="1" sqref="J9" xr:uid="{008451E6-0AF1-470E-84DE-BA92C470A910}">
      <formula1>#REF!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A96C4622-7921-4E82-92DE-710E97186F01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I55" sqref="I54:I55"/>
    </sheetView>
  </sheetViews>
  <sheetFormatPr baseColWidth="10" defaultColWidth="14.5" defaultRowHeight="16" x14ac:dyDescent="0.2"/>
  <cols>
    <col min="1" max="1" width="24.83203125" style="13" bestFit="1" customWidth="1"/>
    <col min="2" max="2" width="17.5" style="13" bestFit="1" customWidth="1"/>
    <col min="3" max="3" width="29.1640625" style="13" bestFit="1" customWidth="1"/>
    <col min="4" max="4" width="16.5" style="13" bestFit="1" customWidth="1"/>
    <col min="5" max="5" width="14.1640625" style="13" bestFit="1" customWidth="1"/>
    <col min="6" max="6" width="12.1640625" style="13" bestFit="1" customWidth="1"/>
    <col min="7" max="7" width="12.5" style="13" bestFit="1" customWidth="1"/>
    <col min="8" max="8" width="12" style="13" bestFit="1" customWidth="1"/>
    <col min="9" max="9" width="29.5" style="13" bestFit="1" customWidth="1"/>
    <col min="10" max="10" width="17.6640625" style="13" bestFit="1" customWidth="1"/>
    <col min="11" max="11" width="21" style="13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/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/>
      <c r="C2" s="128"/>
      <c r="D2" s="128"/>
    </row>
    <row r="3" spans="1:11" ht="17" thickBot="1" x14ac:dyDescent="0.25">
      <c r="A3" s="43" t="s">
        <v>28</v>
      </c>
      <c r="B3" s="103"/>
      <c r="C3" s="44" t="s">
        <v>29</v>
      </c>
      <c r="D3" s="101"/>
      <c r="F3" s="20"/>
      <c r="G3" s="21"/>
      <c r="I3" s="14"/>
    </row>
    <row r="4" spans="1:11" ht="17" thickBot="1" x14ac:dyDescent="0.25">
      <c r="A4" s="43" t="s">
        <v>17</v>
      </c>
      <c r="B4" s="47">
        <f>COUNTIFS(Tabla_Promotor[GRUPO],"&lt;&gt;",
Tabla_Promotor[GRUPO],"&lt;&gt;503",
Tabla_Promotor[GRUPO],"&lt;&gt;500",
Tabla_Promotor[PAGO],"&gt;=299")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0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/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1">
        <f>IFERROR(VLOOKUP(Tabla_Promotor[[#This Row],[CREDENCIAL]], Tabla_Gerente[[CREDENCIAL]:[PAGO]], 7, FALSE), 0)</f>
        <v>0</v>
      </c>
      <c r="I9" s="104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29" t="str" cm="1">
        <f t="array" ref="D20">NumeroATexto(Pago_Neto_Promotor)</f>
        <v>CERO PESOS 00/100</v>
      </c>
      <c r="E20" s="129"/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0"/>
      <c r="E23" s="130"/>
      <c r="F23" s="130"/>
      <c r="G23" s="130"/>
      <c r="H23" s="130"/>
      <c r="I23" s="130"/>
    </row>
  </sheetData>
  <mergeCells count="4">
    <mergeCell ref="B1:D1"/>
    <mergeCell ref="B2:D2"/>
    <mergeCell ref="D20:I20"/>
    <mergeCell ref="D23:I23"/>
  </mergeCells>
  <phoneticPr fontId="8" type="noConversion"/>
  <conditionalFormatting sqref="D9">
    <cfRule type="expression" dxfId="106" priority="3">
      <formula>$G9=501</formula>
    </cfRule>
    <cfRule type="cellIs" dxfId="105" priority="7" operator="equal">
      <formula>0</formula>
    </cfRule>
  </conditionalFormatting>
  <conditionalFormatting sqref="G9">
    <cfRule type="cellIs" dxfId="104" priority="4" operator="equal">
      <formula>503</formula>
    </cfRule>
    <cfRule type="cellIs" dxfId="103" priority="6" operator="equal">
      <formula>501</formula>
    </cfRule>
  </conditionalFormatting>
  <conditionalFormatting sqref="B9">
    <cfRule type="duplicateValues" dxfId="102" priority="27"/>
  </conditionalFormatting>
  <conditionalFormatting sqref="H9">
    <cfRule type="cellIs" dxfId="101" priority="1" operator="lessThan">
      <formula>299</formula>
    </cfRule>
  </conditionalFormatting>
  <dataValidations disablePrompts="1" count="7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Periodo_De_Pago_Inicial_Gerente</formula1>
      <formula2>Periodo_De_Pago_Final_Gerente</formula2>
    </dataValidation>
    <dataValidation type="list" allowBlank="1" showInputMessage="1" showErrorMessage="1" sqref="B2:D2" xr:uid="{97706651-34B6-49BC-B594-2949CA82725D}">
      <formula1>Razones_Sociales</formula1>
    </dataValidation>
    <dataValidation type="list" allowBlank="1" showInputMessage="1" showErrorMessage="1" sqref="F9" xr:uid="{84323033-1B23-A047-9683-019E1F381FAA}">
      <formula1>Cursos</formula1>
    </dataValidation>
    <dataValidation type="list" allowBlank="1" showInputMessage="1" showErrorMessage="1" sqref="J9" xr:uid="{13E0698A-06B6-4332-9CB4-35D696D672A5}">
      <formula1>#REF!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2" id="{686F8BA5-6706-45E7-A1E7-986D6339DEE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P83"/>
  <sheetViews>
    <sheetView zoomScaleNormal="100" workbookViewId="0">
      <selection activeCell="A9" sqref="A9:M6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0.5" style="13" bestFit="1" customWidth="1"/>
    <col min="4" max="4" width="37.83203125" style="13" bestFit="1" customWidth="1"/>
    <col min="5" max="5" width="15.5" style="13" bestFit="1" customWidth="1"/>
    <col min="6" max="6" width="19.83203125" style="13" bestFit="1" customWidth="1"/>
    <col min="7" max="7" width="19" style="13" bestFit="1" customWidth="1"/>
    <col min="8" max="8" width="12.33203125" style="13" bestFit="1" customWidth="1"/>
    <col min="9" max="9" width="21" style="13" bestFit="1" customWidth="1"/>
    <col min="10" max="10" width="11.6640625" style="13" bestFit="1" customWidth="1"/>
    <col min="11" max="11" width="21.5" style="13" bestFit="1" customWidth="1"/>
    <col min="12" max="12" width="24.5" style="13" bestFit="1" customWidth="1"/>
    <col min="13" max="13" width="19" style="13" bestFit="1" customWidth="1"/>
    <col min="14" max="14" width="2.83203125" style="13" customWidth="1"/>
    <col min="15" max="16" width="12.5" style="13" customWidth="1"/>
    <col min="17" max="17" width="2.83203125" style="13" customWidth="1"/>
    <col min="18" max="24" width="10.6640625" style="13" customWidth="1"/>
    <col min="25" max="16384" width="14.5" style="13"/>
  </cols>
  <sheetData>
    <row r="1" spans="1:16" ht="17" thickBot="1" x14ac:dyDescent="0.25">
      <c r="A1" s="32" t="s">
        <v>27</v>
      </c>
      <c r="B1" s="131" t="s">
        <v>115</v>
      </c>
      <c r="C1" s="131"/>
      <c r="D1" s="131"/>
      <c r="F1" s="43" t="s">
        <v>103</v>
      </c>
      <c r="G1" s="45" t="s">
        <v>104</v>
      </c>
      <c r="I1" s="76" t="s">
        <v>154</v>
      </c>
      <c r="J1" s="78">
        <f>IFERROR(Total_De_La_Gerencia/Total_Registros_Gerente, 0)</f>
        <v>763.54098360655735</v>
      </c>
      <c r="O1" s="93"/>
      <c r="P1" s="93"/>
    </row>
    <row r="2" spans="1:16" ht="17" thickBot="1" x14ac:dyDescent="0.25">
      <c r="A2" s="43" t="s">
        <v>30</v>
      </c>
      <c r="B2" s="132" t="s">
        <v>193</v>
      </c>
      <c r="C2" s="132"/>
      <c r="D2" s="132"/>
      <c r="O2" s="93"/>
      <c r="P2" s="93"/>
    </row>
    <row r="3" spans="1:16" ht="17" thickBot="1" x14ac:dyDescent="0.25">
      <c r="A3" s="43" t="s">
        <v>28</v>
      </c>
      <c r="B3" s="96">
        <f>DATE(2025,1,1) + (Numero_de_semana-1)*7 - WEEKDAY(DATE(2025,1,1),2) + 4</f>
        <v>45736</v>
      </c>
      <c r="C3" s="44" t="s">
        <v>29</v>
      </c>
      <c r="D3" s="98">
        <f>DATE(2025,1,1) + (Numero_de_semana-1)*7 - WEEKDAY(DATE(2025,1,1),2) + 11</f>
        <v>45743</v>
      </c>
      <c r="F3" s="20"/>
      <c r="G3" s="21"/>
      <c r="O3" s="93"/>
      <c r="P3" s="93"/>
    </row>
    <row r="4" spans="1:16" s="21" customFormat="1" ht="18" thickBot="1" x14ac:dyDescent="0.25">
      <c r="A4" s="87" t="s">
        <v>17</v>
      </c>
      <c r="B4" s="8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61</v>
      </c>
      <c r="C4" s="88"/>
      <c r="F4" s="89"/>
      <c r="G4" s="89"/>
      <c r="H4" s="88"/>
      <c r="I4" s="90" t="s">
        <v>16</v>
      </c>
      <c r="J4" s="91">
        <v>46576</v>
      </c>
      <c r="K4" s="92"/>
      <c r="O4" s="94"/>
      <c r="P4" s="94"/>
    </row>
    <row r="5" spans="1:16" ht="17" thickBot="1" x14ac:dyDescent="0.25">
      <c r="A5" s="43" t="s">
        <v>31</v>
      </c>
      <c r="B5" s="77">
        <v>12</v>
      </c>
      <c r="C5" s="86"/>
      <c r="E5" s="18"/>
      <c r="F5" s="18" t="s">
        <v>108</v>
      </c>
      <c r="G5" s="18"/>
      <c r="H5" s="17"/>
      <c r="K5" s="23"/>
    </row>
    <row r="6" spans="1:16" ht="17" thickBot="1" x14ac:dyDescent="0.25">
      <c r="A6" s="43" t="s">
        <v>26</v>
      </c>
      <c r="B6" s="97">
        <v>45748</v>
      </c>
      <c r="C6" s="17"/>
      <c r="E6" s="18"/>
      <c r="F6" s="18"/>
      <c r="G6" s="18"/>
      <c r="H6" s="17"/>
      <c r="J6" s="23"/>
      <c r="K6" s="23"/>
    </row>
    <row r="7" spans="1:16" x14ac:dyDescent="0.2">
      <c r="E7" s="13" t="s">
        <v>108</v>
      </c>
    </row>
    <row r="8" spans="1:16" x14ac:dyDescent="0.2">
      <c r="A8" s="108" t="s">
        <v>104</v>
      </c>
      <c r="B8" s="107" t="s">
        <v>6</v>
      </c>
      <c r="C8" s="108" t="s">
        <v>18</v>
      </c>
      <c r="D8" s="108" t="s">
        <v>97</v>
      </c>
      <c r="E8" s="109" t="s">
        <v>33</v>
      </c>
      <c r="F8" s="108" t="s">
        <v>32</v>
      </c>
      <c r="G8" s="108" t="s">
        <v>52</v>
      </c>
      <c r="H8" s="108" t="s">
        <v>20</v>
      </c>
      <c r="I8" s="109" t="s">
        <v>1</v>
      </c>
      <c r="J8" s="108" t="s">
        <v>53</v>
      </c>
      <c r="K8" s="108" t="s">
        <v>7</v>
      </c>
      <c r="L8" s="108" t="s">
        <v>183</v>
      </c>
      <c r="M8" s="108" t="s">
        <v>184</v>
      </c>
    </row>
    <row r="9" spans="1:16" x14ac:dyDescent="0.2">
      <c r="A9" s="19" t="str">
        <f>VLOOKUP(Nombre_Gerente,Tabla_Gerentes[],2,FALSE)</f>
        <v>PEDRO MORA</v>
      </c>
      <c r="B9" s="120" t="s">
        <v>120</v>
      </c>
      <c r="C9" s="121">
        <v>20953</v>
      </c>
      <c r="D9" s="122" t="s">
        <v>301</v>
      </c>
      <c r="E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9" s="123" t="s">
        <v>36</v>
      </c>
      <c r="G9" s="123" t="s">
        <v>239</v>
      </c>
      <c r="H9" s="124">
        <v>9390</v>
      </c>
      <c r="I9" s="118">
        <v>300</v>
      </c>
      <c r="J9" s="125">
        <v>45741</v>
      </c>
      <c r="K9" s="123" t="s">
        <v>133</v>
      </c>
      <c r="L9" s="126"/>
      <c r="M9" s="126"/>
    </row>
    <row r="10" spans="1:16" x14ac:dyDescent="0.2">
      <c r="A10" s="19" t="str">
        <f>VLOOKUP(Nombre_Gerente,Tabla_Gerentes[],2,FALSE)</f>
        <v>PEDRO MORA</v>
      </c>
      <c r="B10" s="120" t="s">
        <v>120</v>
      </c>
      <c r="C10" s="121">
        <v>20909</v>
      </c>
      <c r="D10" s="122" t="s">
        <v>278</v>
      </c>
      <c r="E1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0" s="123" t="s">
        <v>36</v>
      </c>
      <c r="G10" s="123" t="s">
        <v>239</v>
      </c>
      <c r="H10" s="124">
        <v>9378</v>
      </c>
      <c r="I10" s="118">
        <v>350</v>
      </c>
      <c r="J10" s="125">
        <v>45737</v>
      </c>
      <c r="K10" s="123" t="s">
        <v>177</v>
      </c>
      <c r="L10" s="126"/>
      <c r="M10" s="126"/>
    </row>
    <row r="11" spans="1:16" x14ac:dyDescent="0.2">
      <c r="A11" s="19" t="str">
        <f>VLOOKUP(Nombre_Gerente,Tabla_Gerentes[],2,FALSE)</f>
        <v>PEDRO MORA</v>
      </c>
      <c r="B11" s="120" t="s">
        <v>120</v>
      </c>
      <c r="C11" s="121">
        <v>20932</v>
      </c>
      <c r="D11" s="122" t="s">
        <v>283</v>
      </c>
      <c r="E1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1" s="123" t="s">
        <v>36</v>
      </c>
      <c r="G11" s="123" t="s">
        <v>198</v>
      </c>
      <c r="H11" s="124">
        <v>9187</v>
      </c>
      <c r="I11" s="118">
        <v>399</v>
      </c>
      <c r="J11" s="125">
        <v>45738</v>
      </c>
      <c r="K11" s="123" t="s">
        <v>177</v>
      </c>
      <c r="L11" s="126"/>
      <c r="M11" s="126"/>
    </row>
    <row r="12" spans="1:16" x14ac:dyDescent="0.2">
      <c r="A12" s="19" t="str">
        <f>VLOOKUP(Nombre_Gerente,Tabla_Gerentes[],2,FALSE)</f>
        <v>PEDRO MORA</v>
      </c>
      <c r="B12" s="120" t="s">
        <v>120</v>
      </c>
      <c r="C12" s="121">
        <v>20938</v>
      </c>
      <c r="D12" s="122" t="s">
        <v>285</v>
      </c>
      <c r="E1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2" s="123" t="s">
        <v>36</v>
      </c>
      <c r="G12" s="123" t="s">
        <v>198</v>
      </c>
      <c r="H12" s="124">
        <v>9044</v>
      </c>
      <c r="I12" s="118">
        <v>349</v>
      </c>
      <c r="J12" s="125">
        <v>45740</v>
      </c>
      <c r="K12" s="123" t="s">
        <v>177</v>
      </c>
      <c r="L12" s="126"/>
      <c r="M12" s="126"/>
    </row>
    <row r="13" spans="1:16" x14ac:dyDescent="0.2">
      <c r="A13" s="19" t="str">
        <f>VLOOKUP(Nombre_Gerente,Tabla_Gerentes[],2,FALSE)</f>
        <v>PEDRO MORA</v>
      </c>
      <c r="B13" s="120" t="s">
        <v>120</v>
      </c>
      <c r="C13" s="121">
        <v>20931</v>
      </c>
      <c r="D13" s="122" t="s">
        <v>299</v>
      </c>
      <c r="E1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3" s="123" t="s">
        <v>36</v>
      </c>
      <c r="G13" s="123" t="s">
        <v>198</v>
      </c>
      <c r="H13" s="124">
        <v>9393</v>
      </c>
      <c r="I13" s="118">
        <v>400</v>
      </c>
      <c r="J13" s="125">
        <v>45740</v>
      </c>
      <c r="K13" s="123" t="s">
        <v>133</v>
      </c>
      <c r="L13" s="126"/>
      <c r="M13" s="126"/>
    </row>
    <row r="14" spans="1:16" x14ac:dyDescent="0.2">
      <c r="A14" s="19" t="str">
        <f>VLOOKUP(Nombre_Gerente,Tabla_Gerentes[],2,FALSE)</f>
        <v>PEDRO MORA</v>
      </c>
      <c r="B14" s="120" t="s">
        <v>120</v>
      </c>
      <c r="C14" s="121">
        <v>20941</v>
      </c>
      <c r="D14" s="122" t="s">
        <v>300</v>
      </c>
      <c r="E1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4" s="123" t="s">
        <v>36</v>
      </c>
      <c r="G14" s="123" t="s">
        <v>216</v>
      </c>
      <c r="H14" s="124">
        <v>9377</v>
      </c>
      <c r="I14" s="118">
        <v>300</v>
      </c>
      <c r="J14" s="125">
        <v>45740</v>
      </c>
      <c r="K14" s="123" t="s">
        <v>133</v>
      </c>
      <c r="L14" s="126"/>
      <c r="M14" s="126"/>
    </row>
    <row r="15" spans="1:16" x14ac:dyDescent="0.2">
      <c r="A15" s="19" t="str">
        <f>VLOOKUP(Nombre_Gerente,Tabla_Gerentes[],2,FALSE)</f>
        <v>PEDRO MORA</v>
      </c>
      <c r="B15" s="120" t="s">
        <v>120</v>
      </c>
      <c r="C15" s="121">
        <v>20898</v>
      </c>
      <c r="D15" s="122" t="s">
        <v>274</v>
      </c>
      <c r="E1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5" s="123" t="s">
        <v>36</v>
      </c>
      <c r="G15" s="123" t="s">
        <v>216</v>
      </c>
      <c r="H15" s="124">
        <v>9380</v>
      </c>
      <c r="I15" s="118">
        <v>399</v>
      </c>
      <c r="J15" s="125">
        <v>45736</v>
      </c>
      <c r="K15" s="123" t="s">
        <v>177</v>
      </c>
      <c r="L15" s="126"/>
      <c r="M15" s="126"/>
    </row>
    <row r="16" spans="1:16" x14ac:dyDescent="0.2">
      <c r="A16" s="19" t="str">
        <f>VLOOKUP(Nombre_Gerente,Tabla_Gerentes[],2,FALSE)</f>
        <v>PEDRO MORA</v>
      </c>
      <c r="B16" s="120" t="s">
        <v>120</v>
      </c>
      <c r="C16" s="121">
        <v>20899</v>
      </c>
      <c r="D16" s="122" t="s">
        <v>275</v>
      </c>
      <c r="E1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6" s="123" t="s">
        <v>36</v>
      </c>
      <c r="G16" s="123" t="s">
        <v>216</v>
      </c>
      <c r="H16" s="124">
        <v>9380</v>
      </c>
      <c r="I16" s="118">
        <v>399</v>
      </c>
      <c r="J16" s="125">
        <v>45736</v>
      </c>
      <c r="K16" s="123" t="s">
        <v>177</v>
      </c>
      <c r="L16" s="126"/>
      <c r="M16" s="126"/>
    </row>
    <row r="17" spans="1:13" x14ac:dyDescent="0.2">
      <c r="A17" s="19" t="str">
        <f>VLOOKUP(Nombre_Gerente,Tabla_Gerentes[],2,FALSE)</f>
        <v>PEDRO MORA</v>
      </c>
      <c r="B17" s="120" t="s">
        <v>120</v>
      </c>
      <c r="C17" s="121">
        <v>20910</v>
      </c>
      <c r="D17" s="122" t="s">
        <v>279</v>
      </c>
      <c r="E1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7" s="123" t="s">
        <v>36</v>
      </c>
      <c r="G17" s="123" t="s">
        <v>216</v>
      </c>
      <c r="H17" s="124">
        <v>9376</v>
      </c>
      <c r="I17" s="118">
        <v>349</v>
      </c>
      <c r="J17" s="125">
        <v>45737</v>
      </c>
      <c r="K17" s="123" t="s">
        <v>177</v>
      </c>
      <c r="L17" s="126"/>
      <c r="M17" s="126"/>
    </row>
    <row r="18" spans="1:13" x14ac:dyDescent="0.2">
      <c r="A18" s="19" t="str">
        <f>VLOOKUP(Nombre_Gerente,Tabla_Gerentes[],2,FALSE)</f>
        <v>PEDRO MORA</v>
      </c>
      <c r="B18" s="120" t="s">
        <v>120</v>
      </c>
      <c r="C18" s="121">
        <v>20923</v>
      </c>
      <c r="D18" s="122" t="s">
        <v>281</v>
      </c>
      <c r="E1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8" s="123" t="s">
        <v>36</v>
      </c>
      <c r="G18" s="123" t="s">
        <v>216</v>
      </c>
      <c r="H18" s="124">
        <v>9377</v>
      </c>
      <c r="I18" s="118">
        <v>399</v>
      </c>
      <c r="J18" s="125">
        <v>45738</v>
      </c>
      <c r="K18" s="123" t="s">
        <v>177</v>
      </c>
      <c r="L18" s="126"/>
      <c r="M18" s="126"/>
    </row>
    <row r="19" spans="1:13" x14ac:dyDescent="0.2">
      <c r="A19" s="19" t="str">
        <f>VLOOKUP(Nombre_Gerente,Tabla_Gerentes[],2,FALSE)</f>
        <v>PEDRO MORA</v>
      </c>
      <c r="B19" s="120" t="s">
        <v>120</v>
      </c>
      <c r="C19" s="121">
        <v>20945</v>
      </c>
      <c r="D19" s="122" t="s">
        <v>286</v>
      </c>
      <c r="E1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19" s="123" t="s">
        <v>36</v>
      </c>
      <c r="G19" s="123" t="s">
        <v>216</v>
      </c>
      <c r="H19" s="124">
        <v>9371</v>
      </c>
      <c r="I19" s="118">
        <v>399</v>
      </c>
      <c r="J19" s="125">
        <v>45740</v>
      </c>
      <c r="K19" s="123" t="s">
        <v>177</v>
      </c>
      <c r="L19" s="126"/>
      <c r="M19" s="126"/>
    </row>
    <row r="20" spans="1:13" x14ac:dyDescent="0.2">
      <c r="A20" s="19" t="str">
        <f>VLOOKUP(Nombre_Gerente,Tabla_Gerentes[],2,FALSE)</f>
        <v>PEDRO MORA</v>
      </c>
      <c r="B20" s="120" t="s">
        <v>120</v>
      </c>
      <c r="C20" s="121">
        <v>20925</v>
      </c>
      <c r="D20" s="122" t="s">
        <v>289</v>
      </c>
      <c r="E2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0" s="123" t="s">
        <v>36</v>
      </c>
      <c r="G20" s="123" t="s">
        <v>216</v>
      </c>
      <c r="H20" s="124">
        <v>9382</v>
      </c>
      <c r="I20" s="118">
        <v>700</v>
      </c>
      <c r="J20" s="125">
        <v>45736</v>
      </c>
      <c r="K20" s="123" t="s">
        <v>180</v>
      </c>
      <c r="L20" s="126"/>
      <c r="M20" s="126"/>
    </row>
    <row r="21" spans="1:13" x14ac:dyDescent="0.2">
      <c r="A21" s="19" t="str">
        <f>VLOOKUP(Nombre_Gerente,Tabla_Gerentes[],2,FALSE)</f>
        <v>PEDRO MORA</v>
      </c>
      <c r="B21" s="120" t="s">
        <v>120</v>
      </c>
      <c r="C21" s="121">
        <v>20919</v>
      </c>
      <c r="D21" s="122" t="s">
        <v>280</v>
      </c>
      <c r="E2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1" s="123" t="s">
        <v>36</v>
      </c>
      <c r="G21" s="123" t="s">
        <v>215</v>
      </c>
      <c r="H21" s="124">
        <v>9388</v>
      </c>
      <c r="I21" s="118">
        <v>399</v>
      </c>
      <c r="J21" s="125">
        <v>45737</v>
      </c>
      <c r="K21" s="123" t="s">
        <v>177</v>
      </c>
      <c r="L21" s="126"/>
      <c r="M21" s="126"/>
    </row>
    <row r="22" spans="1:13" x14ac:dyDescent="0.2">
      <c r="A22" s="19" t="str">
        <f>VLOOKUP(Nombre_Gerente,Tabla_Gerentes[],2,FALSE)</f>
        <v>PEDRO MORA</v>
      </c>
      <c r="B22" s="120" t="s">
        <v>120</v>
      </c>
      <c r="C22" s="121">
        <v>20934</v>
      </c>
      <c r="D22" s="122" t="s">
        <v>284</v>
      </c>
      <c r="E2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2" s="123" t="s">
        <v>36</v>
      </c>
      <c r="G22" s="123" t="s">
        <v>215</v>
      </c>
      <c r="H22" s="124">
        <v>9384</v>
      </c>
      <c r="I22" s="118">
        <v>399</v>
      </c>
      <c r="J22" s="125">
        <v>45739</v>
      </c>
      <c r="K22" s="123" t="s">
        <v>177</v>
      </c>
      <c r="L22" s="126"/>
      <c r="M22" s="126"/>
    </row>
    <row r="23" spans="1:13" x14ac:dyDescent="0.2">
      <c r="A23" s="19" t="str">
        <f>VLOOKUP(Nombre_Gerente,Tabla_Gerentes[],2,FALSE)</f>
        <v>PEDRO MORA</v>
      </c>
      <c r="B23" s="120" t="s">
        <v>120</v>
      </c>
      <c r="C23" s="121">
        <v>20957</v>
      </c>
      <c r="D23" s="122" t="s">
        <v>288</v>
      </c>
      <c r="E2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3" s="123" t="s">
        <v>36</v>
      </c>
      <c r="G23" s="123" t="s">
        <v>215</v>
      </c>
      <c r="H23" s="124">
        <v>9384</v>
      </c>
      <c r="I23" s="118">
        <v>299</v>
      </c>
      <c r="J23" s="125">
        <v>45741</v>
      </c>
      <c r="K23" s="123" t="s">
        <v>177</v>
      </c>
      <c r="L23" s="126"/>
      <c r="M23" s="126"/>
    </row>
    <row r="24" spans="1:13" x14ac:dyDescent="0.2">
      <c r="A24" s="19" t="str">
        <f>VLOOKUP(Nombre_Gerente,Tabla_Gerentes[],2,FALSE)</f>
        <v>PEDRO MORA</v>
      </c>
      <c r="B24" s="120" t="s">
        <v>120</v>
      </c>
      <c r="C24" s="121">
        <v>20929</v>
      </c>
      <c r="D24" s="122" t="s">
        <v>290</v>
      </c>
      <c r="E2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4" s="123" t="s">
        <v>36</v>
      </c>
      <c r="G24" s="123" t="s">
        <v>215</v>
      </c>
      <c r="H24" s="124">
        <v>9384</v>
      </c>
      <c r="I24" s="118">
        <v>349</v>
      </c>
      <c r="J24" s="125">
        <v>45736</v>
      </c>
      <c r="K24" s="123" t="s">
        <v>180</v>
      </c>
      <c r="L24" s="126"/>
      <c r="M24" s="126"/>
    </row>
    <row r="25" spans="1:13" x14ac:dyDescent="0.2">
      <c r="A25" s="19" t="str">
        <f>VLOOKUP(Nombre_Gerente,Tabla_Gerentes[],2,FALSE)</f>
        <v>PEDRO MORA</v>
      </c>
      <c r="B25" s="120" t="s">
        <v>120</v>
      </c>
      <c r="C25" s="121">
        <v>20930</v>
      </c>
      <c r="D25" s="122" t="s">
        <v>282</v>
      </c>
      <c r="E2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5" s="123" t="s">
        <v>36</v>
      </c>
      <c r="G25" s="123" t="s">
        <v>195</v>
      </c>
      <c r="H25" s="124">
        <v>9389</v>
      </c>
      <c r="I25" s="118">
        <v>399</v>
      </c>
      <c r="J25" s="125">
        <v>45738</v>
      </c>
      <c r="K25" s="123" t="s">
        <v>177</v>
      </c>
      <c r="L25" s="126"/>
      <c r="M25" s="126"/>
    </row>
    <row r="26" spans="1:13" x14ac:dyDescent="0.2">
      <c r="A26" s="19" t="str">
        <f>VLOOKUP(Nombre_Gerente,Tabla_Gerentes[],2,FALSE)</f>
        <v>PEDRO MORA</v>
      </c>
      <c r="B26" s="120" t="s">
        <v>120</v>
      </c>
      <c r="C26" s="121">
        <v>20904</v>
      </c>
      <c r="D26" s="122" t="s">
        <v>294</v>
      </c>
      <c r="E2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26" s="123" t="s">
        <v>36</v>
      </c>
      <c r="G26" s="123" t="s">
        <v>195</v>
      </c>
      <c r="H26" s="124">
        <v>9345</v>
      </c>
      <c r="I26" s="118">
        <v>500</v>
      </c>
      <c r="J26" s="125">
        <v>45737</v>
      </c>
      <c r="K26" s="123" t="s">
        <v>179</v>
      </c>
      <c r="L26" s="126"/>
      <c r="M26" s="126"/>
    </row>
    <row r="27" spans="1:13" x14ac:dyDescent="0.2">
      <c r="A27" s="19" t="str">
        <f>VLOOKUP(Nombre_Gerente,Tabla_Gerentes[],2,FALSE)</f>
        <v>PEDRO MORA</v>
      </c>
      <c r="B27" s="120" t="s">
        <v>120</v>
      </c>
      <c r="C27" s="121">
        <v>20914</v>
      </c>
      <c r="D27" s="122" t="s">
        <v>295</v>
      </c>
      <c r="E2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27" s="123" t="s">
        <v>36</v>
      </c>
      <c r="G27" s="123" t="s">
        <v>195</v>
      </c>
      <c r="H27" s="124">
        <v>501</v>
      </c>
      <c r="I27" s="118">
        <v>750</v>
      </c>
      <c r="J27" s="125">
        <v>45738</v>
      </c>
      <c r="K27" s="123" t="s">
        <v>179</v>
      </c>
      <c r="L27" s="126"/>
      <c r="M27" s="126"/>
    </row>
    <row r="28" spans="1:13" x14ac:dyDescent="0.2">
      <c r="A28" s="19" t="str">
        <f>VLOOKUP(Nombre_Gerente,Tabla_Gerentes[],2,FALSE)</f>
        <v>PEDRO MORA</v>
      </c>
      <c r="B28" s="120" t="s">
        <v>120</v>
      </c>
      <c r="C28" s="121">
        <v>20922</v>
      </c>
      <c r="D28" s="122" t="s">
        <v>296</v>
      </c>
      <c r="E2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28" s="123" t="s">
        <v>36</v>
      </c>
      <c r="G28" s="123" t="s">
        <v>195</v>
      </c>
      <c r="H28" s="124">
        <v>501</v>
      </c>
      <c r="I28" s="118">
        <v>350</v>
      </c>
      <c r="J28" s="125">
        <v>45738</v>
      </c>
      <c r="K28" s="123" t="s">
        <v>179</v>
      </c>
      <c r="L28" s="126"/>
      <c r="M28" s="126"/>
    </row>
    <row r="29" spans="1:13" x14ac:dyDescent="0.2">
      <c r="A29" s="19" t="str">
        <f>VLOOKUP(Nombre_Gerente,Tabla_Gerentes[],2,FALSE)</f>
        <v>PEDRO MORA</v>
      </c>
      <c r="B29" s="120" t="s">
        <v>120</v>
      </c>
      <c r="C29" s="121">
        <v>20905</v>
      </c>
      <c r="D29" s="122" t="s">
        <v>297</v>
      </c>
      <c r="E2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29" s="123" t="s">
        <v>36</v>
      </c>
      <c r="G29" s="123" t="s">
        <v>195</v>
      </c>
      <c r="H29" s="124">
        <v>501</v>
      </c>
      <c r="I29" s="118">
        <v>500</v>
      </c>
      <c r="J29" s="125">
        <v>45738</v>
      </c>
      <c r="K29" s="123" t="s">
        <v>133</v>
      </c>
      <c r="L29" s="126"/>
      <c r="M29" s="126"/>
    </row>
    <row r="30" spans="1:13" x14ac:dyDescent="0.2">
      <c r="A30" s="19" t="str">
        <f>VLOOKUP(Nombre_Gerente,Tabla_Gerentes[],2,FALSE)</f>
        <v>PEDRO MORA</v>
      </c>
      <c r="B30" s="120" t="s">
        <v>120</v>
      </c>
      <c r="C30" s="121">
        <v>20906</v>
      </c>
      <c r="D30" s="122" t="s">
        <v>298</v>
      </c>
      <c r="E3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30" s="123" t="s">
        <v>36</v>
      </c>
      <c r="G30" s="123" t="s">
        <v>195</v>
      </c>
      <c r="H30" s="124">
        <v>501</v>
      </c>
      <c r="I30" s="118">
        <v>349</v>
      </c>
      <c r="J30" s="125">
        <v>45739</v>
      </c>
      <c r="K30" s="123" t="s">
        <v>133</v>
      </c>
      <c r="L30" s="126"/>
      <c r="M30" s="126"/>
    </row>
    <row r="31" spans="1:13" x14ac:dyDescent="0.2">
      <c r="A31" s="19" t="str">
        <f>VLOOKUP(Nombre_Gerente,Tabla_Gerentes[],2,FALSE)</f>
        <v>PEDRO MORA</v>
      </c>
      <c r="B31" s="120" t="s">
        <v>120</v>
      </c>
      <c r="C31" s="121">
        <v>20942</v>
      </c>
      <c r="D31" s="122" t="s">
        <v>300</v>
      </c>
      <c r="E3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31" s="123" t="s">
        <v>36</v>
      </c>
      <c r="G31" s="123" t="s">
        <v>195</v>
      </c>
      <c r="H31" s="124">
        <v>501</v>
      </c>
      <c r="I31" s="118">
        <v>400</v>
      </c>
      <c r="J31" s="125">
        <v>45741</v>
      </c>
      <c r="K31" s="123" t="s">
        <v>133</v>
      </c>
      <c r="L31" s="126"/>
      <c r="M31" s="126"/>
    </row>
    <row r="32" spans="1:13" x14ac:dyDescent="0.2">
      <c r="A32" s="19" t="str">
        <f>VLOOKUP(Nombre_Gerente,Tabla_Gerentes[],2,FALSE)</f>
        <v>PEDRO MORA</v>
      </c>
      <c r="B32" s="120" t="s">
        <v>120</v>
      </c>
      <c r="C32" s="121">
        <v>20921</v>
      </c>
      <c r="D32" s="122" t="s">
        <v>302</v>
      </c>
      <c r="E3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32" s="123" t="s">
        <v>36</v>
      </c>
      <c r="G32" s="123" t="s">
        <v>195</v>
      </c>
      <c r="H32" s="124">
        <v>501</v>
      </c>
      <c r="I32" s="118">
        <v>350</v>
      </c>
      <c r="J32" s="125"/>
      <c r="K32" s="123" t="s">
        <v>133</v>
      </c>
      <c r="L32" s="126"/>
      <c r="M32" s="126"/>
    </row>
    <row r="33" spans="1:13" x14ac:dyDescent="0.2">
      <c r="A33" s="19" t="str">
        <f>VLOOKUP(Nombre_Gerente,Tabla_Gerentes[],2,FALSE)</f>
        <v>PEDRO MORA</v>
      </c>
      <c r="B33" s="120" t="s">
        <v>120</v>
      </c>
      <c r="C33" s="121">
        <v>20951</v>
      </c>
      <c r="D33" s="122" t="s">
        <v>291</v>
      </c>
      <c r="E3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33" s="123" t="s">
        <v>36</v>
      </c>
      <c r="G33" s="123" t="s">
        <v>214</v>
      </c>
      <c r="H33" s="124">
        <v>9374</v>
      </c>
      <c r="I33" s="118">
        <v>299</v>
      </c>
      <c r="J33" s="125">
        <v>45736</v>
      </c>
      <c r="K33" s="123" t="s">
        <v>180</v>
      </c>
      <c r="L33" s="126"/>
      <c r="M33" s="126"/>
    </row>
    <row r="34" spans="1:13" x14ac:dyDescent="0.2">
      <c r="A34" s="19" t="str">
        <f>VLOOKUP(Nombre_Gerente,Tabla_Gerentes[],2,FALSE)</f>
        <v>PEDRO MORA</v>
      </c>
      <c r="B34" s="120" t="s">
        <v>120</v>
      </c>
      <c r="C34" s="121">
        <v>20952</v>
      </c>
      <c r="D34" s="122" t="s">
        <v>292</v>
      </c>
      <c r="E3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34" s="123" t="s">
        <v>36</v>
      </c>
      <c r="G34" s="123" t="s">
        <v>214</v>
      </c>
      <c r="H34" s="124">
        <v>9374</v>
      </c>
      <c r="I34" s="118">
        <v>299</v>
      </c>
      <c r="J34" s="125">
        <v>45737</v>
      </c>
      <c r="K34" s="123" t="s">
        <v>180</v>
      </c>
      <c r="L34" s="126"/>
      <c r="M34" s="126"/>
    </row>
    <row r="35" spans="1:13" x14ac:dyDescent="0.2">
      <c r="A35" s="19" t="str">
        <f>VLOOKUP(Nombre_Gerente,Tabla_Gerentes[],2,FALSE)</f>
        <v>PEDRO MORA</v>
      </c>
      <c r="B35" s="120" t="s">
        <v>120</v>
      </c>
      <c r="C35" s="121">
        <v>50339</v>
      </c>
      <c r="D35" s="122" t="s">
        <v>287</v>
      </c>
      <c r="E3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35" s="123" t="s">
        <v>36</v>
      </c>
      <c r="G35" s="123" t="s">
        <v>217</v>
      </c>
      <c r="H35" s="124">
        <v>100</v>
      </c>
      <c r="I35" s="118">
        <v>700</v>
      </c>
      <c r="J35" s="125">
        <v>45741</v>
      </c>
      <c r="K35" s="123" t="s">
        <v>177</v>
      </c>
      <c r="L35" s="126"/>
      <c r="M35" s="126"/>
    </row>
    <row r="36" spans="1:13" x14ac:dyDescent="0.2">
      <c r="A36" s="19" t="str">
        <f>VLOOKUP(Nombre_Gerente,Tabla_Gerentes[],2,FALSE)</f>
        <v>PEDRO MORA</v>
      </c>
      <c r="B36" s="120" t="s">
        <v>120</v>
      </c>
      <c r="C36" s="121">
        <v>20956</v>
      </c>
      <c r="D36" s="122" t="s">
        <v>293</v>
      </c>
      <c r="E3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36" s="123" t="s">
        <v>36</v>
      </c>
      <c r="G36" s="123" t="s">
        <v>201</v>
      </c>
      <c r="H36" s="124">
        <v>501</v>
      </c>
      <c r="I36" s="118">
        <v>300</v>
      </c>
      <c r="J36" s="125">
        <v>45737</v>
      </c>
      <c r="K36" s="123" t="s">
        <v>179</v>
      </c>
      <c r="L36" s="126"/>
      <c r="M36" s="126"/>
    </row>
    <row r="37" spans="1:13" x14ac:dyDescent="0.2">
      <c r="A37" s="19" t="str">
        <f>VLOOKUP(Nombre_Gerente,Tabla_Gerentes[],2,FALSE)</f>
        <v>PEDRO MORA</v>
      </c>
      <c r="B37" s="120" t="s">
        <v>120</v>
      </c>
      <c r="C37" s="121">
        <v>20901</v>
      </c>
      <c r="D37" s="122" t="s">
        <v>276</v>
      </c>
      <c r="E3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37" s="123" t="s">
        <v>36</v>
      </c>
      <c r="G37" s="123" t="s">
        <v>219</v>
      </c>
      <c r="H37" s="124">
        <v>9391</v>
      </c>
      <c r="I37" s="118">
        <v>399</v>
      </c>
      <c r="J37" s="125">
        <v>45736</v>
      </c>
      <c r="K37" s="123" t="s">
        <v>177</v>
      </c>
      <c r="L37" s="126"/>
      <c r="M37" s="126"/>
    </row>
    <row r="38" spans="1:13" x14ac:dyDescent="0.2">
      <c r="A38" s="19" t="str">
        <f>VLOOKUP(Nombre_Gerente,Tabla_Gerentes[],2,FALSE)</f>
        <v>PEDRO MORA</v>
      </c>
      <c r="B38" s="120" t="s">
        <v>120</v>
      </c>
      <c r="C38" s="121">
        <v>20902</v>
      </c>
      <c r="D38" s="122" t="s">
        <v>277</v>
      </c>
      <c r="E3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38" s="123" t="s">
        <v>36</v>
      </c>
      <c r="G38" s="123" t="s">
        <v>219</v>
      </c>
      <c r="H38" s="124">
        <v>9391</v>
      </c>
      <c r="I38" s="118">
        <v>399</v>
      </c>
      <c r="J38" s="125">
        <v>45736</v>
      </c>
      <c r="K38" s="123" t="s">
        <v>177</v>
      </c>
      <c r="L38" s="126"/>
      <c r="M38" s="126"/>
    </row>
    <row r="39" spans="1:13" x14ac:dyDescent="0.2">
      <c r="A39" s="19" t="str">
        <f>VLOOKUP(Nombre_Gerente,Tabla_Gerentes[],2,FALSE)</f>
        <v>PEDRO MORA</v>
      </c>
      <c r="B39" s="120" t="s">
        <v>118</v>
      </c>
      <c r="C39" s="121">
        <v>20933</v>
      </c>
      <c r="D39" s="122" t="s">
        <v>258</v>
      </c>
      <c r="E3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39" s="123" t="s">
        <v>36</v>
      </c>
      <c r="G39" s="123" t="s">
        <v>239</v>
      </c>
      <c r="H39" s="124">
        <v>501</v>
      </c>
      <c r="I39" s="118">
        <v>350</v>
      </c>
      <c r="J39" s="125">
        <v>45736</v>
      </c>
      <c r="K39" s="123" t="s">
        <v>113</v>
      </c>
      <c r="L39" s="126"/>
      <c r="M39" s="126"/>
    </row>
    <row r="40" spans="1:13" x14ac:dyDescent="0.2">
      <c r="A40" s="19" t="str">
        <f>VLOOKUP(Nombre_Gerente,Tabla_Gerentes[],2,FALSE)</f>
        <v>PEDRO MORA</v>
      </c>
      <c r="B40" s="120" t="s">
        <v>118</v>
      </c>
      <c r="C40" s="121">
        <v>20896</v>
      </c>
      <c r="D40" s="122" t="s">
        <v>245</v>
      </c>
      <c r="E4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0" s="123" t="s">
        <v>36</v>
      </c>
      <c r="G40" s="123" t="s">
        <v>239</v>
      </c>
      <c r="H40" s="124">
        <v>9379</v>
      </c>
      <c r="I40" s="118">
        <v>399</v>
      </c>
      <c r="J40" s="125">
        <v>45736</v>
      </c>
      <c r="K40" s="123" t="s">
        <v>111</v>
      </c>
      <c r="L40" s="126"/>
      <c r="M40" s="126"/>
    </row>
    <row r="41" spans="1:13" x14ac:dyDescent="0.2">
      <c r="A41" s="19" t="str">
        <f>VLOOKUP(Nombre_Gerente,Tabla_Gerentes[],2,FALSE)</f>
        <v>PEDRO MORA</v>
      </c>
      <c r="B41" s="120" t="s">
        <v>118</v>
      </c>
      <c r="C41" s="121">
        <v>20939</v>
      </c>
      <c r="D41" s="122" t="s">
        <v>268</v>
      </c>
      <c r="E4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41" s="123" t="s">
        <v>36</v>
      </c>
      <c r="G41" s="123" t="s">
        <v>239</v>
      </c>
      <c r="H41" s="124">
        <v>501</v>
      </c>
      <c r="I41" s="118">
        <v>350</v>
      </c>
      <c r="J41" s="125">
        <v>45740</v>
      </c>
      <c r="K41" s="123" t="s">
        <v>114</v>
      </c>
      <c r="L41" s="126"/>
      <c r="M41" s="126"/>
    </row>
    <row r="42" spans="1:13" x14ac:dyDescent="0.2">
      <c r="A42" s="19" t="str">
        <f>VLOOKUP(Nombre_Gerente,Tabla_Gerentes[],2,FALSE)</f>
        <v>PEDRO MORA</v>
      </c>
      <c r="B42" s="120" t="s">
        <v>118</v>
      </c>
      <c r="C42" s="121">
        <v>20913</v>
      </c>
      <c r="D42" s="122" t="s">
        <v>250</v>
      </c>
      <c r="E4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2" s="123" t="s">
        <v>36</v>
      </c>
      <c r="G42" s="123" t="s">
        <v>216</v>
      </c>
      <c r="H42" s="124">
        <v>9382</v>
      </c>
      <c r="I42" s="118">
        <v>350</v>
      </c>
      <c r="J42" s="125">
        <v>45738</v>
      </c>
      <c r="K42" s="123" t="s">
        <v>111</v>
      </c>
      <c r="L42" s="126"/>
      <c r="M42" s="126"/>
    </row>
    <row r="43" spans="1:13" x14ac:dyDescent="0.2">
      <c r="A43" s="19" t="str">
        <f>VLOOKUP(Nombre_Gerente,Tabla_Gerentes[],2,FALSE)</f>
        <v>PEDRO MORA</v>
      </c>
      <c r="B43" s="120" t="s">
        <v>118</v>
      </c>
      <c r="C43" s="121">
        <v>20915</v>
      </c>
      <c r="D43" s="122" t="s">
        <v>251</v>
      </c>
      <c r="E4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3" s="123" t="s">
        <v>36</v>
      </c>
      <c r="G43" s="123" t="s">
        <v>216</v>
      </c>
      <c r="H43" s="124">
        <v>9380</v>
      </c>
      <c r="I43" s="118">
        <v>399</v>
      </c>
      <c r="J43" s="125">
        <v>45738</v>
      </c>
      <c r="K43" s="123" t="s">
        <v>111</v>
      </c>
      <c r="L43" s="126"/>
      <c r="M43" s="126"/>
    </row>
    <row r="44" spans="1:13" x14ac:dyDescent="0.2">
      <c r="A44" s="19" t="str">
        <f>VLOOKUP(Nombre_Gerente,Tabla_Gerentes[],2,FALSE)</f>
        <v>PEDRO MORA</v>
      </c>
      <c r="B44" s="120" t="s">
        <v>118</v>
      </c>
      <c r="C44" s="121">
        <v>20935</v>
      </c>
      <c r="D44" s="122" t="s">
        <v>254</v>
      </c>
      <c r="E4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4" s="123" t="s">
        <v>36</v>
      </c>
      <c r="G44" s="123" t="s">
        <v>216</v>
      </c>
      <c r="H44" s="124">
        <v>9388</v>
      </c>
      <c r="I44" s="118">
        <v>550</v>
      </c>
      <c r="J44" s="125">
        <v>45741</v>
      </c>
      <c r="K44" s="123" t="s">
        <v>112</v>
      </c>
      <c r="L44" s="126"/>
      <c r="M44" s="126"/>
    </row>
    <row r="45" spans="1:13" x14ac:dyDescent="0.2">
      <c r="A45" s="19" t="str">
        <f>VLOOKUP(Nombre_Gerente,Tabla_Gerentes[],2,FALSE)</f>
        <v>PEDRO MORA</v>
      </c>
      <c r="B45" s="120" t="s">
        <v>118</v>
      </c>
      <c r="C45" s="121">
        <v>20944</v>
      </c>
      <c r="D45" s="122" t="s">
        <v>256</v>
      </c>
      <c r="E4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5" s="123" t="s">
        <v>36</v>
      </c>
      <c r="G45" s="123" t="s">
        <v>216</v>
      </c>
      <c r="H45" s="124">
        <v>9380</v>
      </c>
      <c r="I45" s="118">
        <v>700</v>
      </c>
      <c r="J45" s="125">
        <v>45741</v>
      </c>
      <c r="K45" s="123" t="s">
        <v>112</v>
      </c>
      <c r="L45" s="126"/>
      <c r="M45" s="126"/>
    </row>
    <row r="46" spans="1:13" x14ac:dyDescent="0.2">
      <c r="A46" s="19" t="str">
        <f>VLOOKUP(Nombre_Gerente,Tabla_Gerentes[],2,FALSE)</f>
        <v>PEDRO MORA</v>
      </c>
      <c r="B46" s="120" t="s">
        <v>118</v>
      </c>
      <c r="C46" s="121">
        <v>20937</v>
      </c>
      <c r="D46" s="122" t="s">
        <v>260</v>
      </c>
      <c r="E4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6" s="123" t="s">
        <v>36</v>
      </c>
      <c r="G46" s="123" t="s">
        <v>216</v>
      </c>
      <c r="H46" s="124">
        <v>9380</v>
      </c>
      <c r="I46" s="118">
        <v>400</v>
      </c>
      <c r="J46" s="125">
        <v>45737</v>
      </c>
      <c r="K46" s="123" t="s">
        <v>113</v>
      </c>
      <c r="L46" s="126"/>
      <c r="M46" s="126"/>
    </row>
    <row r="47" spans="1:13" x14ac:dyDescent="0.2">
      <c r="A47" s="19" t="str">
        <f>VLOOKUP(Nombre_Gerente,Tabla_Gerentes[],2,FALSE)</f>
        <v>PEDRO MORA</v>
      </c>
      <c r="B47" s="120" t="s">
        <v>118</v>
      </c>
      <c r="C47" s="121">
        <v>20894</v>
      </c>
      <c r="D47" s="122" t="s">
        <v>263</v>
      </c>
      <c r="E4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7" s="123" t="s">
        <v>36</v>
      </c>
      <c r="G47" s="123" t="s">
        <v>216</v>
      </c>
      <c r="H47" s="124">
        <v>9380</v>
      </c>
      <c r="I47" s="118">
        <v>350</v>
      </c>
      <c r="J47" s="125">
        <v>45738</v>
      </c>
      <c r="K47" s="123" t="s">
        <v>114</v>
      </c>
      <c r="L47" s="126"/>
      <c r="M47" s="126"/>
    </row>
    <row r="48" spans="1:13" x14ac:dyDescent="0.2">
      <c r="A48" s="19" t="str">
        <f>VLOOKUP(Nombre_Gerente,Tabla_Gerentes[],2,FALSE)</f>
        <v>PEDRO MORA</v>
      </c>
      <c r="B48" s="120" t="s">
        <v>118</v>
      </c>
      <c r="C48" s="121">
        <v>20916</v>
      </c>
      <c r="D48" s="122" t="s">
        <v>265</v>
      </c>
      <c r="E4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8" s="123" t="s">
        <v>36</v>
      </c>
      <c r="G48" s="123" t="s">
        <v>216</v>
      </c>
      <c r="H48" s="124">
        <v>9380</v>
      </c>
      <c r="I48" s="118">
        <v>299</v>
      </c>
      <c r="J48" s="125">
        <v>45738</v>
      </c>
      <c r="K48" s="123" t="s">
        <v>114</v>
      </c>
      <c r="L48" s="126"/>
      <c r="M48" s="126"/>
    </row>
    <row r="49" spans="1:13" x14ac:dyDescent="0.2">
      <c r="A49" s="19" t="str">
        <f>VLOOKUP(Nombre_Gerente,Tabla_Gerentes[],2,FALSE)</f>
        <v>PEDRO MORA</v>
      </c>
      <c r="B49" s="120" t="s">
        <v>118</v>
      </c>
      <c r="C49" s="121">
        <v>20948</v>
      </c>
      <c r="D49" s="122" t="s">
        <v>270</v>
      </c>
      <c r="E4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49" s="123" t="s">
        <v>36</v>
      </c>
      <c r="G49" s="123" t="s">
        <v>216</v>
      </c>
      <c r="H49" s="124">
        <v>9358</v>
      </c>
      <c r="I49" s="118">
        <v>350</v>
      </c>
      <c r="J49" s="125">
        <v>45741</v>
      </c>
      <c r="K49" s="123" t="s">
        <v>114</v>
      </c>
      <c r="L49" s="126"/>
      <c r="M49" s="126"/>
    </row>
    <row r="50" spans="1:13" x14ac:dyDescent="0.2">
      <c r="A50" s="19" t="str">
        <f>VLOOKUP(Nombre_Gerente,Tabla_Gerentes[],2,FALSE)</f>
        <v>PEDRO MORA</v>
      </c>
      <c r="B50" s="120" t="s">
        <v>118</v>
      </c>
      <c r="C50" s="121">
        <v>20954</v>
      </c>
      <c r="D50" s="122" t="s">
        <v>271</v>
      </c>
      <c r="E5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0" s="123" t="s">
        <v>36</v>
      </c>
      <c r="G50" s="123" t="s">
        <v>216</v>
      </c>
      <c r="H50" s="124">
        <v>9382</v>
      </c>
      <c r="I50" s="118">
        <v>349</v>
      </c>
      <c r="J50" s="125">
        <v>45736</v>
      </c>
      <c r="K50" s="123" t="s">
        <v>114</v>
      </c>
      <c r="L50" s="126"/>
      <c r="M50" s="126"/>
    </row>
    <row r="51" spans="1:13" x14ac:dyDescent="0.2">
      <c r="A51" s="19" t="str">
        <f>VLOOKUP(Nombre_Gerente,Tabla_Gerentes[],2,FALSE)</f>
        <v>PEDRO MORA</v>
      </c>
      <c r="B51" s="120" t="s">
        <v>118</v>
      </c>
      <c r="C51" s="121">
        <v>20955</v>
      </c>
      <c r="D51" s="122" t="s">
        <v>261</v>
      </c>
      <c r="E5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1" s="123" t="s">
        <v>36</v>
      </c>
      <c r="G51" s="123" t="s">
        <v>215</v>
      </c>
      <c r="H51" s="124">
        <v>9384</v>
      </c>
      <c r="I51" s="118">
        <v>399</v>
      </c>
      <c r="J51" s="125">
        <v>45737</v>
      </c>
      <c r="K51" s="123" t="s">
        <v>113</v>
      </c>
      <c r="L51" s="126"/>
      <c r="M51" s="126"/>
    </row>
    <row r="52" spans="1:13" x14ac:dyDescent="0.2">
      <c r="A52" s="19" t="str">
        <f>VLOOKUP(Nombre_Gerente,Tabla_Gerentes[],2,FALSE)</f>
        <v>PEDRO MORA</v>
      </c>
      <c r="B52" s="120" t="s">
        <v>118</v>
      </c>
      <c r="C52" s="121">
        <v>20920</v>
      </c>
      <c r="D52" s="122" t="s">
        <v>266</v>
      </c>
      <c r="E5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2" s="123" t="s">
        <v>36</v>
      </c>
      <c r="G52" s="123" t="s">
        <v>195</v>
      </c>
      <c r="H52" s="124">
        <v>9212</v>
      </c>
      <c r="I52" s="118">
        <v>299</v>
      </c>
      <c r="J52" s="125">
        <v>45739</v>
      </c>
      <c r="K52" s="123" t="s">
        <v>114</v>
      </c>
      <c r="L52" s="126"/>
      <c r="M52" s="126"/>
    </row>
    <row r="53" spans="1:13" x14ac:dyDescent="0.2">
      <c r="A53" s="19" t="str">
        <f>VLOOKUP(Nombre_Gerente,Tabla_Gerentes[],2,FALSE)</f>
        <v>PEDRO MORA</v>
      </c>
      <c r="B53" s="120" t="s">
        <v>118</v>
      </c>
      <c r="C53" s="121">
        <v>20926</v>
      </c>
      <c r="D53" s="122" t="s">
        <v>254</v>
      </c>
      <c r="E5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3" s="123" t="s">
        <v>36</v>
      </c>
      <c r="G53" s="123" t="s">
        <v>304</v>
      </c>
      <c r="H53" s="124">
        <v>9275</v>
      </c>
      <c r="I53" s="118">
        <v>350</v>
      </c>
      <c r="J53" s="125">
        <v>45740</v>
      </c>
      <c r="K53" s="123" t="s">
        <v>112</v>
      </c>
      <c r="L53" s="126"/>
      <c r="M53" s="126"/>
    </row>
    <row r="54" spans="1:13" x14ac:dyDescent="0.2">
      <c r="A54" s="19" t="str">
        <f>VLOOKUP(Nombre_Gerente,Tabla_Gerentes[],2,FALSE)</f>
        <v>PEDRO MORA</v>
      </c>
      <c r="B54" s="120" t="s">
        <v>118</v>
      </c>
      <c r="C54" s="121">
        <v>20900</v>
      </c>
      <c r="D54" s="122" t="s">
        <v>246</v>
      </c>
      <c r="E5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4" s="123" t="s">
        <v>36</v>
      </c>
      <c r="G54" s="123" t="s">
        <v>214</v>
      </c>
      <c r="H54" s="124">
        <v>9273</v>
      </c>
      <c r="I54" s="118">
        <v>399</v>
      </c>
      <c r="J54" s="125">
        <v>45736</v>
      </c>
      <c r="K54" s="123" t="s">
        <v>111</v>
      </c>
      <c r="L54" s="126"/>
      <c r="M54" s="126"/>
    </row>
    <row r="55" spans="1:13" x14ac:dyDescent="0.2">
      <c r="A55" s="19" t="str">
        <f>VLOOKUP(Nombre_Gerente,Tabla_Gerentes[],2,FALSE)</f>
        <v>PEDRO MORA</v>
      </c>
      <c r="B55" s="120" t="s">
        <v>118</v>
      </c>
      <c r="C55" s="121">
        <v>20918</v>
      </c>
      <c r="D55" s="122" t="s">
        <v>252</v>
      </c>
      <c r="E5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5" s="123" t="s">
        <v>36</v>
      </c>
      <c r="G55" s="123" t="s">
        <v>214</v>
      </c>
      <c r="H55" s="124">
        <v>9272</v>
      </c>
      <c r="I55" s="118">
        <v>550</v>
      </c>
      <c r="J55" s="125">
        <v>45738</v>
      </c>
      <c r="K55" s="123" t="s">
        <v>111</v>
      </c>
      <c r="L55" s="126"/>
      <c r="M55" s="126"/>
    </row>
    <row r="56" spans="1:13" x14ac:dyDescent="0.2">
      <c r="A56" s="19" t="str">
        <f>VLOOKUP(Nombre_Gerente,Tabla_Gerentes[],2,FALSE)</f>
        <v>PEDRO MORA</v>
      </c>
      <c r="B56" s="120" t="s">
        <v>118</v>
      </c>
      <c r="C56" s="121">
        <v>20895</v>
      </c>
      <c r="D56" s="122" t="s">
        <v>244</v>
      </c>
      <c r="E5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6" s="123" t="s">
        <v>36</v>
      </c>
      <c r="G56" s="123" t="s">
        <v>201</v>
      </c>
      <c r="H56" s="124">
        <v>9394</v>
      </c>
      <c r="I56" s="118">
        <v>399</v>
      </c>
      <c r="J56" s="125">
        <v>45736</v>
      </c>
      <c r="K56" s="123" t="s">
        <v>111</v>
      </c>
      <c r="L56" s="126"/>
      <c r="M56" s="126"/>
    </row>
    <row r="57" spans="1:13" x14ac:dyDescent="0.2">
      <c r="A57" s="19" t="str">
        <f>VLOOKUP(Nombre_Gerente,Tabla_Gerentes[],2,FALSE)</f>
        <v>PEDRO MORA</v>
      </c>
      <c r="B57" s="120" t="s">
        <v>118</v>
      </c>
      <c r="C57" s="121">
        <v>20911</v>
      </c>
      <c r="D57" s="122" t="s">
        <v>248</v>
      </c>
      <c r="E5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7" s="123" t="s">
        <v>36</v>
      </c>
      <c r="G57" s="123" t="s">
        <v>201</v>
      </c>
      <c r="H57" s="124">
        <v>9187</v>
      </c>
      <c r="I57" s="118">
        <v>399</v>
      </c>
      <c r="J57" s="125">
        <v>45737</v>
      </c>
      <c r="K57" s="123" t="s">
        <v>111</v>
      </c>
      <c r="L57" s="126"/>
      <c r="M57" s="126"/>
    </row>
    <row r="58" spans="1:13" x14ac:dyDescent="0.2">
      <c r="A58" s="19" t="str">
        <f>VLOOKUP(Nombre_Gerente,Tabla_Gerentes[],2,FALSE)</f>
        <v>PEDRO MORA</v>
      </c>
      <c r="B58" s="120" t="s">
        <v>118</v>
      </c>
      <c r="C58" s="121">
        <v>20912</v>
      </c>
      <c r="D58" s="122" t="s">
        <v>249</v>
      </c>
      <c r="E5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8" s="123" t="s">
        <v>36</v>
      </c>
      <c r="G58" s="123" t="s">
        <v>201</v>
      </c>
      <c r="H58" s="124">
        <v>9187</v>
      </c>
      <c r="I58" s="118">
        <v>399</v>
      </c>
      <c r="J58" s="125">
        <v>45737</v>
      </c>
      <c r="K58" s="123" t="s">
        <v>111</v>
      </c>
      <c r="L58" s="126"/>
      <c r="M58" s="126"/>
    </row>
    <row r="59" spans="1:13" x14ac:dyDescent="0.2">
      <c r="A59" s="19" t="str">
        <f>VLOOKUP(Nombre_Gerente,Tabla_Gerentes[],2,FALSE)</f>
        <v>PEDRO MORA</v>
      </c>
      <c r="B59" s="120" t="s">
        <v>118</v>
      </c>
      <c r="C59" s="121">
        <v>20897</v>
      </c>
      <c r="D59" s="122" t="s">
        <v>264</v>
      </c>
      <c r="E5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59" s="123" t="s">
        <v>36</v>
      </c>
      <c r="G59" s="123" t="s">
        <v>201</v>
      </c>
      <c r="H59" s="124">
        <v>9182</v>
      </c>
      <c r="I59" s="118">
        <v>499</v>
      </c>
      <c r="J59" s="125">
        <v>45738</v>
      </c>
      <c r="K59" s="123" t="s">
        <v>114</v>
      </c>
      <c r="L59" s="126"/>
      <c r="M59" s="126"/>
    </row>
    <row r="60" spans="1:13" x14ac:dyDescent="0.2">
      <c r="A60" s="19" t="str">
        <f>VLOOKUP(Nombre_Gerente,Tabla_Gerentes[],2,FALSE)</f>
        <v>PEDRO MORA</v>
      </c>
      <c r="B60" s="120" t="s">
        <v>118</v>
      </c>
      <c r="C60" s="121">
        <v>20940</v>
      </c>
      <c r="D60" s="122" t="s">
        <v>269</v>
      </c>
      <c r="E60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60" s="123" t="s">
        <v>36</v>
      </c>
      <c r="G60" s="123" t="s">
        <v>201</v>
      </c>
      <c r="H60" s="124">
        <v>9394</v>
      </c>
      <c r="I60" s="118">
        <v>400</v>
      </c>
      <c r="J60" s="125">
        <v>45741</v>
      </c>
      <c r="K60" s="123" t="s">
        <v>114</v>
      </c>
      <c r="L60" s="126"/>
      <c r="M60" s="126"/>
    </row>
    <row r="61" spans="1:13" x14ac:dyDescent="0.2">
      <c r="A61" s="19" t="str">
        <f>VLOOKUP(Nombre_Gerente,Tabla_Gerentes[],2,FALSE)</f>
        <v>PEDRO MORA</v>
      </c>
      <c r="B61" s="120" t="s">
        <v>118</v>
      </c>
      <c r="C61" s="121">
        <v>18207</v>
      </c>
      <c r="D61" s="122" t="s">
        <v>272</v>
      </c>
      <c r="E61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61" s="123" t="s">
        <v>36</v>
      </c>
      <c r="G61" s="123" t="s">
        <v>201</v>
      </c>
      <c r="H61" s="124">
        <v>9208</v>
      </c>
      <c r="I61" s="118">
        <v>349</v>
      </c>
      <c r="J61" s="125">
        <v>45736</v>
      </c>
      <c r="K61" s="123" t="s">
        <v>114</v>
      </c>
      <c r="L61" s="126"/>
      <c r="M61" s="126"/>
    </row>
    <row r="62" spans="1:13" x14ac:dyDescent="0.2">
      <c r="A62" s="19" t="str">
        <f>VLOOKUP(Nombre_Gerente,Tabla_Gerentes[],2,FALSE)</f>
        <v>PEDRO MORA</v>
      </c>
      <c r="B62" s="120" t="s">
        <v>118</v>
      </c>
      <c r="C62" s="121">
        <v>18590</v>
      </c>
      <c r="D62" s="122" t="s">
        <v>273</v>
      </c>
      <c r="E62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62" s="123" t="s">
        <v>36</v>
      </c>
      <c r="G62" s="123" t="s">
        <v>201</v>
      </c>
      <c r="H62" s="124">
        <v>9231</v>
      </c>
      <c r="I62" s="118">
        <v>399</v>
      </c>
      <c r="J62" s="125">
        <v>45736</v>
      </c>
      <c r="K62" s="123" t="s">
        <v>114</v>
      </c>
      <c r="L62" s="126"/>
      <c r="M62" s="126"/>
    </row>
    <row r="63" spans="1:13" x14ac:dyDescent="0.2">
      <c r="A63" s="19" t="str">
        <f>VLOOKUP(Nombre_Gerente,Tabla_Gerentes[],2,FALSE)</f>
        <v>PEDRO MORA</v>
      </c>
      <c r="B63" s="120" t="s">
        <v>118</v>
      </c>
      <c r="C63" s="121">
        <v>20924</v>
      </c>
      <c r="D63" s="122" t="s">
        <v>253</v>
      </c>
      <c r="E63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63" s="123" t="s">
        <v>36</v>
      </c>
      <c r="G63" s="123" t="s">
        <v>303</v>
      </c>
      <c r="H63" s="124">
        <v>501</v>
      </c>
      <c r="I63" s="118">
        <v>300</v>
      </c>
      <c r="J63" s="125">
        <v>45739</v>
      </c>
      <c r="K63" s="123" t="s">
        <v>112</v>
      </c>
      <c r="L63" s="126"/>
      <c r="M63" s="126"/>
    </row>
    <row r="64" spans="1:13" x14ac:dyDescent="0.2">
      <c r="A64" s="19" t="str">
        <f>VLOOKUP(Nombre_Gerente,Tabla_Gerentes[],2,FALSE)</f>
        <v>PEDRO MORA</v>
      </c>
      <c r="B64" s="120" t="s">
        <v>118</v>
      </c>
      <c r="C64" s="121">
        <v>20927</v>
      </c>
      <c r="D64" s="122" t="s">
        <v>255</v>
      </c>
      <c r="E64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64" s="123" t="s">
        <v>36</v>
      </c>
      <c r="G64" s="123" t="s">
        <v>303</v>
      </c>
      <c r="H64" s="124">
        <v>501</v>
      </c>
      <c r="I64" s="118">
        <v>500</v>
      </c>
      <c r="J64" s="125">
        <v>45740</v>
      </c>
      <c r="K64" s="123" t="s">
        <v>112</v>
      </c>
      <c r="L64" s="126"/>
      <c r="M64" s="126"/>
    </row>
    <row r="65" spans="1:13" x14ac:dyDescent="0.2">
      <c r="A65" s="19" t="str">
        <f>VLOOKUP(Nombre_Gerente,Tabla_Gerentes[],2,FALSE)</f>
        <v>PEDRO MORA</v>
      </c>
      <c r="B65" s="120" t="s">
        <v>118</v>
      </c>
      <c r="C65" s="121">
        <v>20928</v>
      </c>
      <c r="D65" s="122" t="s">
        <v>267</v>
      </c>
      <c r="E65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65" s="123" t="s">
        <v>36</v>
      </c>
      <c r="G65" s="123" t="s">
        <v>303</v>
      </c>
      <c r="H65" s="124">
        <v>501</v>
      </c>
      <c r="I65" s="118">
        <v>349</v>
      </c>
      <c r="J65" s="125">
        <v>45740</v>
      </c>
      <c r="K65" s="123" t="s">
        <v>114</v>
      </c>
      <c r="L65" s="126"/>
      <c r="M65" s="126"/>
    </row>
    <row r="66" spans="1:13" x14ac:dyDescent="0.2">
      <c r="A66" s="19" t="str">
        <f>VLOOKUP(Nombre_Gerente,Tabla_Gerentes[],2,FALSE)</f>
        <v>PEDRO MORA</v>
      </c>
      <c r="B66" s="120" t="s">
        <v>118</v>
      </c>
      <c r="C66" s="121">
        <v>20907</v>
      </c>
      <c r="D66" s="122" t="s">
        <v>247</v>
      </c>
      <c r="E66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66" s="123" t="s">
        <v>36</v>
      </c>
      <c r="G66" s="123" t="s">
        <v>218</v>
      </c>
      <c r="H66" s="124">
        <v>9386</v>
      </c>
      <c r="I66" s="118">
        <v>399</v>
      </c>
      <c r="J66" s="125">
        <v>45737</v>
      </c>
      <c r="K66" s="123" t="s">
        <v>111</v>
      </c>
      <c r="L66" s="126"/>
      <c r="M66" s="126"/>
    </row>
    <row r="67" spans="1:13" x14ac:dyDescent="0.2">
      <c r="A67" s="19" t="str">
        <f>VLOOKUP(Nombre_Gerente,Tabla_Gerentes[],2,FALSE)</f>
        <v>PEDRO MORA</v>
      </c>
      <c r="B67" s="120" t="s">
        <v>118</v>
      </c>
      <c r="C67" s="121">
        <v>20917</v>
      </c>
      <c r="D67" s="122" t="s">
        <v>257</v>
      </c>
      <c r="E67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67" s="123" t="s">
        <v>36</v>
      </c>
      <c r="G67" s="123" t="s">
        <v>218</v>
      </c>
      <c r="H67" s="124">
        <v>501</v>
      </c>
      <c r="I67" s="118">
        <v>350</v>
      </c>
      <c r="J67" s="125">
        <v>45736</v>
      </c>
      <c r="K67" s="123" t="s">
        <v>113</v>
      </c>
      <c r="L67" s="126"/>
      <c r="M67" s="126"/>
    </row>
    <row r="68" spans="1:13" x14ac:dyDescent="0.2">
      <c r="A68" s="19" t="str">
        <f>VLOOKUP(Nombre_Gerente,Tabla_Gerentes[],2,FALSE)</f>
        <v>PEDRO MORA</v>
      </c>
      <c r="B68" s="120" t="s">
        <v>118</v>
      </c>
      <c r="C68" s="121">
        <v>20936</v>
      </c>
      <c r="D68" s="122" t="s">
        <v>259</v>
      </c>
      <c r="E68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0</v>
      </c>
      <c r="F68" s="123" t="s">
        <v>36</v>
      </c>
      <c r="G68" s="123" t="s">
        <v>218</v>
      </c>
      <c r="H68" s="124">
        <v>501</v>
      </c>
      <c r="I68" s="118">
        <v>399</v>
      </c>
      <c r="J68" s="125">
        <v>45736</v>
      </c>
      <c r="K68" s="123" t="s">
        <v>113</v>
      </c>
      <c r="L68" s="126"/>
      <c r="M68" s="126"/>
    </row>
    <row r="69" spans="1:13" x14ac:dyDescent="0.2">
      <c r="A69" s="19" t="str">
        <f>VLOOKUP(Nombre_Gerente,Tabla_Gerentes[],2,FALSE)</f>
        <v>PEDRO MORA</v>
      </c>
      <c r="B69" s="120" t="s">
        <v>118</v>
      </c>
      <c r="C69" s="121">
        <v>20949</v>
      </c>
      <c r="D69" s="122" t="s">
        <v>262</v>
      </c>
      <c r="E69" s="51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Tabla_Tabulador_Gerente[],
        3,
        TRUE
    )
)</f>
        <v>120</v>
      </c>
      <c r="F69" s="123" t="s">
        <v>36</v>
      </c>
      <c r="G69" s="123" t="s">
        <v>218</v>
      </c>
      <c r="H69" s="124">
        <v>9386</v>
      </c>
      <c r="I69" s="118">
        <v>450</v>
      </c>
      <c r="J69" s="125">
        <v>45737</v>
      </c>
      <c r="K69" s="123" t="s">
        <v>113</v>
      </c>
      <c r="L69" s="126"/>
      <c r="M69" s="126"/>
    </row>
    <row r="70" spans="1:13" x14ac:dyDescent="0.2">
      <c r="A70" s="114" t="s">
        <v>39</v>
      </c>
      <c r="B70" s="80"/>
      <c r="C70" s="81"/>
      <c r="D70" s="82"/>
      <c r="E70" s="83">
        <f>SUBTOTAL(109,Tabla_Gerente[COMISION])</f>
        <v>5640</v>
      </c>
      <c r="F70" s="81"/>
      <c r="G70" s="81"/>
      <c r="H70" s="81"/>
      <c r="I70" s="84"/>
      <c r="J70" s="81"/>
      <c r="K70" s="81"/>
      <c r="L70" s="79"/>
      <c r="M70" s="79"/>
    </row>
    <row r="71" spans="1:13" x14ac:dyDescent="0.2">
      <c r="A71" s="25" t="s">
        <v>13</v>
      </c>
      <c r="E71" s="39">
        <f>Sueldo_Base_Gerente</f>
        <v>1000</v>
      </c>
      <c r="F71" s="15"/>
      <c r="H71" s="15"/>
      <c r="J71" s="24"/>
    </row>
    <row r="72" spans="1:13" ht="17" thickBot="1" x14ac:dyDescent="0.25">
      <c r="A72" s="33" t="s">
        <v>34</v>
      </c>
      <c r="B72" s="38">
        <f>IF(Total_Registros_Gerente &gt;= Premios!K5,
    VLOOKUP(Total_Registros_Gerente, Tabla_Premios_Gerente[], 1, TRUE),
    0
)</f>
        <v>60</v>
      </c>
      <c r="C72" s="34"/>
      <c r="D72" s="34"/>
      <c r="E72" s="73">
        <f>IF(Premio_Gerente &gt; 0, VLOOKUP(Premio_Gerente, Tabla_Premios_Gerente[], 2, FALSE), 0)</f>
        <v>3000</v>
      </c>
      <c r="F72" s="15"/>
      <c r="H72" s="15"/>
      <c r="J72" s="24" t="s">
        <v>188</v>
      </c>
    </row>
    <row r="73" spans="1:13" x14ac:dyDescent="0.2">
      <c r="A73" s="25" t="s">
        <v>35</v>
      </c>
      <c r="B73" s="18"/>
      <c r="E73" s="40">
        <f>Tabla_Gerente[[#Totals],[COMISION]] + Pago_Sueldo_Base_Gerente + Pago_Premio_Gerente</f>
        <v>9640</v>
      </c>
      <c r="F73" s="15"/>
      <c r="H73" s="15"/>
      <c r="J73" s="24"/>
    </row>
    <row r="74" spans="1:13" x14ac:dyDescent="0.2">
      <c r="A74" s="27" t="s">
        <v>182</v>
      </c>
      <c r="B74" s="18"/>
      <c r="C74" s="29"/>
      <c r="E74" s="39">
        <f>_xlfn.IFNA(SUMIFS(Tabla_Descuentos[DESCUENTO], Tabla_Descuentos[COLABORADOR], Nombre_Gerente, Tabla_Descuentos[PUESTO], Puesto_Gerente), 0)</f>
        <v>0</v>
      </c>
      <c r="F74" s="15"/>
      <c r="H74" s="15"/>
      <c r="I74" s="18"/>
      <c r="K74" s="22"/>
    </row>
    <row r="75" spans="1:13" ht="17" thickBot="1" x14ac:dyDescent="0.25">
      <c r="A75" s="33" t="s">
        <v>23</v>
      </c>
      <c r="B75" s="34"/>
      <c r="C75" s="34"/>
      <c r="D75" s="34"/>
      <c r="E75" s="74">
        <f>(Pago_Subtotal_Gerente * 0.05) * -1</f>
        <v>-482</v>
      </c>
      <c r="F75" s="15"/>
      <c r="H75" s="15"/>
    </row>
    <row r="76" spans="1:13" ht="17" thickBot="1" x14ac:dyDescent="0.25">
      <c r="A76" s="35"/>
      <c r="C76" s="29"/>
      <c r="D76" s="28"/>
      <c r="E76" s="16"/>
      <c r="F76" s="15"/>
    </row>
    <row r="77" spans="1:13" ht="17" thickBot="1" x14ac:dyDescent="0.25">
      <c r="A77" s="33" t="s">
        <v>38</v>
      </c>
      <c r="B77" s="34"/>
      <c r="C77" s="49"/>
      <c r="D77" s="49"/>
      <c r="E77" s="75">
        <f>Pago_Subtotal_Gerente + Descuento_Gerente + Deduccion_Gerente</f>
        <v>9158</v>
      </c>
      <c r="F77" s="15"/>
    </row>
    <row r="78" spans="1:13" x14ac:dyDescent="0.2">
      <c r="A78" s="25"/>
      <c r="C78" s="54"/>
      <c r="D78" s="16"/>
      <c r="E78" s="16"/>
      <c r="F78" s="15"/>
    </row>
    <row r="79" spans="1:13" x14ac:dyDescent="0.2">
      <c r="C79" s="29"/>
      <c r="D79" s="28"/>
      <c r="E79" s="26"/>
      <c r="F79" s="26"/>
    </row>
    <row r="80" spans="1:13" ht="17" thickBot="1" x14ac:dyDescent="0.25">
      <c r="D80" s="37" t="s">
        <v>24</v>
      </c>
      <c r="E80" s="129" t="str" cm="1">
        <f t="array" ref="E80">NumeroATexto(Pago_Neto_Gerente)</f>
        <v>NUEVE MIL CIENTO CINCUENTA Y OCHO PESOS 00/100</v>
      </c>
      <c r="F80" s="129"/>
      <c r="G80" s="129"/>
      <c r="H80" s="129"/>
      <c r="I80" s="129"/>
    </row>
    <row r="81" spans="3:9" x14ac:dyDescent="0.2">
      <c r="C81" s="27"/>
      <c r="D81" s="26"/>
      <c r="E81" s="16"/>
      <c r="F81" s="15"/>
    </row>
    <row r="82" spans="3:9" x14ac:dyDescent="0.2">
      <c r="C82" s="29"/>
      <c r="D82" s="28"/>
    </row>
    <row r="83" spans="3:9" ht="17" thickBot="1" x14ac:dyDescent="0.25">
      <c r="D83" s="33" t="s">
        <v>25</v>
      </c>
      <c r="E83" s="130"/>
      <c r="F83" s="130"/>
      <c r="G83" s="130"/>
      <c r="H83" s="130"/>
      <c r="I83" s="130"/>
    </row>
  </sheetData>
  <sheetProtection formatCells="0" formatColumns="0" formatRows="0" insertColumns="0" insertRows="0" insertHyperlinks="0" deleteColumns="0" deleteRows="0" sort="0" autoFilter="0"/>
  <mergeCells count="4">
    <mergeCell ref="E83:I83"/>
    <mergeCell ref="B1:D1"/>
    <mergeCell ref="B2:D2"/>
    <mergeCell ref="E80:I80"/>
  </mergeCells>
  <phoneticPr fontId="8" type="noConversion"/>
  <conditionalFormatting sqref="E9:E69">
    <cfRule type="cellIs" dxfId="99" priority="11" operator="equal">
      <formula>0</formula>
    </cfRule>
  </conditionalFormatting>
  <conditionalFormatting sqref="H9:H69">
    <cfRule type="cellIs" dxfId="98" priority="2" operator="equal">
      <formula>505</formula>
    </cfRule>
    <cfRule type="cellIs" dxfId="97" priority="5" operator="equal">
      <formula>501</formula>
    </cfRule>
    <cfRule type="containsBlanks" dxfId="96" priority="20">
      <formula>LEN(TRIM(H9))=0</formula>
    </cfRule>
  </conditionalFormatting>
  <conditionalFormatting sqref="I9:I69">
    <cfRule type="cellIs" dxfId="95" priority="1" operator="lessThan">
      <formula>299</formula>
    </cfRule>
  </conditionalFormatting>
  <conditionalFormatting sqref="A9:B69 D9:M69">
    <cfRule type="expression" dxfId="94" priority="3021">
      <formula>$H9 = 503</formula>
    </cfRule>
  </conditionalFormatting>
  <conditionalFormatting sqref="C9:C69">
    <cfRule type="expression" dxfId="93" priority="3227" stopIfTrue="1">
      <formula>$H9 = 503</formula>
    </cfRule>
  </conditionalFormatting>
  <conditionalFormatting sqref="C9:C69">
    <cfRule type="duplicateValues" dxfId="92" priority="3396"/>
  </conditionalFormatting>
  <dataValidations count="12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allowBlank="1" showInputMessage="1" showErrorMessage="1" sqref="B2:D2" xr:uid="{634E9AF4-5905-43C7-AE1B-A5868B928126}">
      <formula1>Razones_Sociales</formula1>
    </dataValidation>
    <dataValidation type="list" showInputMessage="1" showErrorMessage="1" sqref="F9:F69" xr:uid="{2077F9E4-A8C1-432D-9C47-2CA7B799A19A}">
      <formula1>Nombres_Planteles</formula1>
    </dataValidation>
    <dataValidation type="custom" allowBlank="1" showInputMessage="1" showErrorMessage="1" sqref="H9:H69" xr:uid="{8FB231F2-0366-4A1F-88BC-7081A2D30338}">
      <formula1>H9&lt;&gt;500</formula1>
    </dataValidation>
    <dataValidation type="list" allowBlank="1" showInputMessage="1" showErrorMessage="1" sqref="G9:G69" xr:uid="{FF4CD4D8-D6D0-5844-BCA0-2EB11EB5155F}">
      <formula1>Cursos</formula1>
    </dataValidation>
    <dataValidation type="list" showInputMessage="1" showErrorMessage="1" sqref="B9:B69" xr:uid="{B11C5B97-822A-4ACE-8B21-BF74863453FD}">
      <formula1>Coordinadores_Activos</formula1>
    </dataValidation>
    <dataValidation type="list" allowBlank="1" showInputMessage="1" showErrorMessage="1" sqref="L9:L69" xr:uid="{B14DE65F-DA6F-1543-8299-1F7AA13B1CCD}">
      <formula1>Nombres_Planteles</formula1>
    </dataValidation>
    <dataValidation type="list" showInputMessage="1" showErrorMessage="1" sqref="A9:A69" xr:uid="{9EB656E2-D4E1-244E-B8F5-4156E978509D}">
      <formula1>Alias_Gerentes</formula1>
    </dataValidation>
    <dataValidation type="date" allowBlank="1" showInputMessage="1" showErrorMessage="1" sqref="J9:J69" xr:uid="{0D936490-FAE7-0C4E-AC71-3516F0C3AC67}">
      <formula1>Periodo_de_pago_inicial</formula1>
      <formula2>Periodo_de_pago_final</formula2>
    </dataValidation>
    <dataValidation type="list" allowBlank="1" showInputMessage="1" showErrorMessage="1" sqref="K12:K23 K33 K34:K38 K32 K31 K9 K10 K11 K24 K25 K26 K27 K28 K29 K30" xr:uid="{43FE76A5-F6B6-AF43-8399-059745B719D0}">
      <formula1>"EUNICE MORALES,FATIMA HERNANDEZ,LIZBETH MORALES,MARIANA PACHECO (P),MIGUEL RODRIGUEZ,PEDRO GUTIERREZ,YANISSE TORRES"</formula1>
    </dataValidation>
    <dataValidation type="list" allowBlank="1" showInputMessage="1" showErrorMessage="1" sqref="K61:K67 K53:K59 K46:K49 K39 K40 K41 K42 K43 K44 K45 K50 K51 K52 K60 K68 K69" xr:uid="{BCB92E9E-FA05-F242-82F7-EFD3D08AF2FA}">
      <formula1>"DAMIAN BRAVO,EFRAIN CORTES,ENRIQUE OJEDA,HUGO PACHECO,OLIVIA PACHECO (P)"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14</xdr:col>
                    <xdr:colOff>152400</xdr:colOff>
                    <xdr:row>0</xdr:row>
                    <xdr:rowOff>63500</xdr:rowOff>
                  </from>
                  <to>
                    <xdr:col>15</xdr:col>
                    <xdr:colOff>787400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98C2F-7F7D-4740-BD2E-D183D9ED08B4}">
  <sheetPr codeName="Sheet11">
    <tabColor rgb="FF0070C0"/>
  </sheetPr>
  <dimension ref="A1:K58"/>
  <sheetViews>
    <sheetView workbookViewId="0">
      <selection activeCell="A9" sqref="A9:K38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8.16406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 t="s">
        <v>119</v>
      </c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99">
        <v>45736</v>
      </c>
      <c r="C3" s="44" t="s">
        <v>29</v>
      </c>
      <c r="D3" s="100">
        <v>45743</v>
      </c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IF(COUNTA(Tabla_Coordinador_MARIANA_PACHECO[GRUPO]) = 0, 0,
   COUNTIFS(Tabla_Coordinador_MARIANA_PACHECO[GRUPO], "&lt;&gt;",
            Tabla_Coordinador_MARIANA_PACHECO[GRUPO], "&lt;&gt;503",
            Tabla_Coordinador_MARIANA_PACHECO[GRUPO], "&lt;&gt;500",
            Tabla_Coordinador_MARIANA_PACHECO[PAGO], "&gt;=299")
   - SUMPRODUCT(COUNTIF(Tabla_Gerente[CREDENCIAL], Tabla_Coordinador_MARIANA_PACHECO[CREDENCIAL]) - 1))</f>
        <v>30</v>
      </c>
      <c r="C4" s="17"/>
      <c r="F4" s="18"/>
      <c r="G4" s="18"/>
      <c r="H4" s="17"/>
      <c r="I4" s="31" t="s">
        <v>37</v>
      </c>
      <c r="J4" s="72">
        <v>18892</v>
      </c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33" t="s">
        <v>177</v>
      </c>
      <c r="B9" s="134">
        <v>20909</v>
      </c>
      <c r="C9" s="134" t="s">
        <v>278</v>
      </c>
      <c r="D9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9" s="134" t="s">
        <v>36</v>
      </c>
      <c r="F9" s="134" t="s">
        <v>239</v>
      </c>
      <c r="G9" s="136">
        <v>9378</v>
      </c>
      <c r="H9" s="137">
        <f>IFERROR(VLOOKUP(Tabla_Coordinador_MARIANA_PACHECO[[#This Row],[CREDENCIAL]], Tabla_Gerente[[CREDENCIAL]:[PAGO]], 7, FALSE), 0)</f>
        <v>350</v>
      </c>
      <c r="I9" s="138">
        <v>45737</v>
      </c>
      <c r="J9" s="139"/>
      <c r="K9" s="139"/>
    </row>
    <row r="10" spans="1:11" x14ac:dyDescent="0.2">
      <c r="A10" s="133" t="s">
        <v>177</v>
      </c>
      <c r="B10" s="134">
        <v>20932</v>
      </c>
      <c r="C10" s="134" t="s">
        <v>283</v>
      </c>
      <c r="D10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0" s="134" t="s">
        <v>36</v>
      </c>
      <c r="F10" s="134" t="s">
        <v>198</v>
      </c>
      <c r="G10" s="136">
        <v>9187</v>
      </c>
      <c r="H10" s="137">
        <f>IFERROR(VLOOKUP(Tabla_Coordinador_MARIANA_PACHECO[[#This Row],[CREDENCIAL]], Tabla_Gerente[[CREDENCIAL]:[PAGO]], 7, FALSE), 0)</f>
        <v>399</v>
      </c>
      <c r="I10" s="138">
        <v>45738</v>
      </c>
      <c r="J10" s="139"/>
      <c r="K10" s="139"/>
    </row>
    <row r="11" spans="1:11" x14ac:dyDescent="0.2">
      <c r="A11" s="133" t="s">
        <v>177</v>
      </c>
      <c r="B11" s="134">
        <v>20938</v>
      </c>
      <c r="C11" s="134" t="s">
        <v>285</v>
      </c>
      <c r="D11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1" s="134" t="s">
        <v>36</v>
      </c>
      <c r="F11" s="134" t="s">
        <v>198</v>
      </c>
      <c r="G11" s="136">
        <v>9044</v>
      </c>
      <c r="H11" s="137">
        <f>IFERROR(VLOOKUP(Tabla_Coordinador_MARIANA_PACHECO[[#This Row],[CREDENCIAL]], Tabla_Gerente[[CREDENCIAL]:[PAGO]], 7, FALSE), 0)</f>
        <v>349</v>
      </c>
      <c r="I11" s="138">
        <v>45740</v>
      </c>
      <c r="J11" s="139"/>
      <c r="K11" s="139"/>
    </row>
    <row r="12" spans="1:11" x14ac:dyDescent="0.2">
      <c r="A12" s="133" t="s">
        <v>177</v>
      </c>
      <c r="B12" s="134">
        <v>20898</v>
      </c>
      <c r="C12" s="134" t="s">
        <v>274</v>
      </c>
      <c r="D12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2" s="134" t="s">
        <v>36</v>
      </c>
      <c r="F12" s="134" t="s">
        <v>216</v>
      </c>
      <c r="G12" s="136">
        <v>9380</v>
      </c>
      <c r="H12" s="137">
        <f>IFERROR(VLOOKUP(Tabla_Coordinador_MARIANA_PACHECO[[#This Row],[CREDENCIAL]], Tabla_Gerente[[CREDENCIAL]:[PAGO]], 7, FALSE), 0)</f>
        <v>399</v>
      </c>
      <c r="I12" s="138">
        <v>45736</v>
      </c>
      <c r="J12" s="139"/>
      <c r="K12" s="139"/>
    </row>
    <row r="13" spans="1:11" x14ac:dyDescent="0.2">
      <c r="A13" s="133" t="s">
        <v>177</v>
      </c>
      <c r="B13" s="134">
        <v>20899</v>
      </c>
      <c r="C13" s="134" t="s">
        <v>275</v>
      </c>
      <c r="D13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3" s="134" t="s">
        <v>36</v>
      </c>
      <c r="F13" s="134" t="s">
        <v>216</v>
      </c>
      <c r="G13" s="136">
        <v>9380</v>
      </c>
      <c r="H13" s="137">
        <f>IFERROR(VLOOKUP(Tabla_Coordinador_MARIANA_PACHECO[[#This Row],[CREDENCIAL]], Tabla_Gerente[[CREDENCIAL]:[PAGO]], 7, FALSE), 0)</f>
        <v>399</v>
      </c>
      <c r="I13" s="138">
        <v>45736</v>
      </c>
      <c r="J13" s="139"/>
      <c r="K13" s="139"/>
    </row>
    <row r="14" spans="1:11" x14ac:dyDescent="0.2">
      <c r="A14" s="133" t="s">
        <v>177</v>
      </c>
      <c r="B14" s="134">
        <v>20910</v>
      </c>
      <c r="C14" s="134" t="s">
        <v>279</v>
      </c>
      <c r="D14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4" s="134" t="s">
        <v>36</v>
      </c>
      <c r="F14" s="134" t="s">
        <v>216</v>
      </c>
      <c r="G14" s="136">
        <v>9376</v>
      </c>
      <c r="H14" s="137">
        <f>IFERROR(VLOOKUP(Tabla_Coordinador_MARIANA_PACHECO[[#This Row],[CREDENCIAL]], Tabla_Gerente[[CREDENCIAL]:[PAGO]], 7, FALSE), 0)</f>
        <v>349</v>
      </c>
      <c r="I14" s="138">
        <v>45737</v>
      </c>
      <c r="J14" s="139"/>
      <c r="K14" s="139"/>
    </row>
    <row r="15" spans="1:11" x14ac:dyDescent="0.2">
      <c r="A15" s="133" t="s">
        <v>177</v>
      </c>
      <c r="B15" s="134">
        <v>20923</v>
      </c>
      <c r="C15" s="134" t="s">
        <v>281</v>
      </c>
      <c r="D15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5" s="134" t="s">
        <v>36</v>
      </c>
      <c r="F15" s="134" t="s">
        <v>216</v>
      </c>
      <c r="G15" s="136">
        <v>9377</v>
      </c>
      <c r="H15" s="137">
        <f>IFERROR(VLOOKUP(Tabla_Coordinador_MARIANA_PACHECO[[#This Row],[CREDENCIAL]], Tabla_Gerente[[CREDENCIAL]:[PAGO]], 7, FALSE), 0)</f>
        <v>399</v>
      </c>
      <c r="I15" s="138">
        <v>45738</v>
      </c>
      <c r="J15" s="139"/>
      <c r="K15" s="139"/>
    </row>
    <row r="16" spans="1:11" x14ac:dyDescent="0.2">
      <c r="A16" s="133" t="s">
        <v>177</v>
      </c>
      <c r="B16" s="134">
        <v>20945</v>
      </c>
      <c r="C16" s="134" t="s">
        <v>286</v>
      </c>
      <c r="D16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6" s="134" t="s">
        <v>36</v>
      </c>
      <c r="F16" s="134" t="s">
        <v>216</v>
      </c>
      <c r="G16" s="136">
        <v>9371</v>
      </c>
      <c r="H16" s="137">
        <f>IFERROR(VLOOKUP(Tabla_Coordinador_MARIANA_PACHECO[[#This Row],[CREDENCIAL]], Tabla_Gerente[[CREDENCIAL]:[PAGO]], 7, FALSE), 0)</f>
        <v>399</v>
      </c>
      <c r="I16" s="138">
        <v>45740</v>
      </c>
      <c r="J16" s="139"/>
      <c r="K16" s="139"/>
    </row>
    <row r="17" spans="1:11" x14ac:dyDescent="0.2">
      <c r="A17" s="133" t="s">
        <v>177</v>
      </c>
      <c r="B17" s="134">
        <v>20919</v>
      </c>
      <c r="C17" s="134" t="s">
        <v>280</v>
      </c>
      <c r="D17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7" s="134" t="s">
        <v>36</v>
      </c>
      <c r="F17" s="134" t="s">
        <v>215</v>
      </c>
      <c r="G17" s="136">
        <v>9388</v>
      </c>
      <c r="H17" s="137">
        <f>IFERROR(VLOOKUP(Tabla_Coordinador_MARIANA_PACHECO[[#This Row],[CREDENCIAL]], Tabla_Gerente[[CREDENCIAL]:[PAGO]], 7, FALSE), 0)</f>
        <v>399</v>
      </c>
      <c r="I17" s="138">
        <v>45737</v>
      </c>
      <c r="J17" s="139"/>
      <c r="K17" s="139"/>
    </row>
    <row r="18" spans="1:11" x14ac:dyDescent="0.2">
      <c r="A18" s="133" t="s">
        <v>177</v>
      </c>
      <c r="B18" s="134">
        <v>20934</v>
      </c>
      <c r="C18" s="134" t="s">
        <v>284</v>
      </c>
      <c r="D18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8" s="134" t="s">
        <v>36</v>
      </c>
      <c r="F18" s="134" t="s">
        <v>215</v>
      </c>
      <c r="G18" s="136">
        <v>9384</v>
      </c>
      <c r="H18" s="137">
        <f>IFERROR(VLOOKUP(Tabla_Coordinador_MARIANA_PACHECO[[#This Row],[CREDENCIAL]], Tabla_Gerente[[CREDENCIAL]:[PAGO]], 7, FALSE), 0)</f>
        <v>399</v>
      </c>
      <c r="I18" s="138">
        <v>45739</v>
      </c>
      <c r="J18" s="139"/>
      <c r="K18" s="139"/>
    </row>
    <row r="19" spans="1:11" x14ac:dyDescent="0.2">
      <c r="A19" s="133" t="s">
        <v>177</v>
      </c>
      <c r="B19" s="134">
        <v>20957</v>
      </c>
      <c r="C19" s="134" t="s">
        <v>288</v>
      </c>
      <c r="D19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19" s="134" t="s">
        <v>36</v>
      </c>
      <c r="F19" s="134" t="s">
        <v>215</v>
      </c>
      <c r="G19" s="136">
        <v>9384</v>
      </c>
      <c r="H19" s="137">
        <f>IFERROR(VLOOKUP(Tabla_Coordinador_MARIANA_PACHECO[[#This Row],[CREDENCIAL]], Tabla_Gerente[[CREDENCIAL]:[PAGO]], 7, FALSE), 0)</f>
        <v>299</v>
      </c>
      <c r="I19" s="138">
        <v>45741</v>
      </c>
      <c r="J19" s="139"/>
      <c r="K19" s="139"/>
    </row>
    <row r="20" spans="1:11" x14ac:dyDescent="0.2">
      <c r="A20" s="133" t="s">
        <v>177</v>
      </c>
      <c r="B20" s="134">
        <v>20930</v>
      </c>
      <c r="C20" s="134" t="s">
        <v>282</v>
      </c>
      <c r="D20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0" s="134" t="s">
        <v>36</v>
      </c>
      <c r="F20" s="134" t="s">
        <v>195</v>
      </c>
      <c r="G20" s="136">
        <v>9389</v>
      </c>
      <c r="H20" s="137">
        <f>IFERROR(VLOOKUP(Tabla_Coordinador_MARIANA_PACHECO[[#This Row],[CREDENCIAL]], Tabla_Gerente[[CREDENCIAL]:[PAGO]], 7, FALSE), 0)</f>
        <v>399</v>
      </c>
      <c r="I20" s="138">
        <v>45738</v>
      </c>
      <c r="J20" s="139"/>
      <c r="K20" s="139"/>
    </row>
    <row r="21" spans="1:11" x14ac:dyDescent="0.2">
      <c r="A21" s="133" t="s">
        <v>177</v>
      </c>
      <c r="B21" s="134">
        <v>50339</v>
      </c>
      <c r="C21" s="134" t="s">
        <v>287</v>
      </c>
      <c r="D21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1" s="134" t="s">
        <v>36</v>
      </c>
      <c r="F21" s="134" t="s">
        <v>217</v>
      </c>
      <c r="G21" s="136">
        <v>100</v>
      </c>
      <c r="H21" s="137">
        <f>IFERROR(VLOOKUP(Tabla_Coordinador_MARIANA_PACHECO[[#This Row],[CREDENCIAL]], Tabla_Gerente[[CREDENCIAL]:[PAGO]], 7, FALSE), 0)</f>
        <v>700</v>
      </c>
      <c r="I21" s="138">
        <v>45741</v>
      </c>
      <c r="J21" s="139"/>
      <c r="K21" s="139"/>
    </row>
    <row r="22" spans="1:11" x14ac:dyDescent="0.2">
      <c r="A22" s="133" t="s">
        <v>177</v>
      </c>
      <c r="B22" s="134">
        <v>20901</v>
      </c>
      <c r="C22" s="134" t="s">
        <v>276</v>
      </c>
      <c r="D22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2" s="134" t="s">
        <v>36</v>
      </c>
      <c r="F22" s="134" t="s">
        <v>219</v>
      </c>
      <c r="G22" s="136">
        <v>9391</v>
      </c>
      <c r="H22" s="137">
        <f>IFERROR(VLOOKUP(Tabla_Coordinador_MARIANA_PACHECO[[#This Row],[CREDENCIAL]], Tabla_Gerente[[CREDENCIAL]:[PAGO]], 7, FALSE), 0)</f>
        <v>399</v>
      </c>
      <c r="I22" s="138">
        <v>45736</v>
      </c>
      <c r="J22" s="139"/>
      <c r="K22" s="139"/>
    </row>
    <row r="23" spans="1:11" x14ac:dyDescent="0.2">
      <c r="A23" s="133" t="s">
        <v>177</v>
      </c>
      <c r="B23" s="134">
        <v>20902</v>
      </c>
      <c r="C23" s="134" t="s">
        <v>277</v>
      </c>
      <c r="D23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3" s="134" t="s">
        <v>36</v>
      </c>
      <c r="F23" s="134" t="s">
        <v>219</v>
      </c>
      <c r="G23" s="136">
        <v>9391</v>
      </c>
      <c r="H23" s="137">
        <f>IFERROR(VLOOKUP(Tabla_Coordinador_MARIANA_PACHECO[[#This Row],[CREDENCIAL]], Tabla_Gerente[[CREDENCIAL]:[PAGO]], 7, FALSE), 0)</f>
        <v>399</v>
      </c>
      <c r="I23" s="138">
        <v>45736</v>
      </c>
      <c r="J23" s="139"/>
      <c r="K23" s="139"/>
    </row>
    <row r="24" spans="1:11" x14ac:dyDescent="0.2">
      <c r="A24" s="133" t="s">
        <v>133</v>
      </c>
      <c r="B24" s="134">
        <v>20953</v>
      </c>
      <c r="C24" s="134" t="s">
        <v>301</v>
      </c>
      <c r="D24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4" s="134" t="s">
        <v>36</v>
      </c>
      <c r="F24" s="134" t="s">
        <v>239</v>
      </c>
      <c r="G24" s="136">
        <v>9390</v>
      </c>
      <c r="H24" s="137">
        <f>IFERROR(VLOOKUP(Tabla_Coordinador_MARIANA_PACHECO[[#This Row],[CREDENCIAL]], Tabla_Gerente[[CREDENCIAL]:[PAGO]], 7, FALSE), 0)</f>
        <v>300</v>
      </c>
      <c r="I24" s="138">
        <v>45741</v>
      </c>
      <c r="J24" s="139"/>
      <c r="K24" s="139"/>
    </row>
    <row r="25" spans="1:11" x14ac:dyDescent="0.2">
      <c r="A25" s="133" t="s">
        <v>133</v>
      </c>
      <c r="B25" s="134">
        <v>20931</v>
      </c>
      <c r="C25" s="134" t="s">
        <v>299</v>
      </c>
      <c r="D25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5" s="134" t="s">
        <v>36</v>
      </c>
      <c r="F25" s="134" t="s">
        <v>198</v>
      </c>
      <c r="G25" s="136">
        <v>9393</v>
      </c>
      <c r="H25" s="137">
        <f>IFERROR(VLOOKUP(Tabla_Coordinador_MARIANA_PACHECO[[#This Row],[CREDENCIAL]], Tabla_Gerente[[CREDENCIAL]:[PAGO]], 7, FALSE), 0)</f>
        <v>400</v>
      </c>
      <c r="I25" s="138">
        <v>45740</v>
      </c>
      <c r="J25" s="139"/>
      <c r="K25" s="139"/>
    </row>
    <row r="26" spans="1:11" x14ac:dyDescent="0.2">
      <c r="A26" s="133" t="s">
        <v>133</v>
      </c>
      <c r="B26" s="134">
        <v>20941</v>
      </c>
      <c r="C26" s="134" t="s">
        <v>300</v>
      </c>
      <c r="D26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26" s="134" t="s">
        <v>36</v>
      </c>
      <c r="F26" s="134" t="s">
        <v>216</v>
      </c>
      <c r="G26" s="136">
        <v>9377</v>
      </c>
      <c r="H26" s="137">
        <f>IFERROR(VLOOKUP(Tabla_Coordinador_MARIANA_PACHECO[[#This Row],[CREDENCIAL]], Tabla_Gerente[[CREDENCIAL]:[PAGO]], 7, FALSE), 0)</f>
        <v>300</v>
      </c>
      <c r="I26" s="138">
        <v>45740</v>
      </c>
      <c r="J26" s="139"/>
      <c r="K26" s="139"/>
    </row>
    <row r="27" spans="1:11" x14ac:dyDescent="0.2">
      <c r="A27" s="133" t="s">
        <v>133</v>
      </c>
      <c r="B27" s="134">
        <v>20905</v>
      </c>
      <c r="C27" s="134" t="s">
        <v>297</v>
      </c>
      <c r="D27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27" s="134" t="s">
        <v>36</v>
      </c>
      <c r="F27" s="134" t="s">
        <v>195</v>
      </c>
      <c r="G27" s="136">
        <v>501</v>
      </c>
      <c r="H27" s="137">
        <f>IFERROR(VLOOKUP(Tabla_Coordinador_MARIANA_PACHECO[[#This Row],[CREDENCIAL]], Tabla_Gerente[[CREDENCIAL]:[PAGO]], 7, FALSE), 0)</f>
        <v>500</v>
      </c>
      <c r="I27" s="138">
        <v>45738</v>
      </c>
      <c r="J27" s="139"/>
      <c r="K27" s="139"/>
    </row>
    <row r="28" spans="1:11" x14ac:dyDescent="0.2">
      <c r="A28" s="133" t="s">
        <v>133</v>
      </c>
      <c r="B28" s="134">
        <v>20906</v>
      </c>
      <c r="C28" s="134" t="s">
        <v>298</v>
      </c>
      <c r="D28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28" s="134" t="s">
        <v>36</v>
      </c>
      <c r="F28" s="134" t="s">
        <v>195</v>
      </c>
      <c r="G28" s="136">
        <v>501</v>
      </c>
      <c r="H28" s="137">
        <f>IFERROR(VLOOKUP(Tabla_Coordinador_MARIANA_PACHECO[[#This Row],[CREDENCIAL]], Tabla_Gerente[[CREDENCIAL]:[PAGO]], 7, FALSE), 0)</f>
        <v>349</v>
      </c>
      <c r="I28" s="138">
        <v>45739</v>
      </c>
      <c r="J28" s="139"/>
      <c r="K28" s="139"/>
    </row>
    <row r="29" spans="1:11" x14ac:dyDescent="0.2">
      <c r="A29" s="133" t="s">
        <v>133</v>
      </c>
      <c r="B29" s="134">
        <v>20942</v>
      </c>
      <c r="C29" s="134" t="s">
        <v>300</v>
      </c>
      <c r="D29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29" s="134" t="s">
        <v>36</v>
      </c>
      <c r="F29" s="134" t="s">
        <v>195</v>
      </c>
      <c r="G29" s="136">
        <v>501</v>
      </c>
      <c r="H29" s="137">
        <f>IFERROR(VLOOKUP(Tabla_Coordinador_MARIANA_PACHECO[[#This Row],[CREDENCIAL]], Tabla_Gerente[[CREDENCIAL]:[PAGO]], 7, FALSE), 0)</f>
        <v>400</v>
      </c>
      <c r="I29" s="138">
        <v>45741</v>
      </c>
      <c r="J29" s="139"/>
      <c r="K29" s="139"/>
    </row>
    <row r="30" spans="1:11" x14ac:dyDescent="0.2">
      <c r="A30" s="133" t="s">
        <v>133</v>
      </c>
      <c r="B30" s="134">
        <v>20921</v>
      </c>
      <c r="C30" s="134" t="s">
        <v>302</v>
      </c>
      <c r="D30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30" s="134" t="s">
        <v>36</v>
      </c>
      <c r="F30" s="134" t="s">
        <v>195</v>
      </c>
      <c r="G30" s="136">
        <v>501</v>
      </c>
      <c r="H30" s="137">
        <f>IFERROR(VLOOKUP(Tabla_Coordinador_MARIANA_PACHECO[[#This Row],[CREDENCIAL]], Tabla_Gerente[[CREDENCIAL]:[PAGO]], 7, FALSE), 0)</f>
        <v>350</v>
      </c>
      <c r="I30" s="138"/>
      <c r="J30" s="139"/>
      <c r="K30" s="139"/>
    </row>
    <row r="31" spans="1:11" x14ac:dyDescent="0.2">
      <c r="A31" s="133" t="s">
        <v>180</v>
      </c>
      <c r="B31" s="134">
        <v>20925</v>
      </c>
      <c r="C31" s="134" t="s">
        <v>289</v>
      </c>
      <c r="D31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31" s="134" t="s">
        <v>36</v>
      </c>
      <c r="F31" s="134" t="s">
        <v>216</v>
      </c>
      <c r="G31" s="136">
        <v>9382</v>
      </c>
      <c r="H31" s="137">
        <f>IFERROR(VLOOKUP(Tabla_Coordinador_MARIANA_PACHECO[[#This Row],[CREDENCIAL]], Tabla_Gerente[[CREDENCIAL]:[PAGO]], 7, FALSE), 0)</f>
        <v>700</v>
      </c>
      <c r="I31" s="138">
        <v>45736</v>
      </c>
      <c r="J31" s="139"/>
      <c r="K31" s="139"/>
    </row>
    <row r="32" spans="1:11" x14ac:dyDescent="0.2">
      <c r="A32" s="133" t="s">
        <v>180</v>
      </c>
      <c r="B32" s="134">
        <v>20929</v>
      </c>
      <c r="C32" s="134" t="s">
        <v>290</v>
      </c>
      <c r="D32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32" s="134" t="s">
        <v>36</v>
      </c>
      <c r="F32" s="134" t="s">
        <v>215</v>
      </c>
      <c r="G32" s="136">
        <v>9384</v>
      </c>
      <c r="H32" s="137">
        <f>IFERROR(VLOOKUP(Tabla_Coordinador_MARIANA_PACHECO[[#This Row],[CREDENCIAL]], Tabla_Gerente[[CREDENCIAL]:[PAGO]], 7, FALSE), 0)</f>
        <v>349</v>
      </c>
      <c r="I32" s="138">
        <v>45736</v>
      </c>
      <c r="J32" s="139"/>
      <c r="K32" s="139"/>
    </row>
    <row r="33" spans="1:11" x14ac:dyDescent="0.2">
      <c r="A33" s="133" t="s">
        <v>180</v>
      </c>
      <c r="B33" s="134">
        <v>20951</v>
      </c>
      <c r="C33" s="134" t="s">
        <v>291</v>
      </c>
      <c r="D33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33" s="134" t="s">
        <v>36</v>
      </c>
      <c r="F33" s="134" t="s">
        <v>214</v>
      </c>
      <c r="G33" s="136">
        <v>9374</v>
      </c>
      <c r="H33" s="137">
        <f>IFERROR(VLOOKUP(Tabla_Coordinador_MARIANA_PACHECO[[#This Row],[CREDENCIAL]], Tabla_Gerente[[CREDENCIAL]:[PAGO]], 7, FALSE), 0)</f>
        <v>299</v>
      </c>
      <c r="I33" s="138">
        <v>45736</v>
      </c>
      <c r="J33" s="139"/>
      <c r="K33" s="139"/>
    </row>
    <row r="34" spans="1:11" x14ac:dyDescent="0.2">
      <c r="A34" s="133" t="s">
        <v>180</v>
      </c>
      <c r="B34" s="134">
        <v>20952</v>
      </c>
      <c r="C34" s="134" t="s">
        <v>292</v>
      </c>
      <c r="D34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34" s="134" t="s">
        <v>36</v>
      </c>
      <c r="F34" s="134" t="s">
        <v>214</v>
      </c>
      <c r="G34" s="136">
        <v>9374</v>
      </c>
      <c r="H34" s="137">
        <f>IFERROR(VLOOKUP(Tabla_Coordinador_MARIANA_PACHECO[[#This Row],[CREDENCIAL]], Tabla_Gerente[[CREDENCIAL]:[PAGO]], 7, FALSE), 0)</f>
        <v>299</v>
      </c>
      <c r="I34" s="138">
        <v>45737</v>
      </c>
      <c r="J34" s="139"/>
      <c r="K34" s="139"/>
    </row>
    <row r="35" spans="1:11" x14ac:dyDescent="0.2">
      <c r="A35" s="133" t="s">
        <v>179</v>
      </c>
      <c r="B35" s="134">
        <v>20904</v>
      </c>
      <c r="C35" s="134" t="s">
        <v>294</v>
      </c>
      <c r="D35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140</v>
      </c>
      <c r="E35" s="134" t="s">
        <v>36</v>
      </c>
      <c r="F35" s="134" t="s">
        <v>195</v>
      </c>
      <c r="G35" s="136">
        <v>9345</v>
      </c>
      <c r="H35" s="137">
        <f>IFERROR(VLOOKUP(Tabla_Coordinador_MARIANA_PACHECO[[#This Row],[CREDENCIAL]], Tabla_Gerente[[CREDENCIAL]:[PAGO]], 7, FALSE), 0)</f>
        <v>500</v>
      </c>
      <c r="I35" s="138">
        <v>45737</v>
      </c>
      <c r="J35" s="139"/>
      <c r="K35" s="139"/>
    </row>
    <row r="36" spans="1:11" x14ac:dyDescent="0.2">
      <c r="A36" s="133" t="s">
        <v>179</v>
      </c>
      <c r="B36" s="134">
        <v>20914</v>
      </c>
      <c r="C36" s="134" t="s">
        <v>295</v>
      </c>
      <c r="D36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36" s="134" t="s">
        <v>36</v>
      </c>
      <c r="F36" s="134" t="s">
        <v>195</v>
      </c>
      <c r="G36" s="136">
        <v>501</v>
      </c>
      <c r="H36" s="137">
        <f>IFERROR(VLOOKUP(Tabla_Coordinador_MARIANA_PACHECO[[#This Row],[CREDENCIAL]], Tabla_Gerente[[CREDENCIAL]:[PAGO]], 7, FALSE), 0)</f>
        <v>750</v>
      </c>
      <c r="I36" s="138">
        <v>45738</v>
      </c>
      <c r="J36" s="139"/>
      <c r="K36" s="139"/>
    </row>
    <row r="37" spans="1:11" x14ac:dyDescent="0.2">
      <c r="A37" s="133" t="s">
        <v>179</v>
      </c>
      <c r="B37" s="134">
        <v>20922</v>
      </c>
      <c r="C37" s="134" t="s">
        <v>296</v>
      </c>
      <c r="D37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37" s="134" t="s">
        <v>36</v>
      </c>
      <c r="F37" s="134" t="s">
        <v>195</v>
      </c>
      <c r="G37" s="136">
        <v>501</v>
      </c>
      <c r="H37" s="137">
        <f>IFERROR(VLOOKUP(Tabla_Coordinador_MARIANA_PACHECO[[#This Row],[CREDENCIAL]], Tabla_Gerente[[CREDENCIAL]:[PAGO]], 7, FALSE), 0)</f>
        <v>350</v>
      </c>
      <c r="I37" s="138">
        <v>45738</v>
      </c>
      <c r="J37" s="139"/>
      <c r="K37" s="139"/>
    </row>
    <row r="38" spans="1:11" x14ac:dyDescent="0.2">
      <c r="A38" s="133" t="s">
        <v>179</v>
      </c>
      <c r="B38" s="134">
        <v>20956</v>
      </c>
      <c r="C38" s="134" t="s">
        <v>293</v>
      </c>
      <c r="D38" s="135">
        <f>IF(
    OR(
        Tabla_Coordinador_MARIANA_PACHECO[[#This Row],[GRUPO]] = 501,
        Tabla_Coordinador_MARIANA_PACHECO[[#This Row],[GRUPO]] = 505,
        Tabla_Coordinador_MARIANA_PACHECO[[#This Row],[GRUPO]] = 503,
        Tabla_Coordinador_MARIANA_PACHECO[[#This Row],[GRUPO]] = "",
        Tabla_Coordinador_MARIANA_PACHECO[[#This Row],[GRUPO]] = 500,
        Tabla_Coordinador_MARIANA_PACHECO[[#This Row],[PAGO]] &lt; 299,
        COUNTIF(Tabla_Coordinador_MARIANA_PACHECO[CREDENCIAL], Tabla_Coordinador_MARIANA_PACHECO[[#This Row],[CREDENCIAL]]) &gt; 1,
        COUNTIF(Tabla_Gerente[CREDENCIAL], Tabla_Coordinador_MARIANA_PACHECO[[#This Row],[CREDENCIAL]]) &gt; 1
    ),
    0,
    VLOOKUP(
        Total_Registros_Coordinador,
        Tabla_Tabulador_Coordinador[],
        3,
        TRUE
    )
)</f>
        <v>0</v>
      </c>
      <c r="E38" s="134" t="s">
        <v>36</v>
      </c>
      <c r="F38" s="134" t="s">
        <v>201</v>
      </c>
      <c r="G38" s="136">
        <v>501</v>
      </c>
      <c r="H38" s="137">
        <f>IFERROR(VLOOKUP(Tabla_Coordinador_MARIANA_PACHECO[[#This Row],[CREDENCIAL]], Tabla_Gerente[[CREDENCIAL]:[PAGO]], 7, FALSE), 0)</f>
        <v>300</v>
      </c>
      <c r="I38" s="138">
        <v>45737</v>
      </c>
      <c r="J38" s="139"/>
      <c r="K38" s="139"/>
    </row>
    <row r="39" spans="1:11" x14ac:dyDescent="0.2">
      <c r="A39" s="133" t="s">
        <v>39</v>
      </c>
      <c r="B39" s="134"/>
      <c r="C39" s="134"/>
      <c r="D39" s="135">
        <f>SUBTOTAL(109,Tabla_Coordinador_MARIANA_PACHECO[COMISION])</f>
        <v>3220</v>
      </c>
      <c r="E39" s="134"/>
      <c r="F39" s="134"/>
      <c r="G39" s="136"/>
      <c r="H39" s="140"/>
      <c r="I39" s="138"/>
      <c r="J39" s="139"/>
      <c r="K39" s="139"/>
    </row>
    <row r="40" spans="1:11" x14ac:dyDescent="0.2">
      <c r="A40" s="27"/>
      <c r="B40" s="14"/>
      <c r="C40" s="15"/>
      <c r="D40" s="52"/>
      <c r="E40" s="14"/>
      <c r="F40" s="14"/>
      <c r="G40" s="14"/>
      <c r="H40" s="53"/>
      <c r="I40" s="16"/>
      <c r="J40" s="16"/>
      <c r="K40" s="16"/>
    </row>
    <row r="41" spans="1:11" x14ac:dyDescent="0.2">
      <c r="A41" s="27" t="s">
        <v>13</v>
      </c>
      <c r="D41" s="26">
        <f>Sueldo_Base_Coordinador</f>
        <v>500</v>
      </c>
      <c r="E41" s="16"/>
      <c r="F41" s="15"/>
      <c r="H41" s="15"/>
      <c r="J41" s="24"/>
    </row>
    <row r="42" spans="1:11" ht="17" thickBot="1" x14ac:dyDescent="0.25">
      <c r="A42" s="37" t="s">
        <v>34</v>
      </c>
      <c r="B42" s="38">
        <f>IF(Total_Registros_Coordinador &gt;= Premios!H5,
    VLOOKUP(Total_Registros_Coordinador, Tabla_Premios_Coordinador[], 1, TRUE),
    0
)</f>
        <v>30</v>
      </c>
      <c r="C42" s="34"/>
      <c r="D42" s="36">
        <f>IF(Premio_Coordinador &gt; 0, VLOOKUP(Premio_Coordinador, Tabla_Premios_Coordinador[], 2, FALSE), 0)</f>
        <v>2500</v>
      </c>
      <c r="E42" s="16"/>
      <c r="F42" s="15"/>
      <c r="H42" s="15"/>
      <c r="J42" s="24"/>
    </row>
    <row r="43" spans="1:11" x14ac:dyDescent="0.2">
      <c r="A43" s="27" t="s">
        <v>35</v>
      </c>
      <c r="B43" s="18"/>
      <c r="D43" s="28">
        <f>Tabla_Coordinador_MARIANA_PACHECO[[#Totals],[COMISION]] + Pago_Sueldo_Base_Coordinador + Pago_Premio_Coordinador</f>
        <v>6220</v>
      </c>
      <c r="E43" s="16"/>
      <c r="F43" s="15"/>
      <c r="H43" s="15"/>
      <c r="J43" s="24"/>
    </row>
    <row r="44" spans="1:11" x14ac:dyDescent="0.2">
      <c r="A44" s="27" t="s">
        <v>182</v>
      </c>
      <c r="B44" s="18"/>
      <c r="C44" s="29"/>
      <c r="D44" s="40">
        <f>_xlfn.IFNA(SUMIFS(Tabla_Descuentos[DESCUENTO], Tabla_Descuentos[COLABORADOR], Nombre_Coordinador, Tabla_Descuentos[PUESTO], Puesto_Coordinador), 0)</f>
        <v>0</v>
      </c>
      <c r="E44" s="16"/>
      <c r="F44" s="15"/>
      <c r="H44" s="15"/>
      <c r="J44" s="22"/>
      <c r="K44" s="22"/>
    </row>
    <row r="45" spans="1:11" ht="17" thickBot="1" x14ac:dyDescent="0.25">
      <c r="A45" s="37" t="s">
        <v>23</v>
      </c>
      <c r="B45" s="34"/>
      <c r="C45" s="34"/>
      <c r="D45" s="48">
        <f>(Pago_Subtotal_Coordinador * 0.05) * -1</f>
        <v>-311</v>
      </c>
      <c r="E45" s="16"/>
      <c r="F45" s="15"/>
      <c r="H45" s="15"/>
    </row>
    <row r="46" spans="1:11" ht="17" thickBot="1" x14ac:dyDescent="0.25">
      <c r="A46" s="42"/>
      <c r="C46" s="29"/>
      <c r="D46" s="28"/>
      <c r="E46" s="16"/>
      <c r="F46" s="15"/>
    </row>
    <row r="47" spans="1:11" ht="17" thickBot="1" x14ac:dyDescent="0.25">
      <c r="A47" s="37" t="s">
        <v>38</v>
      </c>
      <c r="B47" s="34"/>
      <c r="C47" s="49"/>
      <c r="D47" s="30">
        <f>Pago_Subtotal_Coordinador + Descuento_Coordinador + Deduccion_Coordinador</f>
        <v>5909</v>
      </c>
      <c r="E47" s="16"/>
      <c r="F47" s="15"/>
    </row>
    <row r="48" spans="1:11" x14ac:dyDescent="0.2">
      <c r="C48" s="29"/>
      <c r="D48" s="28"/>
      <c r="E48" s="26"/>
      <c r="F48" s="26"/>
    </row>
    <row r="49" spans="3:9" x14ac:dyDescent="0.2">
      <c r="C49" s="29"/>
      <c r="D49" s="28"/>
      <c r="E49" s="26"/>
      <c r="F49" s="26"/>
      <c r="I49" s="13"/>
    </row>
    <row r="50" spans="3:9" ht="17" thickBot="1" x14ac:dyDescent="0.25">
      <c r="C50" s="37" t="s">
        <v>24</v>
      </c>
      <c r="D50" s="129" t="str" cm="1">
        <f t="array" ref="D50">NumeroATexto(Pago_Neto_Coordinador)</f>
        <v>CINCO MIL NOVECIENTOS NUEVE PESOS 00/100</v>
      </c>
      <c r="E50" s="129"/>
      <c r="F50" s="129"/>
      <c r="G50" s="129"/>
      <c r="H50" s="129"/>
      <c r="I50" s="129"/>
    </row>
    <row r="51" spans="3:9" x14ac:dyDescent="0.2">
      <c r="C51" s="27"/>
      <c r="D51" s="26"/>
      <c r="E51" s="16"/>
      <c r="F51" s="15"/>
      <c r="I51" s="13"/>
    </row>
    <row r="52" spans="3:9" x14ac:dyDescent="0.2">
      <c r="C52" s="29"/>
      <c r="D52" s="28"/>
      <c r="I52" s="13"/>
    </row>
    <row r="53" spans="3:9" ht="17" thickBot="1" x14ac:dyDescent="0.25">
      <c r="C53" s="33" t="s">
        <v>25</v>
      </c>
      <c r="D53" s="130"/>
      <c r="E53" s="130"/>
      <c r="F53" s="130"/>
      <c r="G53" s="130"/>
      <c r="H53" s="130"/>
      <c r="I53" s="130"/>
    </row>
    <row r="54" spans="3:9" x14ac:dyDescent="0.2">
      <c r="I54" s="13"/>
    </row>
    <row r="55" spans="3:9" x14ac:dyDescent="0.2">
      <c r="I55" s="13"/>
    </row>
    <row r="56" spans="3:9" x14ac:dyDescent="0.2">
      <c r="I56" s="13"/>
    </row>
    <row r="57" spans="3:9" x14ac:dyDescent="0.2">
      <c r="I57" s="13"/>
    </row>
    <row r="58" spans="3:9" x14ac:dyDescent="0.2">
      <c r="I58" s="13"/>
    </row>
  </sheetData>
  <mergeCells count="4">
    <mergeCell ref="B1:D1"/>
    <mergeCell ref="B2:D2"/>
    <mergeCell ref="D50:I50"/>
    <mergeCell ref="D53:I53"/>
  </mergeCells>
  <conditionalFormatting sqref="D9:D38">
    <cfRule type="cellIs" dxfId="91" priority="5" operator="equal">
      <formula>0</formula>
    </cfRule>
    <cfRule type="cellIs" dxfId="90" priority="7" operator="equal">
      <formula>$G9=501</formula>
    </cfRule>
  </conditionalFormatting>
  <conditionalFormatting sqref="G9:G38">
    <cfRule type="cellIs" dxfId="89" priority="2" operator="equal">
      <formula>505</formula>
    </cfRule>
    <cfRule type="cellIs" dxfId="88" priority="4" operator="equal">
      <formula>501</formula>
    </cfRule>
    <cfRule type="containsBlanks" dxfId="87" priority="6">
      <formula>LEN(TRIM(G9))=0</formula>
    </cfRule>
  </conditionalFormatting>
  <conditionalFormatting sqref="A9:K38">
    <cfRule type="expression" dxfId="86" priority="3">
      <formula>$G9 = 503</formula>
    </cfRule>
  </conditionalFormatting>
  <conditionalFormatting sqref="H9:H38">
    <cfRule type="cellIs" dxfId="85" priority="1" stopIfTrue="1" operator="lessThan">
      <formula>299</formula>
    </cfRule>
  </conditionalFormatting>
  <conditionalFormatting sqref="B9:B38">
    <cfRule type="duplicateValues" dxfId="83" priority="3399"/>
  </conditionalFormatting>
  <dataValidations count="8">
    <dataValidation type="list" allowBlank="1" showInputMessage="1" showErrorMessage="1" sqref="J9:J38" xr:uid="{737BDE9C-C302-8D45-AECF-8D9129AD1E77}">
      <formula1>#REF!</formula1>
    </dataValidation>
    <dataValidation type="list" allowBlank="1" showInputMessage="1" showErrorMessage="1" sqref="F9:F38" xr:uid="{C9B6D17B-9F15-404E-B180-2AB78CD108BB}">
      <formula1>Cursos</formula1>
    </dataValidation>
    <dataValidation type="list" allowBlank="1" showInputMessage="1" showErrorMessage="1" sqref="B2:D2" xr:uid="{9FA625CB-7505-924E-B155-EDE75A33E162}">
      <formula1>Razones_Sociales</formula1>
    </dataValidation>
    <dataValidation showInputMessage="1" showErrorMessage="1" sqref="A9:A38" xr:uid="{DC205F8D-2328-9D4C-B8CD-F2ED09FAC26C}"/>
    <dataValidation type="date" allowBlank="1" showInputMessage="1" showErrorMessage="1" sqref="I9:I38" xr:uid="{90E49E00-FC36-8E4F-ABB2-25DAF09A9FD4}">
      <formula1>Periodo_De_Pago_Inicial_Gerente</formula1>
      <formula2>Periodo_De_Pago_Final_Gerente</formula2>
    </dataValidation>
    <dataValidation type="custom" allowBlank="1" showInputMessage="1" showErrorMessage="1" sqref="G9:G38" xr:uid="{C60CD7E5-3E33-3241-B089-12A57D89C9BD}">
      <formula1>G9&lt;&gt;500</formula1>
    </dataValidation>
    <dataValidation type="list" allowBlank="1" showInputMessage="1" showErrorMessage="1" sqref="E9:E38" xr:uid="{A6BF3A2F-460D-CF4A-99B1-5725824ECB0B}">
      <formula1>Nombres_Planteles</formula1>
    </dataValidation>
    <dataValidation type="list" allowBlank="1" showInputMessage="1" showErrorMessage="1" sqref="B1" xr:uid="{2BE0FFDA-1E5F-A34C-954B-54CB8EE45D09}">
      <formula1>Nombres_Coordinadores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F790EAAB-A19D-6141-9671-3137DB1B3C2C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2BC2B-57BB-4C40-8E8B-11107D709534}">
  <sheetPr codeName="Sheet18">
    <tabColor rgb="FF00B050"/>
    <pageSetUpPr fitToPage="1"/>
  </sheetPr>
  <dimension ref="A1:K26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1.83203125" style="13" bestFit="1" customWidth="1"/>
    <col min="4" max="4" width="22" style="13" bestFit="1" customWidth="1"/>
    <col min="5" max="5" width="13.332031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181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COUNTIFS(Tabla_PromotorPEDRO_GUTIERREZ[GRUPO],"&lt;&gt;",
Tabla_PromotorPEDRO_GUTIERREZ[GRUPO],"&lt;&gt;503",
Tabla_PromotorPEDRO_GUTIERREZ[GRUPO],"&lt;&gt;500",
Tabla_PromotorPEDRO_GUTIERREZ[PAGO],"&gt;=299")</f>
        <v>4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179</v>
      </c>
      <c r="B9" s="134">
        <v>20904</v>
      </c>
      <c r="C9" s="134" t="s">
        <v>294</v>
      </c>
      <c r="D9" s="135">
        <f>IF(
    OR(
        Tabla_PromotorPEDRO_GUTIERREZ[[#This Row],[GRUPO]] = "",
        Tabla_PromotorPEDRO_GUTIERREZ[[#This Row],[GRUPO]] = 500,
        COUNTIF(Tabla_PromotorPEDRO_GUTIERREZ[CREDENCIAL], Tabla_PromotorPEDRO_GUTIERREZ[[#This Row],[CREDENCIAL]]) &gt; 1,
        COUNTIF(Tabla_Gerente[CREDENCIAL], Tabla_PromotorPEDRO_GUTIERREZ[[#This Row],[CREDENCIAL]]) &gt; 1,
    ),
    0,
    IF(
        Tabla_PromotorPEDRO_GUTIERREZ[[#This Row],[GRUPO]] = 503,
        Tabla_PromotorPEDRO_GUTIERREZ[[#This Row],[PAGO]],
        IF(
            Tabla_PromotorPEDRO_GUTIERREZ[[#This Row],[PAGO]] &gt;= 299,
            Tabla_PromotorPEDRO_GUTIERREZ[[#This Row],[PAGO]] - 150,
            0
        )
    )
)</f>
        <v>350</v>
      </c>
      <c r="E9" s="134" t="s">
        <v>36</v>
      </c>
      <c r="F9" s="134" t="s">
        <v>195</v>
      </c>
      <c r="G9" s="136">
        <v>9345</v>
      </c>
      <c r="H9" s="141">
        <f>IFERROR(VLOOKUP(Tabla_PromotorPEDRO_GUTIERREZ[[#This Row],[CREDENCIAL]], Tabla_Gerente[[CREDENCIAL]:[PAGO]], 7, FALSE), 0)</f>
        <v>500</v>
      </c>
      <c r="I9" s="142">
        <v>45737</v>
      </c>
      <c r="J9" s="139"/>
      <c r="K9" s="139"/>
    </row>
    <row r="10" spans="1:11" x14ac:dyDescent="0.2">
      <c r="A10" s="133" t="s">
        <v>179</v>
      </c>
      <c r="B10" s="134">
        <v>20914</v>
      </c>
      <c r="C10" s="134" t="s">
        <v>295</v>
      </c>
      <c r="D10" s="135">
        <f>IF(
    OR(
        Tabla_PromotorPEDRO_GUTIERREZ[[#This Row],[GRUPO]] = "",
        Tabla_PromotorPEDRO_GUTIERREZ[[#This Row],[GRUPO]] = 500,
        COUNTIF(Tabla_PromotorPEDRO_GUTIERREZ[CREDENCIAL], Tabla_PromotorPEDRO_GUTIERREZ[[#This Row],[CREDENCIAL]]) &gt; 1,
        COUNTIF(Tabla_Gerente[CREDENCIAL], Tabla_PromotorPEDRO_GUTIERREZ[[#This Row],[CREDENCIAL]]) &gt; 1,
    ),
    0,
    IF(
        Tabla_PromotorPEDRO_GUTIERREZ[[#This Row],[GRUPO]] = 503,
        Tabla_PromotorPEDRO_GUTIERREZ[[#This Row],[PAGO]],
        IF(
            Tabla_PromotorPEDRO_GUTIERREZ[[#This Row],[PAGO]] &gt;= 299,
            Tabla_PromotorPEDRO_GUTIERREZ[[#This Row],[PAGO]] - 150,
            0
        )
    )
)</f>
        <v>600</v>
      </c>
      <c r="E10" s="134" t="s">
        <v>36</v>
      </c>
      <c r="F10" s="134" t="s">
        <v>195</v>
      </c>
      <c r="G10" s="136">
        <v>501</v>
      </c>
      <c r="H10" s="141">
        <f>IFERROR(VLOOKUP(Tabla_PromotorPEDRO_GUTIERREZ[[#This Row],[CREDENCIAL]], Tabla_Gerente[[CREDENCIAL]:[PAGO]], 7, FALSE), 0)</f>
        <v>750</v>
      </c>
      <c r="I10" s="142">
        <v>45738</v>
      </c>
      <c r="J10" s="139"/>
      <c r="K10" s="139"/>
    </row>
    <row r="11" spans="1:11" x14ac:dyDescent="0.2">
      <c r="A11" s="133" t="s">
        <v>179</v>
      </c>
      <c r="B11" s="134">
        <v>20922</v>
      </c>
      <c r="C11" s="134" t="s">
        <v>296</v>
      </c>
      <c r="D11" s="135">
        <f>IF(
    OR(
        Tabla_PromotorPEDRO_GUTIERREZ[[#This Row],[GRUPO]] = "",
        Tabla_PromotorPEDRO_GUTIERREZ[[#This Row],[GRUPO]] = 500,
        COUNTIF(Tabla_PromotorPEDRO_GUTIERREZ[CREDENCIAL], Tabla_PromotorPEDRO_GUTIERREZ[[#This Row],[CREDENCIAL]]) &gt; 1,
        COUNTIF(Tabla_Gerente[CREDENCIAL], Tabla_PromotorPEDRO_GUTIERREZ[[#This Row],[CREDENCIAL]]) &gt; 1,
    ),
    0,
    IF(
        Tabla_PromotorPEDRO_GUTIERREZ[[#This Row],[GRUPO]] = 503,
        Tabla_PromotorPEDRO_GUTIERREZ[[#This Row],[PAGO]],
        IF(
            Tabla_PromotorPEDRO_GUTIERREZ[[#This Row],[PAGO]] &gt;= 299,
            Tabla_PromotorPEDRO_GUTIERREZ[[#This Row],[PAGO]] - 150,
            0
        )
    )
)</f>
        <v>200</v>
      </c>
      <c r="E11" s="134" t="s">
        <v>36</v>
      </c>
      <c r="F11" s="134" t="s">
        <v>195</v>
      </c>
      <c r="G11" s="136">
        <v>501</v>
      </c>
      <c r="H11" s="141">
        <f>IFERROR(VLOOKUP(Tabla_PromotorPEDRO_GUTIERREZ[[#This Row],[CREDENCIAL]], Tabla_Gerente[[CREDENCIAL]:[PAGO]], 7, FALSE), 0)</f>
        <v>350</v>
      </c>
      <c r="I11" s="142">
        <v>45738</v>
      </c>
      <c r="J11" s="139"/>
      <c r="K11" s="139"/>
    </row>
    <row r="12" spans="1:11" x14ac:dyDescent="0.2">
      <c r="A12" s="133" t="s">
        <v>179</v>
      </c>
      <c r="B12" s="134">
        <v>20956</v>
      </c>
      <c r="C12" s="134" t="s">
        <v>293</v>
      </c>
      <c r="D12" s="135">
        <f>IF(
    OR(
        Tabla_PromotorPEDRO_GUTIERREZ[[#This Row],[GRUPO]] = "",
        Tabla_PromotorPEDRO_GUTIERREZ[[#This Row],[GRUPO]] = 500,
        COUNTIF(Tabla_PromotorPEDRO_GUTIERREZ[CREDENCIAL], Tabla_PromotorPEDRO_GUTIERREZ[[#This Row],[CREDENCIAL]]) &gt; 1,
        COUNTIF(Tabla_Gerente[CREDENCIAL], Tabla_PromotorPEDRO_GUTIERREZ[[#This Row],[CREDENCIAL]]) &gt; 1,
    ),
    0,
    IF(
        Tabla_PromotorPEDRO_GUTIERREZ[[#This Row],[GRUPO]] = 503,
        Tabla_PromotorPEDRO_GUTIERREZ[[#This Row],[PAGO]],
        IF(
            Tabla_PromotorPEDRO_GUTIERREZ[[#This Row],[PAGO]] &gt;= 299,
            Tabla_PromotorPEDRO_GUTIERREZ[[#This Row],[PAGO]] - 150,
            0
        )
    )
)</f>
        <v>150</v>
      </c>
      <c r="E12" s="134" t="s">
        <v>36</v>
      </c>
      <c r="F12" s="134" t="s">
        <v>201</v>
      </c>
      <c r="G12" s="136">
        <v>501</v>
      </c>
      <c r="H12" s="141">
        <f>IFERROR(VLOOKUP(Tabla_PromotorPEDRO_GUTIERREZ[[#This Row],[CREDENCIAL]], Tabla_Gerente[[CREDENCIAL]:[PAGO]], 7, FALSE), 0)</f>
        <v>300</v>
      </c>
      <c r="I12" s="142">
        <v>45737</v>
      </c>
      <c r="J12" s="139"/>
      <c r="K12" s="139"/>
    </row>
    <row r="13" spans="1:11" x14ac:dyDescent="0.2">
      <c r="A13" s="133" t="s">
        <v>39</v>
      </c>
      <c r="B13" s="134"/>
      <c r="C13" s="134"/>
      <c r="D13" s="135">
        <f>SUBTOTAL(109,Tabla_PromotorPEDRO_GUTIERREZ[COMISION])</f>
        <v>1300</v>
      </c>
      <c r="E13" s="134"/>
      <c r="F13" s="134"/>
      <c r="G13" s="136"/>
      <c r="H13" s="141"/>
      <c r="I13" s="142"/>
      <c r="J13" s="139"/>
      <c r="K13" s="139"/>
    </row>
    <row r="14" spans="1:11" x14ac:dyDescent="0.2">
      <c r="A14" s="25"/>
      <c r="B14" s="14"/>
      <c r="C14" s="15"/>
      <c r="D14" s="52"/>
      <c r="E14" s="14"/>
      <c r="F14" s="14"/>
      <c r="G14" s="27"/>
      <c r="H14" s="53"/>
      <c r="I14" s="14"/>
      <c r="J14" s="16"/>
      <c r="K14" s="16"/>
    </row>
    <row r="15" spans="1:11" x14ac:dyDescent="0.2">
      <c r="A15" s="25" t="s">
        <v>13</v>
      </c>
      <c r="D15" s="68">
        <f>_xlfn.IFNA(VLOOKUP(Nombre_Promotor,Tabla_Sueldos_Base[],2,FALSE),0)</f>
        <v>0</v>
      </c>
      <c r="E15" s="16"/>
      <c r="F15" s="15"/>
      <c r="H15" s="15"/>
      <c r="J15" s="24"/>
    </row>
    <row r="16" spans="1:11" ht="17" thickBot="1" x14ac:dyDescent="0.25">
      <c r="A16" s="37" t="s">
        <v>34</v>
      </c>
      <c r="B16" s="38">
        <f>IF(Total_Registros_Promotor &lt; Premios!A5, 0,
   VLOOKUP(Total_Registros_Promotor, Tabla_Premios_Promotor[], 1, TRUE))</f>
        <v>4</v>
      </c>
      <c r="C16" s="34"/>
      <c r="D16" s="36">
        <f>IF(Premio_Promotor &gt; 0,
   VLOOKUP(Premio_Promotor, Tabla_Premios_Promotor[],
      VLOOKUP(Total_Registros_Gerente, Tabla_Tabulador_Premio_Promotor_Total_Gerencia[], 2, TRUE),
   FALSE),
   0)</f>
        <v>500</v>
      </c>
      <c r="E16" s="16"/>
      <c r="F16" s="15"/>
      <c r="H16" s="15"/>
      <c r="J16" s="24"/>
    </row>
    <row r="17" spans="1:11" x14ac:dyDescent="0.2">
      <c r="A17" s="27" t="s">
        <v>35</v>
      </c>
      <c r="B17" s="18"/>
      <c r="D17" s="28">
        <f>Tabla_PromotorPEDRO_GUTIERREZ[[#Totals],[COMISION]] + Pago_Sueldo_Base_Promotor + Pago_Premio_Promotor</f>
        <v>1800</v>
      </c>
      <c r="E17" s="16"/>
      <c r="F17" s="15"/>
      <c r="H17" s="15"/>
      <c r="J17" s="24"/>
    </row>
    <row r="18" spans="1:11" x14ac:dyDescent="0.2">
      <c r="A18" s="27" t="s">
        <v>182</v>
      </c>
      <c r="B18" s="18"/>
      <c r="C18" s="29"/>
      <c r="D18" s="39">
        <f>_xlfn.IFNA(SUMIFS(Tabla_Descuentos[DESCUENTO], Tabla_Descuentos[COLABORADOR], Nombre_Promotor, Tabla_Descuentos[PUESTO], Puesto_Promotor), 0)</f>
        <v>0</v>
      </c>
      <c r="E18" s="16" t="s">
        <v>108</v>
      </c>
      <c r="F18" s="15"/>
      <c r="H18" s="15"/>
      <c r="I18" s="18"/>
      <c r="J18" s="22"/>
      <c r="K18" s="22"/>
    </row>
    <row r="19" spans="1:11" ht="17" thickBot="1" x14ac:dyDescent="0.25">
      <c r="A19" s="35"/>
      <c r="C19" s="29"/>
      <c r="D19" s="28"/>
      <c r="E19" s="16"/>
      <c r="F19" s="15"/>
    </row>
    <row r="20" spans="1:11" ht="17" thickBot="1" x14ac:dyDescent="0.25">
      <c r="A20" s="37" t="s">
        <v>38</v>
      </c>
      <c r="B20" s="34"/>
      <c r="C20" s="49"/>
      <c r="D20" s="30">
        <f>Pago_Subtotal_Promotor + Descuento_Promotor</f>
        <v>1800</v>
      </c>
      <c r="E20" s="16"/>
      <c r="F20" s="15"/>
    </row>
    <row r="21" spans="1:11" x14ac:dyDescent="0.2">
      <c r="C21" s="29"/>
      <c r="D21" s="28"/>
      <c r="E21" s="26"/>
      <c r="F21" s="26"/>
    </row>
    <row r="22" spans="1:11" x14ac:dyDescent="0.2">
      <c r="C22" s="29"/>
      <c r="D22" s="28"/>
      <c r="E22" s="26"/>
      <c r="F22" s="26"/>
    </row>
    <row r="23" spans="1:11" ht="17" thickBot="1" x14ac:dyDescent="0.25">
      <c r="C23" s="37" t="s">
        <v>24</v>
      </c>
      <c r="D23" s="129" t="str" cm="1">
        <f t="array" ref="D23">NumeroATexto(Pago_Neto_Promotor)</f>
        <v>MIL OCHOCIENTOS PESOS 00/100</v>
      </c>
      <c r="E23" s="129"/>
      <c r="F23" s="129"/>
      <c r="G23" s="129"/>
      <c r="H23" s="129"/>
      <c r="I23" s="129"/>
    </row>
    <row r="24" spans="1:11" x14ac:dyDescent="0.2">
      <c r="C24" s="27"/>
      <c r="D24" s="26"/>
      <c r="E24" s="16"/>
      <c r="F24" s="15"/>
    </row>
    <row r="25" spans="1:11" x14ac:dyDescent="0.2">
      <c r="C25" s="29"/>
      <c r="D25" s="28"/>
    </row>
    <row r="26" spans="1:11" ht="17" thickBot="1" x14ac:dyDescent="0.25">
      <c r="C26" s="33" t="s">
        <v>25</v>
      </c>
      <c r="D26" s="130"/>
      <c r="E26" s="130"/>
      <c r="F26" s="130"/>
      <c r="G26" s="130"/>
      <c r="H26" s="130"/>
      <c r="I26" s="130"/>
    </row>
  </sheetData>
  <mergeCells count="4">
    <mergeCell ref="B1:D1"/>
    <mergeCell ref="B2:D2"/>
    <mergeCell ref="D23:I23"/>
    <mergeCell ref="D26:I26"/>
  </mergeCells>
  <conditionalFormatting sqref="D9:D12">
    <cfRule type="expression" dxfId="82" priority="2">
      <formula>$G9=501</formula>
    </cfRule>
    <cfRule type="cellIs" dxfId="81" priority="5" operator="equal">
      <formula>0</formula>
    </cfRule>
  </conditionalFormatting>
  <conditionalFormatting sqref="G9:G12">
    <cfRule type="cellIs" dxfId="80" priority="3" operator="equal">
      <formula>503</formula>
    </cfRule>
    <cfRule type="cellIs" dxfId="79" priority="4" operator="equal">
      <formula>501</formula>
    </cfRule>
  </conditionalFormatting>
  <conditionalFormatting sqref="H9:H12">
    <cfRule type="cellIs" dxfId="78" priority="1" operator="lessThan">
      <formula>299</formula>
    </cfRule>
  </conditionalFormatting>
  <conditionalFormatting sqref="B9:B12">
    <cfRule type="duplicateValues" dxfId="76" priority="3414"/>
  </conditionalFormatting>
  <dataValidations count="7">
    <dataValidation type="list" allowBlank="1" showInputMessage="1" showErrorMessage="1" sqref="J9:J12" xr:uid="{452966F2-27CB-5146-BE98-306E15025952}">
      <formula1>#REF!</formula1>
    </dataValidation>
    <dataValidation type="list" allowBlank="1" showInputMessage="1" showErrorMessage="1" sqref="F9:F12" xr:uid="{33ECC43C-8A75-D648-912E-5B4777F447FA}">
      <formula1>Cursos</formula1>
    </dataValidation>
    <dataValidation type="list" allowBlank="1" showInputMessage="1" showErrorMessage="1" sqref="B2:D2" xr:uid="{FD4FFB39-7534-4447-9137-EE51495B6142}">
      <formula1>Razones_Sociales</formula1>
    </dataValidation>
    <dataValidation type="date" allowBlank="1" showInputMessage="1" showErrorMessage="1" sqref="I9:I12" xr:uid="{DD8824F4-455E-6545-AE33-9E6173726278}">
      <formula1>Periodo_De_Pago_Inicial_Gerente</formula1>
      <formula2>Periodo_De_Pago_Final_Gerente</formula2>
    </dataValidation>
    <dataValidation type="custom" allowBlank="1" showInputMessage="1" showErrorMessage="1" sqref="G9:G12" xr:uid="{093B9AF7-F947-C344-9B20-7513AB1B4222}">
      <formula1>G9&lt;&gt;500</formula1>
    </dataValidation>
    <dataValidation type="list" allowBlank="1" showInputMessage="1" showErrorMessage="1" sqref="E9:E12" xr:uid="{61897D59-8A95-7C49-B5AF-CF99107EA3D7}">
      <formula1>Nombres_Planteles</formula1>
    </dataValidation>
    <dataValidation type="list" allowBlank="1" showInputMessage="1" showErrorMessage="1" sqref="B1" xr:uid="{5EA81A21-EAB8-F747-9221-0EA15D58FF7F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5C216161-3929-754D-80EB-9D83EF2F5AD2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2F21C-69DA-6B44-A654-7FDACBFE9516}">
  <sheetPr codeName="Sheet17">
    <tabColor rgb="FF00B050"/>
    <pageSetUpPr fitToPage="1"/>
  </sheetPr>
  <dimension ref="A1:K29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4.16406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130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COUNTIFS(Tabla_PromotorFATIMA_HERNANDEZ[GRUPO],"&lt;&gt;",
Tabla_PromotorFATIMA_HERNANDEZ[GRUPO],"&lt;&gt;503",
Tabla_PromotorFATIMA_HERNANDEZ[GRUPO],"&lt;&gt;500",
Tabla_PromotorFATIMA_HERNANDEZ[PAGO],"&gt;=299")</f>
        <v>7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133</v>
      </c>
      <c r="B9" s="134">
        <v>20953</v>
      </c>
      <c r="C9" s="134" t="s">
        <v>301</v>
      </c>
      <c r="D9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150</v>
      </c>
      <c r="E9" s="134" t="s">
        <v>36</v>
      </c>
      <c r="F9" s="134" t="s">
        <v>239</v>
      </c>
      <c r="G9" s="136">
        <v>9390</v>
      </c>
      <c r="H9" s="141">
        <f>IFERROR(VLOOKUP(Tabla_PromotorFATIMA_HERNANDEZ[[#This Row],[CREDENCIAL]], Tabla_Gerente[[CREDENCIAL]:[PAGO]], 7, FALSE), 0)</f>
        <v>300</v>
      </c>
      <c r="I9" s="142">
        <v>45741</v>
      </c>
      <c r="J9" s="139"/>
      <c r="K9" s="139"/>
    </row>
    <row r="10" spans="1:11" x14ac:dyDescent="0.2">
      <c r="A10" s="133" t="s">
        <v>133</v>
      </c>
      <c r="B10" s="134">
        <v>20931</v>
      </c>
      <c r="C10" s="134" t="s">
        <v>299</v>
      </c>
      <c r="D10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250</v>
      </c>
      <c r="E10" s="134" t="s">
        <v>36</v>
      </c>
      <c r="F10" s="134" t="s">
        <v>198</v>
      </c>
      <c r="G10" s="136">
        <v>9393</v>
      </c>
      <c r="H10" s="141">
        <f>IFERROR(VLOOKUP(Tabla_PromotorFATIMA_HERNANDEZ[[#This Row],[CREDENCIAL]], Tabla_Gerente[[CREDENCIAL]:[PAGO]], 7, FALSE), 0)</f>
        <v>400</v>
      </c>
      <c r="I10" s="142">
        <v>45740</v>
      </c>
      <c r="J10" s="139"/>
      <c r="K10" s="139"/>
    </row>
    <row r="11" spans="1:11" x14ac:dyDescent="0.2">
      <c r="A11" s="133" t="s">
        <v>133</v>
      </c>
      <c r="B11" s="134">
        <v>20941</v>
      </c>
      <c r="C11" s="134" t="s">
        <v>300</v>
      </c>
      <c r="D11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150</v>
      </c>
      <c r="E11" s="134" t="s">
        <v>36</v>
      </c>
      <c r="F11" s="134" t="s">
        <v>216</v>
      </c>
      <c r="G11" s="136">
        <v>9377</v>
      </c>
      <c r="H11" s="141">
        <f>IFERROR(VLOOKUP(Tabla_PromotorFATIMA_HERNANDEZ[[#This Row],[CREDENCIAL]], Tabla_Gerente[[CREDENCIAL]:[PAGO]], 7, FALSE), 0)</f>
        <v>300</v>
      </c>
      <c r="I11" s="142">
        <v>45740</v>
      </c>
      <c r="J11" s="139"/>
      <c r="K11" s="139"/>
    </row>
    <row r="12" spans="1:11" x14ac:dyDescent="0.2">
      <c r="A12" s="133" t="s">
        <v>133</v>
      </c>
      <c r="B12" s="134">
        <v>20905</v>
      </c>
      <c r="C12" s="134" t="s">
        <v>297</v>
      </c>
      <c r="D12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350</v>
      </c>
      <c r="E12" s="134" t="s">
        <v>36</v>
      </c>
      <c r="F12" s="134" t="s">
        <v>195</v>
      </c>
      <c r="G12" s="136">
        <v>501</v>
      </c>
      <c r="H12" s="141">
        <f>IFERROR(VLOOKUP(Tabla_PromotorFATIMA_HERNANDEZ[[#This Row],[CREDENCIAL]], Tabla_Gerente[[CREDENCIAL]:[PAGO]], 7, FALSE), 0)</f>
        <v>500</v>
      </c>
      <c r="I12" s="142">
        <v>45738</v>
      </c>
      <c r="J12" s="139"/>
      <c r="K12" s="139"/>
    </row>
    <row r="13" spans="1:11" x14ac:dyDescent="0.2">
      <c r="A13" s="133" t="s">
        <v>133</v>
      </c>
      <c r="B13" s="134">
        <v>20906</v>
      </c>
      <c r="C13" s="134" t="s">
        <v>298</v>
      </c>
      <c r="D13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199</v>
      </c>
      <c r="E13" s="134" t="s">
        <v>36</v>
      </c>
      <c r="F13" s="134" t="s">
        <v>195</v>
      </c>
      <c r="G13" s="136">
        <v>501</v>
      </c>
      <c r="H13" s="141">
        <f>IFERROR(VLOOKUP(Tabla_PromotorFATIMA_HERNANDEZ[[#This Row],[CREDENCIAL]], Tabla_Gerente[[CREDENCIAL]:[PAGO]], 7, FALSE), 0)</f>
        <v>349</v>
      </c>
      <c r="I13" s="142">
        <v>45739</v>
      </c>
      <c r="J13" s="139"/>
      <c r="K13" s="139"/>
    </row>
    <row r="14" spans="1:11" x14ac:dyDescent="0.2">
      <c r="A14" s="133" t="s">
        <v>133</v>
      </c>
      <c r="B14" s="134">
        <v>20942</v>
      </c>
      <c r="C14" s="134" t="s">
        <v>300</v>
      </c>
      <c r="D14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250</v>
      </c>
      <c r="E14" s="134" t="s">
        <v>36</v>
      </c>
      <c r="F14" s="134" t="s">
        <v>195</v>
      </c>
      <c r="G14" s="136">
        <v>501</v>
      </c>
      <c r="H14" s="141">
        <f>IFERROR(VLOOKUP(Tabla_PromotorFATIMA_HERNANDEZ[[#This Row],[CREDENCIAL]], Tabla_Gerente[[CREDENCIAL]:[PAGO]], 7, FALSE), 0)</f>
        <v>400</v>
      </c>
      <c r="I14" s="142">
        <v>45741</v>
      </c>
      <c r="J14" s="139"/>
      <c r="K14" s="139"/>
    </row>
    <row r="15" spans="1:11" x14ac:dyDescent="0.2">
      <c r="A15" s="133" t="s">
        <v>133</v>
      </c>
      <c r="B15" s="134">
        <v>20921</v>
      </c>
      <c r="C15" s="134" t="s">
        <v>302</v>
      </c>
      <c r="D15" s="135">
        <f>IF(
    OR(
        Tabla_PromotorFATIMA_HERNANDEZ[[#This Row],[GRUPO]] = "",
        Tabla_PromotorFATIMA_HERNANDEZ[[#This Row],[GRUPO]] = 500,
        COUNTIF(Tabla_PromotorFATIMA_HERNANDEZ[CREDENCIAL], Tabla_PromotorFATIMA_HERNANDEZ[[#This Row],[CREDENCIAL]]) &gt; 1,
        COUNTIF(Tabla_Gerente[CREDENCIAL], Tabla_PromotorFATIMA_HERNANDEZ[[#This Row],[CREDENCIAL]]) &gt; 1,
    ),
    0,
    IF(
        Tabla_PromotorFATIMA_HERNANDEZ[[#This Row],[GRUPO]] = 503,
        Tabla_PromotorFATIMA_HERNANDEZ[[#This Row],[PAGO]],
        IF(
            Tabla_PromotorFATIMA_HERNANDEZ[[#This Row],[PAGO]] &gt;= 299,
            Tabla_PromotorFATIMA_HERNANDEZ[[#This Row],[PAGO]] - 150,
            0
        )
    )
)</f>
        <v>200</v>
      </c>
      <c r="E15" s="134" t="s">
        <v>36</v>
      </c>
      <c r="F15" s="134" t="s">
        <v>195</v>
      </c>
      <c r="G15" s="136">
        <v>501</v>
      </c>
      <c r="H15" s="141">
        <f>IFERROR(VLOOKUP(Tabla_PromotorFATIMA_HERNANDEZ[[#This Row],[CREDENCIAL]], Tabla_Gerente[[CREDENCIAL]:[PAGO]], 7, FALSE), 0)</f>
        <v>350</v>
      </c>
      <c r="I15" s="142"/>
      <c r="J15" s="139"/>
      <c r="K15" s="139"/>
    </row>
    <row r="16" spans="1:11" x14ac:dyDescent="0.2">
      <c r="A16" s="133" t="s">
        <v>39</v>
      </c>
      <c r="B16" s="134"/>
      <c r="C16" s="134"/>
      <c r="D16" s="135">
        <f>SUBTOTAL(109,Tabla_PromotorFATIMA_HERNANDEZ[COMISION])</f>
        <v>1549</v>
      </c>
      <c r="E16" s="134"/>
      <c r="F16" s="134"/>
      <c r="G16" s="136"/>
      <c r="H16" s="141"/>
      <c r="I16" s="142"/>
      <c r="J16" s="139"/>
      <c r="K16" s="139"/>
    </row>
    <row r="17" spans="1:11" x14ac:dyDescent="0.2">
      <c r="A17" s="25"/>
      <c r="B17" s="14"/>
      <c r="C17" s="15"/>
      <c r="D17" s="52"/>
      <c r="E17" s="14"/>
      <c r="F17" s="14"/>
      <c r="G17" s="27"/>
      <c r="H17" s="53"/>
      <c r="I17" s="14"/>
      <c r="J17" s="16"/>
      <c r="K17" s="16"/>
    </row>
    <row r="18" spans="1:11" x14ac:dyDescent="0.2">
      <c r="A18" s="25" t="s">
        <v>13</v>
      </c>
      <c r="D18" s="68">
        <f>_xlfn.IFNA(VLOOKUP(Nombre_Promotor,Tabla_Sueldos_Base[],2,FALSE),0)</f>
        <v>0</v>
      </c>
      <c r="E18" s="16"/>
      <c r="F18" s="15"/>
      <c r="H18" s="15"/>
      <c r="J18" s="24"/>
    </row>
    <row r="19" spans="1:11" ht="17" thickBot="1" x14ac:dyDescent="0.25">
      <c r="A19" s="37" t="s">
        <v>34</v>
      </c>
      <c r="B19" s="38">
        <f>IF(Total_Registros_Promotor &lt; Premios!A5, 0,
   VLOOKUP(Total_Registros_Promotor, Tabla_Premios_Promotor[], 1, TRUE))</f>
        <v>6</v>
      </c>
      <c r="C19" s="34"/>
      <c r="D19" s="36">
        <f>IF(Premio_Promotor &gt; 0,
   VLOOKUP(Premio_Promotor, Tabla_Premios_Promotor[],
      VLOOKUP(Total_Registros_Gerente, Tabla_Tabulador_Premio_Promotor_Total_Gerencia[], 2, TRUE),
   FALSE),
   0)</f>
        <v>800</v>
      </c>
      <c r="E19" s="16"/>
      <c r="F19" s="15"/>
      <c r="H19" s="15"/>
      <c r="J19" s="24"/>
    </row>
    <row r="20" spans="1:11" x14ac:dyDescent="0.2">
      <c r="A20" s="27" t="s">
        <v>35</v>
      </c>
      <c r="B20" s="18"/>
      <c r="D20" s="28">
        <f>Tabla_PromotorFATIMA_HERNANDEZ[[#Totals],[COMISION]] + Pago_Sueldo_Base_Promotor + Pago_Premio_Promotor</f>
        <v>2349</v>
      </c>
      <c r="E20" s="16"/>
      <c r="F20" s="15"/>
      <c r="H20" s="15"/>
      <c r="J20" s="24"/>
    </row>
    <row r="21" spans="1:11" x14ac:dyDescent="0.2">
      <c r="A21" s="27" t="s">
        <v>182</v>
      </c>
      <c r="B21" s="18"/>
      <c r="C21" s="29"/>
      <c r="D21" s="39">
        <f>_xlfn.IFNA(SUMIFS(Tabla_Descuentos[DESCUENTO], Tabla_Descuentos[COLABORADOR], Nombre_Promotor, Tabla_Descuentos[PUESTO], Puesto_Promotor), 0)</f>
        <v>0</v>
      </c>
      <c r="E21" s="16" t="s">
        <v>108</v>
      </c>
      <c r="F21" s="15"/>
      <c r="H21" s="15"/>
      <c r="I21" s="18"/>
      <c r="J21" s="22"/>
      <c r="K21" s="22"/>
    </row>
    <row r="22" spans="1:11" ht="17" thickBot="1" x14ac:dyDescent="0.25">
      <c r="A22" s="35"/>
      <c r="C22" s="29"/>
      <c r="D22" s="28"/>
      <c r="E22" s="16"/>
      <c r="F22" s="15"/>
    </row>
    <row r="23" spans="1:11" ht="17" thickBot="1" x14ac:dyDescent="0.25">
      <c r="A23" s="37" t="s">
        <v>38</v>
      </c>
      <c r="B23" s="34"/>
      <c r="C23" s="49"/>
      <c r="D23" s="30">
        <f>Pago_Subtotal_Promotor + Descuento_Promotor</f>
        <v>2349</v>
      </c>
      <c r="E23" s="16"/>
      <c r="F23" s="15"/>
    </row>
    <row r="24" spans="1:11" x14ac:dyDescent="0.2">
      <c r="C24" s="29"/>
      <c r="D24" s="28"/>
      <c r="E24" s="26"/>
      <c r="F24" s="26"/>
    </row>
    <row r="25" spans="1:11" x14ac:dyDescent="0.2">
      <c r="C25" s="29"/>
      <c r="D25" s="28"/>
      <c r="E25" s="26"/>
      <c r="F25" s="26"/>
    </row>
    <row r="26" spans="1:11" ht="17" thickBot="1" x14ac:dyDescent="0.25">
      <c r="C26" s="37" t="s">
        <v>24</v>
      </c>
      <c r="D26" s="129" t="str" cm="1">
        <f t="array" ref="D26">NumeroATexto(Pago_Neto_Promotor)</f>
        <v>DOS MIL TRESCIENTOS CUARENTA Y NUEVE PESOS 00/100</v>
      </c>
      <c r="E26" s="129"/>
      <c r="F26" s="129"/>
      <c r="G26" s="129"/>
      <c r="H26" s="129"/>
      <c r="I26" s="129"/>
    </row>
    <row r="27" spans="1:11" x14ac:dyDescent="0.2">
      <c r="C27" s="27"/>
      <c r="D27" s="26"/>
      <c r="E27" s="16"/>
      <c r="F27" s="15"/>
    </row>
    <row r="28" spans="1:11" x14ac:dyDescent="0.2">
      <c r="C28" s="29"/>
      <c r="D28" s="28"/>
    </row>
    <row r="29" spans="1:11" ht="17" thickBot="1" x14ac:dyDescent="0.25">
      <c r="C29" s="33" t="s">
        <v>25</v>
      </c>
      <c r="D29" s="130"/>
      <c r="E29" s="130"/>
      <c r="F29" s="130"/>
      <c r="G29" s="130"/>
      <c r="H29" s="130"/>
      <c r="I29" s="130"/>
    </row>
  </sheetData>
  <mergeCells count="4">
    <mergeCell ref="B1:D1"/>
    <mergeCell ref="B2:D2"/>
    <mergeCell ref="D26:I26"/>
    <mergeCell ref="D29:I29"/>
  </mergeCells>
  <conditionalFormatting sqref="D9:D15">
    <cfRule type="expression" dxfId="75" priority="2">
      <formula>$G9=501</formula>
    </cfRule>
    <cfRule type="cellIs" dxfId="74" priority="5" operator="equal">
      <formula>0</formula>
    </cfRule>
  </conditionalFormatting>
  <conditionalFormatting sqref="G9:G15">
    <cfRule type="cellIs" dxfId="73" priority="3" operator="equal">
      <formula>503</formula>
    </cfRule>
    <cfRule type="cellIs" dxfId="72" priority="4" operator="equal">
      <formula>501</formula>
    </cfRule>
  </conditionalFormatting>
  <conditionalFormatting sqref="H9:H15">
    <cfRule type="cellIs" dxfId="71" priority="1" operator="lessThan">
      <formula>299</formula>
    </cfRule>
  </conditionalFormatting>
  <conditionalFormatting sqref="B9:B15">
    <cfRule type="duplicateValues" dxfId="69" priority="3411"/>
  </conditionalFormatting>
  <dataValidations count="7">
    <dataValidation type="list" allowBlank="1" showInputMessage="1" showErrorMessage="1" sqref="J9:J15" xr:uid="{9FAAF8D8-169C-D24B-908D-86259539081A}">
      <formula1>#REF!</formula1>
    </dataValidation>
    <dataValidation type="list" allowBlank="1" showInputMessage="1" showErrorMessage="1" sqref="F9:F15" xr:uid="{3C903EC1-2D12-D542-9E42-ABBF78B9E212}">
      <formula1>Cursos</formula1>
    </dataValidation>
    <dataValidation type="list" allowBlank="1" showInputMessage="1" showErrorMessage="1" sqref="B2:D2" xr:uid="{6C660E88-A489-F448-82DD-D785AE507082}">
      <formula1>Razones_Sociales</formula1>
    </dataValidation>
    <dataValidation type="date" allowBlank="1" showInputMessage="1" showErrorMessage="1" sqref="I9:I15" xr:uid="{1C525B7F-4AA3-EC4A-B843-954950FCA7FE}">
      <formula1>Periodo_De_Pago_Inicial_Gerente</formula1>
      <formula2>Periodo_De_Pago_Final_Gerente</formula2>
    </dataValidation>
    <dataValidation type="custom" allowBlank="1" showInputMessage="1" showErrorMessage="1" sqref="G9:G15" xr:uid="{10BB6EC2-1C5E-C649-B733-109394DAFCE4}">
      <formula1>G9&lt;&gt;500</formula1>
    </dataValidation>
    <dataValidation type="list" allowBlank="1" showInputMessage="1" showErrorMessage="1" sqref="E9:E15" xr:uid="{5DE10F6C-5A8C-0B41-88E1-1F7CB70E7F5E}">
      <formula1>Nombres_Planteles</formula1>
    </dataValidation>
    <dataValidation type="list" allowBlank="1" showInputMessage="1" showErrorMessage="1" sqref="B1" xr:uid="{5A047762-39DC-1945-95EC-0C3DCD46098A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72AFB34F-97F1-1E4A-8263-570234972F1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E3569-7DD5-D74A-B4AE-8EA8C3037353}">
  <sheetPr codeName="Sheet16">
    <tabColor rgb="FF00B050"/>
    <pageSetUpPr fitToPage="1"/>
  </sheetPr>
  <dimension ref="A1:K23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6.5" style="13" bestFit="1" customWidth="1"/>
    <col min="4" max="4" width="22" style="13" bestFit="1" customWidth="1"/>
    <col min="5" max="5" width="13.33203125" style="13" bestFit="1" customWidth="1"/>
    <col min="6" max="6" width="12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178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COUNTIFS(Tabla_PromotorYANISSE_TORRES[GRUPO],"&lt;&gt;",
Tabla_PromotorYANISSE_TORRES[GRUPO],"&lt;&gt;503",
Tabla_PromotorYANISSE_TORRES[GRUPO],"&lt;&gt;500",
Tabla_PromotorYANISSE_TORRES[PAGO],"&gt;=299")</f>
        <v>0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7"/>
      <c r="B9" s="18"/>
      <c r="C9" s="18"/>
      <c r="D9" s="50">
        <f>IF(
    OR(
        Tabla_PromotorYANISSE_TORRES[[#This Row],[GRUPO]] = "",
        Tabla_PromotorYANISSE_TORRES[[#This Row],[GRUPO]] = 500,
        COUNTIF(Tabla_PromotorYANISSE_TORRES[CREDENCIAL], Tabla_PromotorYANISSE_TORRES[[#This Row],[CREDENCIAL]]) &gt; 1,
        COUNTIF(Tabla_Gerente[CREDENCIAL], Tabla_PromotorYANISSE_TORRES[[#This Row],[CREDENCIAL]]) &gt; 1,
    ),
    0,
    IF(
        Tabla_PromotorYANISSE_TORRES[[#This Row],[GRUPO]] = 503,
        Tabla_PromotorYANISSE_TORRES[[#This Row],[PAGO]],
        IF(
            Tabla_PromotorYANISSE_TORRES[[#This Row],[PAGO]] &gt;= 299,
            Tabla_PromotorYANISSE_TORRES[[#This Row],[PAGO]] - 150,
            0
        )
    )
)</f>
        <v>0</v>
      </c>
      <c r="E9" s="18"/>
      <c r="F9" s="18"/>
      <c r="G9" s="42"/>
      <c r="H9" s="51">
        <f>IFERROR(VLOOKUP(Tabla_PromotorYANISSE_TORRES[[#This Row],[CREDENCIAL]], Tabla_Gerente[[CREDENCIAL]:[PAGO]], 7, FALSE), 0)</f>
        <v>0</v>
      </c>
      <c r="I9" s="104"/>
      <c r="J9" s="19"/>
      <c r="K9" s="19"/>
    </row>
    <row r="10" spans="1:11" x14ac:dyDescent="0.2">
      <c r="A10" s="25" t="s">
        <v>39</v>
      </c>
      <c r="B10" s="14"/>
      <c r="C10" s="15"/>
      <c r="D10" s="52">
        <f>SUBTOTAL(109,Tabla_PromotorYANISSE_TORRES[COMISION])</f>
        <v>0</v>
      </c>
      <c r="E10" s="14"/>
      <c r="F10" s="14"/>
      <c r="G10" s="27"/>
      <c r="H10" s="53"/>
      <c r="I10" s="14"/>
      <c r="J10" s="16"/>
      <c r="K10" s="16"/>
    </row>
    <row r="11" spans="1:11" x14ac:dyDescent="0.2">
      <c r="A11" s="25"/>
      <c r="B11" s="14"/>
      <c r="C11" s="15"/>
      <c r="D11" s="52"/>
      <c r="E11" s="14"/>
      <c r="F11" s="14"/>
      <c r="G11" s="27"/>
      <c r="H11" s="53"/>
      <c r="I11" s="14"/>
      <c r="J11" s="16"/>
      <c r="K11" s="16"/>
    </row>
    <row r="12" spans="1:11" x14ac:dyDescent="0.2">
      <c r="A12" s="25" t="s">
        <v>13</v>
      </c>
      <c r="D12" s="68">
        <f>_xlfn.IFNA(VLOOKUP(Nombre_Promotor,Tabla_Sueldos_Base[],2,FALSE),0)</f>
        <v>500</v>
      </c>
      <c r="E12" s="16"/>
      <c r="F12" s="15"/>
      <c r="H12" s="15"/>
      <c r="J12" s="24"/>
    </row>
    <row r="13" spans="1:11" ht="17" thickBot="1" x14ac:dyDescent="0.25">
      <c r="A13" s="37" t="s">
        <v>34</v>
      </c>
      <c r="B13" s="38">
        <f>IF(Total_Registros_Promotor &lt; Premios!A5, 0,
   VLOOKUP(Total_Registros_Promotor, Tabla_Premios_Promotor[], 1, TRUE))</f>
        <v>0</v>
      </c>
      <c r="C13" s="34"/>
      <c r="D13" s="36">
        <f>IF(Premio_Promotor &gt; 0,
   VLOOKUP(Premio_Promotor, Tabla_Premios_Promotor[],
      VLOOKUP(Total_Registros_Gerente, Tabla_Tabulador_Premio_Promotor_Total_Gerencia[], 2, TRUE),
   FALSE),
   0)</f>
        <v>0</v>
      </c>
      <c r="E13" s="16"/>
      <c r="F13" s="15"/>
      <c r="H13" s="15"/>
      <c r="J13" s="24"/>
    </row>
    <row r="14" spans="1:11" x14ac:dyDescent="0.2">
      <c r="A14" s="27" t="s">
        <v>35</v>
      </c>
      <c r="B14" s="18"/>
      <c r="D14" s="28">
        <f>Tabla_PromotorYANISSE_TORRES[[#Totals],[COMISION]] + Pago_Sueldo_Base_Promotor + Pago_Premio_Promotor</f>
        <v>500</v>
      </c>
      <c r="E14" s="16"/>
      <c r="F14" s="15"/>
      <c r="H14" s="15"/>
      <c r="J14" s="24"/>
    </row>
    <row r="15" spans="1:11" x14ac:dyDescent="0.2">
      <c r="A15" s="27" t="s">
        <v>182</v>
      </c>
      <c r="B15" s="18"/>
      <c r="C15" s="29"/>
      <c r="D15" s="39">
        <f>_xlfn.IFNA(SUMIFS(Tabla_Descuentos[DESCUENTO], Tabla_Descuentos[COLABORADOR], Nombre_Promotor, Tabla_Descuentos[PUESTO], Puesto_Promotor), 0)</f>
        <v>0</v>
      </c>
      <c r="E15" s="16" t="s">
        <v>108</v>
      </c>
      <c r="F15" s="15"/>
      <c r="H15" s="15"/>
      <c r="I15" s="18"/>
      <c r="J15" s="22"/>
      <c r="K15" s="22"/>
    </row>
    <row r="16" spans="1:11" ht="17" thickBot="1" x14ac:dyDescent="0.25">
      <c r="A16" s="35"/>
      <c r="C16" s="29"/>
      <c r="D16" s="28"/>
      <c r="E16" s="16"/>
      <c r="F16" s="15"/>
    </row>
    <row r="17" spans="1:9" ht="17" thickBot="1" x14ac:dyDescent="0.25">
      <c r="A17" s="37" t="s">
        <v>38</v>
      </c>
      <c r="B17" s="34"/>
      <c r="C17" s="49"/>
      <c r="D17" s="30">
        <f>Pago_Subtotal_Promotor + Descuento_Promotor</f>
        <v>500</v>
      </c>
      <c r="E17" s="16"/>
      <c r="F17" s="15"/>
    </row>
    <row r="18" spans="1:9" x14ac:dyDescent="0.2">
      <c r="C18" s="29"/>
      <c r="D18" s="28"/>
      <c r="E18" s="26"/>
      <c r="F18" s="26"/>
    </row>
    <row r="19" spans="1:9" x14ac:dyDescent="0.2">
      <c r="C19" s="29"/>
      <c r="D19" s="28"/>
      <c r="E19" s="26"/>
      <c r="F19" s="26"/>
    </row>
    <row r="20" spans="1:9" ht="17" thickBot="1" x14ac:dyDescent="0.25">
      <c r="C20" s="37" t="s">
        <v>24</v>
      </c>
      <c r="D20" s="129" t="str" cm="1">
        <f t="array" ref="D20">NumeroATexto(Pago_Neto_Promotor)</f>
        <v>QUINIENTOS PESOS 00/100</v>
      </c>
      <c r="E20" s="129"/>
      <c r="F20" s="129"/>
      <c r="G20" s="129"/>
      <c r="H20" s="129"/>
      <c r="I20" s="129"/>
    </row>
    <row r="21" spans="1:9" x14ac:dyDescent="0.2">
      <c r="C21" s="27"/>
      <c r="D21" s="26"/>
      <c r="E21" s="16"/>
      <c r="F21" s="15"/>
    </row>
    <row r="22" spans="1:9" x14ac:dyDescent="0.2">
      <c r="C22" s="29"/>
      <c r="D22" s="28"/>
    </row>
    <row r="23" spans="1:9" ht="17" thickBot="1" x14ac:dyDescent="0.25">
      <c r="C23" s="33" t="s">
        <v>25</v>
      </c>
      <c r="D23" s="130"/>
      <c r="E23" s="130"/>
      <c r="F23" s="130"/>
      <c r="G23" s="130"/>
      <c r="H23" s="130"/>
      <c r="I23" s="130"/>
    </row>
  </sheetData>
  <mergeCells count="4">
    <mergeCell ref="B1:D1"/>
    <mergeCell ref="B2:D2"/>
    <mergeCell ref="D20:I20"/>
    <mergeCell ref="D23:I23"/>
  </mergeCells>
  <conditionalFormatting sqref="D9">
    <cfRule type="expression" dxfId="68" priority="2">
      <formula>$G9=501</formula>
    </cfRule>
    <cfRule type="cellIs" dxfId="67" priority="5" operator="equal">
      <formula>0</formula>
    </cfRule>
  </conditionalFormatting>
  <conditionalFormatting sqref="G9">
    <cfRule type="cellIs" dxfId="66" priority="3" operator="equal">
      <formula>503</formula>
    </cfRule>
    <cfRule type="cellIs" dxfId="65" priority="4" operator="equal">
      <formula>501</formula>
    </cfRule>
  </conditionalFormatting>
  <conditionalFormatting sqref="B9">
    <cfRule type="duplicateValues" dxfId="64" priority="6"/>
  </conditionalFormatting>
  <conditionalFormatting sqref="H9">
    <cfRule type="cellIs" dxfId="63" priority="1" operator="lessThan">
      <formula>299</formula>
    </cfRule>
  </conditionalFormatting>
  <dataValidations count="7">
    <dataValidation type="list" allowBlank="1" showInputMessage="1" showErrorMessage="1" sqref="J9" xr:uid="{D513E78F-8CC4-F24F-A4AD-9B2E8090F999}">
      <formula1>#REF!</formula1>
    </dataValidation>
    <dataValidation type="list" allowBlank="1" showInputMessage="1" showErrorMessage="1" sqref="F9" xr:uid="{7EED6FE7-9A7C-E04A-9CA3-BB1B52F46774}">
      <formula1>Cursos</formula1>
    </dataValidation>
    <dataValidation type="list" allowBlank="1" showInputMessage="1" showErrorMessage="1" sqref="B2:D2" xr:uid="{B9C31FB3-6145-E641-919E-3E60554F469E}">
      <formula1>Razones_Sociales</formula1>
    </dataValidation>
    <dataValidation type="date" allowBlank="1" showInputMessage="1" showErrorMessage="1" sqref="I9" xr:uid="{845A70E5-4C3E-8444-9D95-A9D214BAFAC2}">
      <formula1>Periodo_De_Pago_Inicial_Gerente</formula1>
      <formula2>Periodo_De_Pago_Final_Gerente</formula2>
    </dataValidation>
    <dataValidation type="custom" allowBlank="1" showInputMessage="1" showErrorMessage="1" sqref="G9" xr:uid="{6BC9E842-A1CB-EF4E-AD42-98C6BBAEA5C6}">
      <formula1>G9&lt;&gt;500</formula1>
    </dataValidation>
    <dataValidation type="list" allowBlank="1" showInputMessage="1" showErrorMessage="1" sqref="E9" xr:uid="{C1D1FA6D-ABBA-2C42-8C0F-5F8E777ABF7B}">
      <formula1>Nombres_Planteles</formula1>
    </dataValidation>
    <dataValidation type="list" allowBlank="1" showInputMessage="1" showErrorMessage="1" sqref="B1" xr:uid="{14BA471A-5283-954F-B619-29E046EFBE1E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603083F-0632-0140-A77F-053CB30FDBD0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00A03-8310-7048-97CD-81E5D3FB3E16}">
  <sheetPr codeName="Sheet15">
    <tabColor rgb="FF00B050"/>
    <pageSetUpPr fitToPage="1"/>
  </sheetPr>
  <dimension ref="A1:K26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2.1640625" style="13" bestFit="1" customWidth="1"/>
    <col min="4" max="4" width="22" style="13" bestFit="1" customWidth="1"/>
    <col min="5" max="5" width="13.33203125" style="13" bestFit="1" customWidth="1"/>
    <col min="6" max="6" width="13.83203125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129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COUNTIFS(Tabla_PromotorLIZBETH_MORALES[GRUPO],"&lt;&gt;",
Tabla_PromotorLIZBETH_MORALES[GRUPO],"&lt;&gt;503",
Tabla_PromotorLIZBETH_MORALES[GRUPO],"&lt;&gt;500",
Tabla_PromotorLIZBETH_MORALES[PAGO],"&gt;=299")</f>
        <v>4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180</v>
      </c>
      <c r="B9" s="134">
        <v>20925</v>
      </c>
      <c r="C9" s="134" t="s">
        <v>289</v>
      </c>
      <c r="D9" s="135">
        <f>IF(
    OR(
        Tabla_PromotorLIZBETH_MORALES[[#This Row],[GRUPO]] = "",
        Tabla_PromotorLIZBETH_MORALES[[#This Row],[GRUPO]] = 500,
        COUNTIF(Tabla_PromotorLIZBETH_MORALES[CREDENCIAL], Tabla_PromotorLIZBETH_MORALES[[#This Row],[CREDENCIAL]]) &gt; 1,
        COUNTIF(Tabla_Gerente[CREDENCIAL], Tabla_PromotorLIZBETH_MORALES[[#This Row],[CREDENCIAL]]) &gt; 1,
    ),
    0,
    IF(
        Tabla_PromotorLIZBETH_MORALES[[#This Row],[GRUPO]] = 503,
        Tabla_PromotorLIZBETH_MORALES[[#This Row],[PAGO]],
        IF(
            Tabla_PromotorLIZBETH_MORALES[[#This Row],[PAGO]] &gt;= 299,
            Tabla_PromotorLIZBETH_MORALES[[#This Row],[PAGO]] - 150,
            0
        )
    )
)</f>
        <v>550</v>
      </c>
      <c r="E9" s="134" t="s">
        <v>36</v>
      </c>
      <c r="F9" s="134" t="s">
        <v>216</v>
      </c>
      <c r="G9" s="136">
        <v>9382</v>
      </c>
      <c r="H9" s="141">
        <f>IFERROR(VLOOKUP(Tabla_PromotorLIZBETH_MORALES[[#This Row],[CREDENCIAL]], Tabla_Gerente[[CREDENCIAL]:[PAGO]], 7, FALSE), 0)</f>
        <v>700</v>
      </c>
      <c r="I9" s="142">
        <v>45736</v>
      </c>
      <c r="J9" s="139"/>
      <c r="K9" s="139"/>
    </row>
    <row r="10" spans="1:11" x14ac:dyDescent="0.2">
      <c r="A10" s="133" t="s">
        <v>180</v>
      </c>
      <c r="B10" s="134">
        <v>20929</v>
      </c>
      <c r="C10" s="134" t="s">
        <v>290</v>
      </c>
      <c r="D10" s="135">
        <f>IF(
    OR(
        Tabla_PromotorLIZBETH_MORALES[[#This Row],[GRUPO]] = "",
        Tabla_PromotorLIZBETH_MORALES[[#This Row],[GRUPO]] = 500,
        COUNTIF(Tabla_PromotorLIZBETH_MORALES[CREDENCIAL], Tabla_PromotorLIZBETH_MORALES[[#This Row],[CREDENCIAL]]) &gt; 1,
        COUNTIF(Tabla_Gerente[CREDENCIAL], Tabla_PromotorLIZBETH_MORALES[[#This Row],[CREDENCIAL]]) &gt; 1,
    ),
    0,
    IF(
        Tabla_PromotorLIZBETH_MORALES[[#This Row],[GRUPO]] = 503,
        Tabla_PromotorLIZBETH_MORALES[[#This Row],[PAGO]],
        IF(
            Tabla_PromotorLIZBETH_MORALES[[#This Row],[PAGO]] &gt;= 299,
            Tabla_PromotorLIZBETH_MORALES[[#This Row],[PAGO]] - 150,
            0
        )
    )
)</f>
        <v>199</v>
      </c>
      <c r="E10" s="134" t="s">
        <v>36</v>
      </c>
      <c r="F10" s="134" t="s">
        <v>215</v>
      </c>
      <c r="G10" s="136">
        <v>9384</v>
      </c>
      <c r="H10" s="141">
        <f>IFERROR(VLOOKUP(Tabla_PromotorLIZBETH_MORALES[[#This Row],[CREDENCIAL]], Tabla_Gerente[[CREDENCIAL]:[PAGO]], 7, FALSE), 0)</f>
        <v>349</v>
      </c>
      <c r="I10" s="142">
        <v>45736</v>
      </c>
      <c r="J10" s="139"/>
      <c r="K10" s="139"/>
    </row>
    <row r="11" spans="1:11" x14ac:dyDescent="0.2">
      <c r="A11" s="133" t="s">
        <v>180</v>
      </c>
      <c r="B11" s="134">
        <v>20951</v>
      </c>
      <c r="C11" s="134" t="s">
        <v>291</v>
      </c>
      <c r="D11" s="135">
        <f>IF(
    OR(
        Tabla_PromotorLIZBETH_MORALES[[#This Row],[GRUPO]] = "",
        Tabla_PromotorLIZBETH_MORALES[[#This Row],[GRUPO]] = 500,
        COUNTIF(Tabla_PromotorLIZBETH_MORALES[CREDENCIAL], Tabla_PromotorLIZBETH_MORALES[[#This Row],[CREDENCIAL]]) &gt; 1,
        COUNTIF(Tabla_Gerente[CREDENCIAL], Tabla_PromotorLIZBETH_MORALES[[#This Row],[CREDENCIAL]]) &gt; 1,
    ),
    0,
    IF(
        Tabla_PromotorLIZBETH_MORALES[[#This Row],[GRUPO]] = 503,
        Tabla_PromotorLIZBETH_MORALES[[#This Row],[PAGO]],
        IF(
            Tabla_PromotorLIZBETH_MORALES[[#This Row],[PAGO]] &gt;= 299,
            Tabla_PromotorLIZBETH_MORALES[[#This Row],[PAGO]] - 150,
            0
        )
    )
)</f>
        <v>149</v>
      </c>
      <c r="E11" s="134" t="s">
        <v>36</v>
      </c>
      <c r="F11" s="134" t="s">
        <v>214</v>
      </c>
      <c r="G11" s="136">
        <v>9374</v>
      </c>
      <c r="H11" s="141">
        <f>IFERROR(VLOOKUP(Tabla_PromotorLIZBETH_MORALES[[#This Row],[CREDENCIAL]], Tabla_Gerente[[CREDENCIAL]:[PAGO]], 7, FALSE), 0)</f>
        <v>299</v>
      </c>
      <c r="I11" s="142">
        <v>45736</v>
      </c>
      <c r="J11" s="139"/>
      <c r="K11" s="139"/>
    </row>
    <row r="12" spans="1:11" x14ac:dyDescent="0.2">
      <c r="A12" s="133" t="s">
        <v>180</v>
      </c>
      <c r="B12" s="134">
        <v>20952</v>
      </c>
      <c r="C12" s="134" t="s">
        <v>292</v>
      </c>
      <c r="D12" s="135">
        <f>IF(
    OR(
        Tabla_PromotorLIZBETH_MORALES[[#This Row],[GRUPO]] = "",
        Tabla_PromotorLIZBETH_MORALES[[#This Row],[GRUPO]] = 500,
        COUNTIF(Tabla_PromotorLIZBETH_MORALES[CREDENCIAL], Tabla_PromotorLIZBETH_MORALES[[#This Row],[CREDENCIAL]]) &gt; 1,
        COUNTIF(Tabla_Gerente[CREDENCIAL], Tabla_PromotorLIZBETH_MORALES[[#This Row],[CREDENCIAL]]) &gt; 1,
    ),
    0,
    IF(
        Tabla_PromotorLIZBETH_MORALES[[#This Row],[GRUPO]] = 503,
        Tabla_PromotorLIZBETH_MORALES[[#This Row],[PAGO]],
        IF(
            Tabla_PromotorLIZBETH_MORALES[[#This Row],[PAGO]] &gt;= 299,
            Tabla_PromotorLIZBETH_MORALES[[#This Row],[PAGO]] - 150,
            0
        )
    )
)</f>
        <v>149</v>
      </c>
      <c r="E12" s="134" t="s">
        <v>36</v>
      </c>
      <c r="F12" s="134" t="s">
        <v>214</v>
      </c>
      <c r="G12" s="136">
        <v>9374</v>
      </c>
      <c r="H12" s="141">
        <f>IFERROR(VLOOKUP(Tabla_PromotorLIZBETH_MORALES[[#This Row],[CREDENCIAL]], Tabla_Gerente[[CREDENCIAL]:[PAGO]], 7, FALSE), 0)</f>
        <v>299</v>
      </c>
      <c r="I12" s="142">
        <v>45737</v>
      </c>
      <c r="J12" s="139"/>
      <c r="K12" s="139"/>
    </row>
    <row r="13" spans="1:11" x14ac:dyDescent="0.2">
      <c r="A13" s="133" t="s">
        <v>39</v>
      </c>
      <c r="B13" s="134"/>
      <c r="C13" s="134"/>
      <c r="D13" s="135">
        <f>SUBTOTAL(109,Tabla_PromotorLIZBETH_MORALES[COMISION])</f>
        <v>1047</v>
      </c>
      <c r="E13" s="134"/>
      <c r="F13" s="134"/>
      <c r="G13" s="136"/>
      <c r="H13" s="141"/>
      <c r="I13" s="142"/>
      <c r="J13" s="139"/>
      <c r="K13" s="139"/>
    </row>
    <row r="14" spans="1:11" x14ac:dyDescent="0.2">
      <c r="A14" s="25"/>
      <c r="B14" s="14"/>
      <c r="C14" s="15"/>
      <c r="D14" s="52"/>
      <c r="E14" s="14"/>
      <c r="F14" s="14"/>
      <c r="G14" s="27"/>
      <c r="H14" s="53"/>
      <c r="I14" s="14"/>
      <c r="J14" s="16"/>
      <c r="K14" s="16"/>
    </row>
    <row r="15" spans="1:11" x14ac:dyDescent="0.2">
      <c r="A15" s="25" t="s">
        <v>13</v>
      </c>
      <c r="D15" s="68">
        <f>_xlfn.IFNA(VLOOKUP(Nombre_Promotor,Tabla_Sueldos_Base[],2,FALSE),0)</f>
        <v>500</v>
      </c>
      <c r="E15" s="16"/>
      <c r="F15" s="15"/>
      <c r="H15" s="15"/>
      <c r="J15" s="24"/>
    </row>
    <row r="16" spans="1:11" ht="17" thickBot="1" x14ac:dyDescent="0.25">
      <c r="A16" s="37" t="s">
        <v>34</v>
      </c>
      <c r="B16" s="38">
        <f>IF(Total_Registros_Promotor &lt; Premios!A5, 0,
   VLOOKUP(Total_Registros_Promotor, Tabla_Premios_Promotor[], 1, TRUE))</f>
        <v>4</v>
      </c>
      <c r="C16" s="34"/>
      <c r="D16" s="36">
        <f>IF(Premio_Promotor &gt; 0,
   VLOOKUP(Premio_Promotor, Tabla_Premios_Promotor[],
      VLOOKUP(Total_Registros_Gerente, Tabla_Tabulador_Premio_Promotor_Total_Gerencia[], 2, TRUE),
   FALSE),
   0)</f>
        <v>500</v>
      </c>
      <c r="E16" s="16"/>
      <c r="F16" s="15"/>
      <c r="H16" s="15"/>
      <c r="J16" s="24"/>
    </row>
    <row r="17" spans="1:11" x14ac:dyDescent="0.2">
      <c r="A17" s="27" t="s">
        <v>35</v>
      </c>
      <c r="B17" s="18"/>
      <c r="D17" s="28">
        <f>Tabla_PromotorLIZBETH_MORALES[[#Totals],[COMISION]] + Pago_Sueldo_Base_Promotor + Pago_Premio_Promotor</f>
        <v>2047</v>
      </c>
      <c r="E17" s="16"/>
      <c r="F17" s="15"/>
      <c r="H17" s="15"/>
      <c r="J17" s="24"/>
    </row>
    <row r="18" spans="1:11" x14ac:dyDescent="0.2">
      <c r="A18" s="27" t="s">
        <v>182</v>
      </c>
      <c r="B18" s="18"/>
      <c r="C18" s="29"/>
      <c r="D18" s="39">
        <f>_xlfn.IFNA(SUMIFS(Tabla_Descuentos[DESCUENTO], Tabla_Descuentos[COLABORADOR], Nombre_Promotor, Tabla_Descuentos[PUESTO], Puesto_Promotor), 0)</f>
        <v>0</v>
      </c>
      <c r="E18" s="16" t="s">
        <v>108</v>
      </c>
      <c r="F18" s="15"/>
      <c r="H18" s="15"/>
      <c r="I18" s="18"/>
      <c r="J18" s="22"/>
      <c r="K18" s="22"/>
    </row>
    <row r="19" spans="1:11" ht="17" thickBot="1" x14ac:dyDescent="0.25">
      <c r="A19" s="35"/>
      <c r="C19" s="29"/>
      <c r="D19" s="28"/>
      <c r="E19" s="16"/>
      <c r="F19" s="15"/>
    </row>
    <row r="20" spans="1:11" ht="17" thickBot="1" x14ac:dyDescent="0.25">
      <c r="A20" s="37" t="s">
        <v>38</v>
      </c>
      <c r="B20" s="34"/>
      <c r="C20" s="49"/>
      <c r="D20" s="30">
        <f>Pago_Subtotal_Promotor + Descuento_Promotor</f>
        <v>2047</v>
      </c>
      <c r="E20" s="16"/>
      <c r="F20" s="15"/>
    </row>
    <row r="21" spans="1:11" x14ac:dyDescent="0.2">
      <c r="C21" s="29"/>
      <c r="D21" s="28"/>
      <c r="E21" s="26"/>
      <c r="F21" s="26"/>
    </row>
    <row r="22" spans="1:11" x14ac:dyDescent="0.2">
      <c r="C22" s="29"/>
      <c r="D22" s="28"/>
      <c r="E22" s="26"/>
      <c r="F22" s="26"/>
    </row>
    <row r="23" spans="1:11" ht="17" thickBot="1" x14ac:dyDescent="0.25">
      <c r="C23" s="37" t="s">
        <v>24</v>
      </c>
      <c r="D23" s="129" t="str" cm="1">
        <f t="array" ref="D23">NumeroATexto(Pago_Neto_Promotor)</f>
        <v>DOS MIL CUARENTA Y SIETE PESOS 00/100</v>
      </c>
      <c r="E23" s="129"/>
      <c r="F23" s="129"/>
      <c r="G23" s="129"/>
      <c r="H23" s="129"/>
      <c r="I23" s="129"/>
    </row>
    <row r="24" spans="1:11" x14ac:dyDescent="0.2">
      <c r="C24" s="27"/>
      <c r="D24" s="26"/>
      <c r="E24" s="16"/>
      <c r="F24" s="15"/>
    </row>
    <row r="25" spans="1:11" x14ac:dyDescent="0.2">
      <c r="C25" s="29"/>
      <c r="D25" s="28"/>
    </row>
    <row r="26" spans="1:11" ht="17" thickBot="1" x14ac:dyDescent="0.25">
      <c r="C26" s="33" t="s">
        <v>25</v>
      </c>
      <c r="D26" s="130"/>
      <c r="E26" s="130"/>
      <c r="F26" s="130"/>
      <c r="G26" s="130"/>
      <c r="H26" s="130"/>
      <c r="I26" s="130"/>
    </row>
  </sheetData>
  <mergeCells count="4">
    <mergeCell ref="B1:D1"/>
    <mergeCell ref="B2:D2"/>
    <mergeCell ref="D23:I23"/>
    <mergeCell ref="D26:I26"/>
  </mergeCells>
  <conditionalFormatting sqref="D9:D12">
    <cfRule type="expression" dxfId="61" priority="2">
      <formula>$G9=501</formula>
    </cfRule>
    <cfRule type="cellIs" dxfId="60" priority="5" operator="equal">
      <formula>0</formula>
    </cfRule>
  </conditionalFormatting>
  <conditionalFormatting sqref="G9:G12">
    <cfRule type="cellIs" dxfId="59" priority="3" operator="equal">
      <formula>503</formula>
    </cfRule>
    <cfRule type="cellIs" dxfId="58" priority="4" operator="equal">
      <formula>501</formula>
    </cfRule>
  </conditionalFormatting>
  <conditionalFormatting sqref="H9:H12">
    <cfRule type="cellIs" dxfId="57" priority="1" operator="lessThan">
      <formula>299</formula>
    </cfRule>
  </conditionalFormatting>
  <conditionalFormatting sqref="B9:B12">
    <cfRule type="duplicateValues" dxfId="55" priority="3408"/>
  </conditionalFormatting>
  <dataValidations count="7">
    <dataValidation type="list" allowBlank="1" showInputMessage="1" showErrorMessage="1" sqref="J9:J12" xr:uid="{B8025D6E-06F8-7648-908C-CAAA62A4094A}">
      <formula1>#REF!</formula1>
    </dataValidation>
    <dataValidation type="list" allowBlank="1" showInputMessage="1" showErrorMessage="1" sqref="F9:F12" xr:uid="{CC299E8E-AC11-1047-B77E-3886C196130A}">
      <formula1>Cursos</formula1>
    </dataValidation>
    <dataValidation type="list" allowBlank="1" showInputMessage="1" showErrorMessage="1" sqref="B2:D2" xr:uid="{68CF8FF4-3E3D-8B45-8271-8E10920EC33E}">
      <formula1>Razones_Sociales</formula1>
    </dataValidation>
    <dataValidation type="date" allowBlank="1" showInputMessage="1" showErrorMessage="1" sqref="I9:I12" xr:uid="{F78CF8B4-8D38-A148-A7F6-331A5EF771C2}">
      <formula1>Periodo_De_Pago_Inicial_Gerente</formula1>
      <formula2>Periodo_De_Pago_Final_Gerente</formula2>
    </dataValidation>
    <dataValidation type="custom" allowBlank="1" showInputMessage="1" showErrorMessage="1" sqref="G9:G12" xr:uid="{A079F765-F134-5045-9F27-0E52A7C2E0AF}">
      <formula1>G9&lt;&gt;500</formula1>
    </dataValidation>
    <dataValidation type="list" allowBlank="1" showInputMessage="1" showErrorMessage="1" sqref="E9:E12" xr:uid="{451F3FDE-7C75-644B-83CE-E512E1F4ABF3}">
      <formula1>Nombres_Planteles</formula1>
    </dataValidation>
    <dataValidation type="list" allowBlank="1" showInputMessage="1" showErrorMessage="1" sqref="B1" xr:uid="{EAEF1FC0-F54D-354B-A5D1-BCAC3CA1C15D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DBC7237-5738-7F42-8589-5116135CA076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B9:B12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B6FDF-9809-6646-93C2-F30B5122FFA5}">
  <sheetPr codeName="Sheet14">
    <tabColor rgb="FF00B050"/>
    <pageSetUpPr fitToPage="1"/>
  </sheetPr>
  <dimension ref="A1:K37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8.16406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128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COUNTIFS(Tabla_PromotorEUNICE_MORALES[GRUPO],"&lt;&gt;",
Tabla_PromotorEUNICE_MORALES[GRUPO],"&lt;&gt;503",
Tabla_PromotorEUNICE_MORALES[GRUPO],"&lt;&gt;500",
Tabla_PromotorEUNICE_MORALES[PAGO],"&gt;=299")</f>
        <v>15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177</v>
      </c>
      <c r="B9" s="134">
        <v>20909</v>
      </c>
      <c r="C9" s="134" t="s">
        <v>278</v>
      </c>
      <c r="D9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200</v>
      </c>
      <c r="E9" s="134" t="s">
        <v>36</v>
      </c>
      <c r="F9" s="134" t="s">
        <v>239</v>
      </c>
      <c r="G9" s="136">
        <v>9378</v>
      </c>
      <c r="H9" s="141">
        <f>IFERROR(VLOOKUP(Tabla_PromotorEUNICE_MORALES[[#This Row],[CREDENCIAL]], Tabla_Gerente[[CREDENCIAL]:[PAGO]], 7, FALSE), 0)</f>
        <v>350</v>
      </c>
      <c r="I9" s="142">
        <v>45737</v>
      </c>
      <c r="J9" s="139"/>
      <c r="K9" s="139"/>
    </row>
    <row r="10" spans="1:11" x14ac:dyDescent="0.2">
      <c r="A10" s="133" t="s">
        <v>177</v>
      </c>
      <c r="B10" s="134">
        <v>20932</v>
      </c>
      <c r="C10" s="134" t="s">
        <v>283</v>
      </c>
      <c r="D10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0" s="134" t="s">
        <v>36</v>
      </c>
      <c r="F10" s="134" t="s">
        <v>198</v>
      </c>
      <c r="G10" s="136">
        <v>9187</v>
      </c>
      <c r="H10" s="141">
        <f>IFERROR(VLOOKUP(Tabla_PromotorEUNICE_MORALES[[#This Row],[CREDENCIAL]], Tabla_Gerente[[CREDENCIAL]:[PAGO]], 7, FALSE), 0)</f>
        <v>399</v>
      </c>
      <c r="I10" s="142">
        <v>45738</v>
      </c>
      <c r="J10" s="139"/>
      <c r="K10" s="139"/>
    </row>
    <row r="11" spans="1:11" x14ac:dyDescent="0.2">
      <c r="A11" s="133" t="s">
        <v>177</v>
      </c>
      <c r="B11" s="134">
        <v>20938</v>
      </c>
      <c r="C11" s="134" t="s">
        <v>285</v>
      </c>
      <c r="D11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199</v>
      </c>
      <c r="E11" s="134" t="s">
        <v>36</v>
      </c>
      <c r="F11" s="134" t="s">
        <v>198</v>
      </c>
      <c r="G11" s="136">
        <v>9044</v>
      </c>
      <c r="H11" s="141">
        <f>IFERROR(VLOOKUP(Tabla_PromotorEUNICE_MORALES[[#This Row],[CREDENCIAL]], Tabla_Gerente[[CREDENCIAL]:[PAGO]], 7, FALSE), 0)</f>
        <v>349</v>
      </c>
      <c r="I11" s="142">
        <v>45740</v>
      </c>
      <c r="J11" s="139"/>
      <c r="K11" s="139"/>
    </row>
    <row r="12" spans="1:11" x14ac:dyDescent="0.2">
      <c r="A12" s="133" t="s">
        <v>177</v>
      </c>
      <c r="B12" s="134">
        <v>20898</v>
      </c>
      <c r="C12" s="134" t="s">
        <v>274</v>
      </c>
      <c r="D12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2" s="134" t="s">
        <v>36</v>
      </c>
      <c r="F12" s="134" t="s">
        <v>216</v>
      </c>
      <c r="G12" s="136">
        <v>9380</v>
      </c>
      <c r="H12" s="141">
        <f>IFERROR(VLOOKUP(Tabla_PromotorEUNICE_MORALES[[#This Row],[CREDENCIAL]], Tabla_Gerente[[CREDENCIAL]:[PAGO]], 7, FALSE), 0)</f>
        <v>399</v>
      </c>
      <c r="I12" s="142">
        <v>45736</v>
      </c>
      <c r="J12" s="139"/>
      <c r="K12" s="139"/>
    </row>
    <row r="13" spans="1:11" x14ac:dyDescent="0.2">
      <c r="A13" s="133" t="s">
        <v>177</v>
      </c>
      <c r="B13" s="134">
        <v>20899</v>
      </c>
      <c r="C13" s="134" t="s">
        <v>275</v>
      </c>
      <c r="D13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3" s="134" t="s">
        <v>36</v>
      </c>
      <c r="F13" s="134" t="s">
        <v>216</v>
      </c>
      <c r="G13" s="136">
        <v>9380</v>
      </c>
      <c r="H13" s="141">
        <f>IFERROR(VLOOKUP(Tabla_PromotorEUNICE_MORALES[[#This Row],[CREDENCIAL]], Tabla_Gerente[[CREDENCIAL]:[PAGO]], 7, FALSE), 0)</f>
        <v>399</v>
      </c>
      <c r="I13" s="142">
        <v>45736</v>
      </c>
      <c r="J13" s="139"/>
      <c r="K13" s="139"/>
    </row>
    <row r="14" spans="1:11" x14ac:dyDescent="0.2">
      <c r="A14" s="133" t="s">
        <v>177</v>
      </c>
      <c r="B14" s="134">
        <v>20910</v>
      </c>
      <c r="C14" s="134" t="s">
        <v>279</v>
      </c>
      <c r="D14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199</v>
      </c>
      <c r="E14" s="134" t="s">
        <v>36</v>
      </c>
      <c r="F14" s="134" t="s">
        <v>216</v>
      </c>
      <c r="G14" s="136">
        <v>9376</v>
      </c>
      <c r="H14" s="141">
        <f>IFERROR(VLOOKUP(Tabla_PromotorEUNICE_MORALES[[#This Row],[CREDENCIAL]], Tabla_Gerente[[CREDENCIAL]:[PAGO]], 7, FALSE), 0)</f>
        <v>349</v>
      </c>
      <c r="I14" s="142">
        <v>45737</v>
      </c>
      <c r="J14" s="139"/>
      <c r="K14" s="139"/>
    </row>
    <row r="15" spans="1:11" x14ac:dyDescent="0.2">
      <c r="A15" s="133" t="s">
        <v>177</v>
      </c>
      <c r="B15" s="134">
        <v>20923</v>
      </c>
      <c r="C15" s="134" t="s">
        <v>281</v>
      </c>
      <c r="D15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5" s="134" t="s">
        <v>36</v>
      </c>
      <c r="F15" s="134" t="s">
        <v>216</v>
      </c>
      <c r="G15" s="136">
        <v>9377</v>
      </c>
      <c r="H15" s="141">
        <f>IFERROR(VLOOKUP(Tabla_PromotorEUNICE_MORALES[[#This Row],[CREDENCIAL]], Tabla_Gerente[[CREDENCIAL]:[PAGO]], 7, FALSE), 0)</f>
        <v>399</v>
      </c>
      <c r="I15" s="142">
        <v>45738</v>
      </c>
      <c r="J15" s="139"/>
      <c r="K15" s="139"/>
    </row>
    <row r="16" spans="1:11" x14ac:dyDescent="0.2">
      <c r="A16" s="133" t="s">
        <v>177</v>
      </c>
      <c r="B16" s="134">
        <v>20945</v>
      </c>
      <c r="C16" s="134" t="s">
        <v>286</v>
      </c>
      <c r="D16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6" s="134" t="s">
        <v>36</v>
      </c>
      <c r="F16" s="134" t="s">
        <v>216</v>
      </c>
      <c r="G16" s="136">
        <v>9371</v>
      </c>
      <c r="H16" s="141">
        <f>IFERROR(VLOOKUP(Tabla_PromotorEUNICE_MORALES[[#This Row],[CREDENCIAL]], Tabla_Gerente[[CREDENCIAL]:[PAGO]], 7, FALSE), 0)</f>
        <v>399</v>
      </c>
      <c r="I16" s="142">
        <v>45740</v>
      </c>
      <c r="J16" s="139"/>
      <c r="K16" s="139"/>
    </row>
    <row r="17" spans="1:11" x14ac:dyDescent="0.2">
      <c r="A17" s="133" t="s">
        <v>177</v>
      </c>
      <c r="B17" s="134">
        <v>20919</v>
      </c>
      <c r="C17" s="134" t="s">
        <v>280</v>
      </c>
      <c r="D17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7" s="134" t="s">
        <v>36</v>
      </c>
      <c r="F17" s="134" t="s">
        <v>215</v>
      </c>
      <c r="G17" s="136">
        <v>9388</v>
      </c>
      <c r="H17" s="141">
        <f>IFERROR(VLOOKUP(Tabla_PromotorEUNICE_MORALES[[#This Row],[CREDENCIAL]], Tabla_Gerente[[CREDENCIAL]:[PAGO]], 7, FALSE), 0)</f>
        <v>399</v>
      </c>
      <c r="I17" s="142">
        <v>45737</v>
      </c>
      <c r="J17" s="139"/>
      <c r="K17" s="139"/>
    </row>
    <row r="18" spans="1:11" x14ac:dyDescent="0.2">
      <c r="A18" s="133" t="s">
        <v>177</v>
      </c>
      <c r="B18" s="134">
        <v>20934</v>
      </c>
      <c r="C18" s="134" t="s">
        <v>284</v>
      </c>
      <c r="D18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18" s="134" t="s">
        <v>36</v>
      </c>
      <c r="F18" s="134" t="s">
        <v>215</v>
      </c>
      <c r="G18" s="136">
        <v>9384</v>
      </c>
      <c r="H18" s="141">
        <f>IFERROR(VLOOKUP(Tabla_PromotorEUNICE_MORALES[[#This Row],[CREDENCIAL]], Tabla_Gerente[[CREDENCIAL]:[PAGO]], 7, FALSE), 0)</f>
        <v>399</v>
      </c>
      <c r="I18" s="142">
        <v>45739</v>
      </c>
      <c r="J18" s="139"/>
      <c r="K18" s="139"/>
    </row>
    <row r="19" spans="1:11" x14ac:dyDescent="0.2">
      <c r="A19" s="133" t="s">
        <v>177</v>
      </c>
      <c r="B19" s="134">
        <v>20957</v>
      </c>
      <c r="C19" s="134" t="s">
        <v>288</v>
      </c>
      <c r="D19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149</v>
      </c>
      <c r="E19" s="134" t="s">
        <v>36</v>
      </c>
      <c r="F19" s="134" t="s">
        <v>215</v>
      </c>
      <c r="G19" s="136">
        <v>9384</v>
      </c>
      <c r="H19" s="141">
        <f>IFERROR(VLOOKUP(Tabla_PromotorEUNICE_MORALES[[#This Row],[CREDENCIAL]], Tabla_Gerente[[CREDENCIAL]:[PAGO]], 7, FALSE), 0)</f>
        <v>299</v>
      </c>
      <c r="I19" s="142">
        <v>45741</v>
      </c>
      <c r="J19" s="139"/>
      <c r="K19" s="139"/>
    </row>
    <row r="20" spans="1:11" x14ac:dyDescent="0.2">
      <c r="A20" s="133" t="s">
        <v>177</v>
      </c>
      <c r="B20" s="134">
        <v>20930</v>
      </c>
      <c r="C20" s="134" t="s">
        <v>282</v>
      </c>
      <c r="D20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20" s="134" t="s">
        <v>36</v>
      </c>
      <c r="F20" s="134" t="s">
        <v>195</v>
      </c>
      <c r="G20" s="136">
        <v>9389</v>
      </c>
      <c r="H20" s="141">
        <f>IFERROR(VLOOKUP(Tabla_PromotorEUNICE_MORALES[[#This Row],[CREDENCIAL]], Tabla_Gerente[[CREDENCIAL]:[PAGO]], 7, FALSE), 0)</f>
        <v>399</v>
      </c>
      <c r="I20" s="142">
        <v>45738</v>
      </c>
      <c r="J20" s="139"/>
      <c r="K20" s="139"/>
    </row>
    <row r="21" spans="1:11" x14ac:dyDescent="0.2">
      <c r="A21" s="133" t="s">
        <v>177</v>
      </c>
      <c r="B21" s="134">
        <v>50339</v>
      </c>
      <c r="C21" s="134" t="s">
        <v>287</v>
      </c>
      <c r="D21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550</v>
      </c>
      <c r="E21" s="134" t="s">
        <v>36</v>
      </c>
      <c r="F21" s="134" t="s">
        <v>217</v>
      </c>
      <c r="G21" s="136">
        <v>100</v>
      </c>
      <c r="H21" s="141">
        <f>IFERROR(VLOOKUP(Tabla_PromotorEUNICE_MORALES[[#This Row],[CREDENCIAL]], Tabla_Gerente[[CREDENCIAL]:[PAGO]], 7, FALSE), 0)</f>
        <v>700</v>
      </c>
      <c r="I21" s="142">
        <v>45741</v>
      </c>
      <c r="J21" s="139"/>
      <c r="K21" s="139"/>
    </row>
    <row r="22" spans="1:11" x14ac:dyDescent="0.2">
      <c r="A22" s="133" t="s">
        <v>177</v>
      </c>
      <c r="B22" s="134">
        <v>20901</v>
      </c>
      <c r="C22" s="134" t="s">
        <v>276</v>
      </c>
      <c r="D22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22" s="134" t="s">
        <v>36</v>
      </c>
      <c r="F22" s="134" t="s">
        <v>219</v>
      </c>
      <c r="G22" s="136">
        <v>9391</v>
      </c>
      <c r="H22" s="141">
        <f>IFERROR(VLOOKUP(Tabla_PromotorEUNICE_MORALES[[#This Row],[CREDENCIAL]], Tabla_Gerente[[CREDENCIAL]:[PAGO]], 7, FALSE), 0)</f>
        <v>399</v>
      </c>
      <c r="I22" s="142">
        <v>45736</v>
      </c>
      <c r="J22" s="139"/>
      <c r="K22" s="139"/>
    </row>
    <row r="23" spans="1:11" x14ac:dyDescent="0.2">
      <c r="A23" s="133" t="s">
        <v>177</v>
      </c>
      <c r="B23" s="134">
        <v>20902</v>
      </c>
      <c r="C23" s="134" t="s">
        <v>277</v>
      </c>
      <c r="D23" s="135">
        <f>IF(
    OR(
        Tabla_PromotorEUNICE_MORALES[[#This Row],[GRUPO]] = "",
        Tabla_PromotorEUNICE_MORALES[[#This Row],[GRUPO]] = 500,
        COUNTIF(Tabla_PromotorEUNICE_MORALES[CREDENCIAL], Tabla_PromotorEUNICE_MORALES[[#This Row],[CREDENCIAL]]) &gt; 1,
        COUNTIF(Tabla_Gerente[CREDENCIAL], Tabla_PromotorEUNICE_MORALES[[#This Row],[CREDENCIAL]]) &gt; 1,
    ),
    0,
    IF(
        Tabla_PromotorEUNICE_MORALES[[#This Row],[GRUPO]] = 503,
        Tabla_PromotorEUNICE_MORALES[[#This Row],[PAGO]],
        IF(
            Tabla_PromotorEUNICE_MORALES[[#This Row],[PAGO]] &gt;= 299,
            Tabla_PromotorEUNICE_MORALES[[#This Row],[PAGO]] - 150,
            0
        )
    )
)</f>
        <v>249</v>
      </c>
      <c r="E23" s="134" t="s">
        <v>36</v>
      </c>
      <c r="F23" s="134" t="s">
        <v>219</v>
      </c>
      <c r="G23" s="136">
        <v>9391</v>
      </c>
      <c r="H23" s="141">
        <f>IFERROR(VLOOKUP(Tabla_PromotorEUNICE_MORALES[[#This Row],[CREDENCIAL]], Tabla_Gerente[[CREDENCIAL]:[PAGO]], 7, FALSE), 0)</f>
        <v>399</v>
      </c>
      <c r="I23" s="142">
        <v>45736</v>
      </c>
      <c r="J23" s="139"/>
      <c r="K23" s="139"/>
    </row>
    <row r="24" spans="1:11" x14ac:dyDescent="0.2">
      <c r="A24" s="133" t="s">
        <v>39</v>
      </c>
      <c r="B24" s="134"/>
      <c r="C24" s="134"/>
      <c r="D24" s="135">
        <f>SUBTOTAL(109,Tabla_PromotorEUNICE_MORALES[COMISION])</f>
        <v>3787</v>
      </c>
      <c r="E24" s="134"/>
      <c r="F24" s="134"/>
      <c r="G24" s="136"/>
      <c r="H24" s="141"/>
      <c r="I24" s="142"/>
      <c r="J24" s="139"/>
      <c r="K24" s="139"/>
    </row>
    <row r="25" spans="1:11" x14ac:dyDescent="0.2">
      <c r="A25" s="25"/>
      <c r="B25" s="14"/>
      <c r="C25" s="15"/>
      <c r="D25" s="52"/>
      <c r="E25" s="14"/>
      <c r="F25" s="14"/>
      <c r="G25" s="27"/>
      <c r="H25" s="53"/>
      <c r="I25" s="14"/>
      <c r="J25" s="16"/>
      <c r="K25" s="16"/>
    </row>
    <row r="26" spans="1:11" x14ac:dyDescent="0.2">
      <c r="A26" s="25" t="s">
        <v>13</v>
      </c>
      <c r="D26" s="68">
        <f>_xlfn.IFNA(VLOOKUP(Nombre_Promotor,Tabla_Sueldos_Base[],2,FALSE),0)</f>
        <v>500</v>
      </c>
      <c r="E26" s="16"/>
      <c r="F26" s="15"/>
      <c r="H26" s="15"/>
      <c r="J26" s="24"/>
    </row>
    <row r="27" spans="1:11" ht="17" thickBot="1" x14ac:dyDescent="0.25">
      <c r="A27" s="37" t="s">
        <v>34</v>
      </c>
      <c r="B27" s="38">
        <f>IF(Total_Registros_Promotor &lt; Premios!A5, 0,
   VLOOKUP(Total_Registros_Promotor, Tabla_Premios_Promotor[], 1, TRUE))</f>
        <v>15</v>
      </c>
      <c r="C27" s="34"/>
      <c r="D27" s="36">
        <f>IF(Premio_Promotor &gt; 0,
   VLOOKUP(Premio_Promotor, Tabla_Premios_Promotor[],
      VLOOKUP(Total_Registros_Gerente, Tabla_Tabulador_Premio_Promotor_Total_Gerencia[], 2, TRUE),
   FALSE),
   0)</f>
        <v>2000</v>
      </c>
      <c r="E27" s="16"/>
      <c r="F27" s="15"/>
      <c r="H27" s="15"/>
      <c r="J27" s="24"/>
    </row>
    <row r="28" spans="1:11" x14ac:dyDescent="0.2">
      <c r="A28" s="27" t="s">
        <v>35</v>
      </c>
      <c r="B28" s="18"/>
      <c r="D28" s="28">
        <f>Tabla_PromotorEUNICE_MORALES[[#Totals],[COMISION]] + Pago_Sueldo_Base_Promotor + Pago_Premio_Promotor</f>
        <v>6287</v>
      </c>
      <c r="E28" s="16"/>
      <c r="F28" s="15"/>
      <c r="H28" s="15"/>
      <c r="J28" s="24"/>
    </row>
    <row r="29" spans="1:11" x14ac:dyDescent="0.2">
      <c r="A29" s="27" t="s">
        <v>182</v>
      </c>
      <c r="B29" s="18"/>
      <c r="C29" s="29"/>
      <c r="D29" s="39">
        <f>_xlfn.IFNA(SUMIFS(Tabla_Descuentos[DESCUENTO], Tabla_Descuentos[COLABORADOR], Nombre_Promotor, Tabla_Descuentos[PUESTO], Puesto_Promotor), 0)</f>
        <v>0</v>
      </c>
      <c r="E29" s="16" t="s">
        <v>108</v>
      </c>
      <c r="F29" s="15"/>
      <c r="H29" s="15"/>
      <c r="I29" s="18"/>
      <c r="J29" s="22"/>
      <c r="K29" s="22"/>
    </row>
    <row r="30" spans="1:11" ht="17" thickBot="1" x14ac:dyDescent="0.25">
      <c r="A30" s="35"/>
      <c r="C30" s="29"/>
      <c r="D30" s="28"/>
      <c r="E30" s="16"/>
      <c r="F30" s="15"/>
    </row>
    <row r="31" spans="1:11" ht="17" thickBot="1" x14ac:dyDescent="0.25">
      <c r="A31" s="37" t="s">
        <v>38</v>
      </c>
      <c r="B31" s="34"/>
      <c r="C31" s="49"/>
      <c r="D31" s="30">
        <f>Pago_Subtotal_Promotor + Descuento_Promotor</f>
        <v>6287</v>
      </c>
      <c r="E31" s="16"/>
      <c r="F31" s="15"/>
    </row>
    <row r="32" spans="1:11" x14ac:dyDescent="0.2">
      <c r="C32" s="29"/>
      <c r="D32" s="28"/>
      <c r="E32" s="26"/>
      <c r="F32" s="26"/>
    </row>
    <row r="33" spans="3:9" x14ac:dyDescent="0.2">
      <c r="C33" s="29"/>
      <c r="D33" s="28"/>
      <c r="E33" s="26"/>
      <c r="F33" s="26"/>
    </row>
    <row r="34" spans="3:9" ht="17" thickBot="1" x14ac:dyDescent="0.25">
      <c r="C34" s="37" t="s">
        <v>24</v>
      </c>
      <c r="D34" s="129" t="str" cm="1">
        <f t="array" ref="D34">NumeroATexto(Pago_Neto_Promotor)</f>
        <v>SEIS MIL DOSCIENTOS OCHENTA Y SIETE PESOS 00/100</v>
      </c>
      <c r="E34" s="129"/>
      <c r="F34" s="129"/>
      <c r="G34" s="129"/>
      <c r="H34" s="129"/>
      <c r="I34" s="129"/>
    </row>
    <row r="35" spans="3:9" x14ac:dyDescent="0.2">
      <c r="C35" s="27"/>
      <c r="D35" s="26"/>
      <c r="E35" s="16"/>
      <c r="F35" s="15"/>
    </row>
    <row r="36" spans="3:9" x14ac:dyDescent="0.2">
      <c r="C36" s="29"/>
      <c r="D36" s="28"/>
    </row>
    <row r="37" spans="3:9" ht="17" thickBot="1" x14ac:dyDescent="0.25">
      <c r="C37" s="33" t="s">
        <v>25</v>
      </c>
      <c r="D37" s="130"/>
      <c r="E37" s="130"/>
      <c r="F37" s="130"/>
      <c r="G37" s="130"/>
      <c r="H37" s="130"/>
      <c r="I37" s="130"/>
    </row>
  </sheetData>
  <mergeCells count="4">
    <mergeCell ref="B1:D1"/>
    <mergeCell ref="B2:D2"/>
    <mergeCell ref="D34:I34"/>
    <mergeCell ref="D37:I37"/>
  </mergeCells>
  <conditionalFormatting sqref="D9:D23">
    <cfRule type="expression" dxfId="54" priority="2">
      <formula>$G9=501</formula>
    </cfRule>
    <cfRule type="cellIs" dxfId="53" priority="5" operator="equal">
      <formula>0</formula>
    </cfRule>
  </conditionalFormatting>
  <conditionalFormatting sqref="G9:G23">
    <cfRule type="cellIs" dxfId="52" priority="3" operator="equal">
      <formula>503</formula>
    </cfRule>
    <cfRule type="cellIs" dxfId="51" priority="4" operator="equal">
      <formula>501</formula>
    </cfRule>
  </conditionalFormatting>
  <conditionalFormatting sqref="H9:H23">
    <cfRule type="cellIs" dxfId="50" priority="1" operator="lessThan">
      <formula>299</formula>
    </cfRule>
  </conditionalFormatting>
  <conditionalFormatting sqref="B9:B23">
    <cfRule type="duplicateValues" dxfId="48" priority="3405"/>
  </conditionalFormatting>
  <dataValidations count="7">
    <dataValidation type="list" allowBlank="1" showInputMessage="1" showErrorMessage="1" sqref="J9:J23" xr:uid="{A74CA8B9-36E4-E44D-8FA8-3D77D2FA9863}">
      <formula1>#REF!</formula1>
    </dataValidation>
    <dataValidation type="list" allowBlank="1" showInputMessage="1" showErrorMessage="1" sqref="F9:F23" xr:uid="{C2BD3DB3-9750-8F40-8939-FC5AFD4442C4}">
      <formula1>Cursos</formula1>
    </dataValidation>
    <dataValidation type="list" allowBlank="1" showInputMessage="1" showErrorMessage="1" sqref="B2:D2" xr:uid="{B9387F4F-47F9-4941-8D4A-CB77D2E57EEF}">
      <formula1>Razones_Sociales</formula1>
    </dataValidation>
    <dataValidation type="date" allowBlank="1" showInputMessage="1" showErrorMessage="1" sqref="I9:I23" xr:uid="{A3316E11-C15B-4040-B8D4-BB190A12EEB5}">
      <formula1>Periodo_De_Pago_Inicial_Gerente</formula1>
      <formula2>Periodo_De_Pago_Final_Gerente</formula2>
    </dataValidation>
    <dataValidation type="custom" allowBlank="1" showInputMessage="1" showErrorMessage="1" sqref="G9:G23" xr:uid="{844B4E42-B55A-364F-A529-85069D2A35D1}">
      <formula1>G9&lt;&gt;500</formula1>
    </dataValidation>
    <dataValidation type="list" allowBlank="1" showInputMessage="1" showErrorMessage="1" sqref="E9:E23" xr:uid="{26BD3F77-163A-6643-B2B6-7EF60113FAF4}">
      <formula1>Nombres_Planteles</formula1>
    </dataValidation>
    <dataValidation type="list" allowBlank="1" showInputMessage="1" showErrorMessage="1" sqref="B1" xr:uid="{9593742B-037F-9247-A7A6-DBCD721F0FF0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539641E2-471F-EB4F-A7BA-BBF12E5D3AE0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B9:B23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A5BA6-3606-1C4C-9412-1CB8DB12425D}">
  <sheetPr codeName="Sheet12">
    <tabColor rgb="FF0070C0"/>
  </sheetPr>
  <dimension ref="A1:K59"/>
  <sheetViews>
    <sheetView workbookViewId="0">
      <selection activeCell="A9" sqref="A9:K39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1.16406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3.83203125" style="13" bestFit="1" customWidth="1"/>
    <col min="8" max="8" width="11.6640625" style="13" bestFit="1" customWidth="1"/>
    <col min="9" max="9" width="26" style="19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18" width="10.6640625" style="13" customWidth="1"/>
    <col min="19" max="16384" width="14.5" style="13"/>
  </cols>
  <sheetData>
    <row r="1" spans="1:11" ht="17" thickBot="1" x14ac:dyDescent="0.25">
      <c r="A1" s="32" t="s">
        <v>27</v>
      </c>
      <c r="B1" s="127" t="s">
        <v>117</v>
      </c>
      <c r="C1" s="127"/>
      <c r="D1" s="127"/>
      <c r="F1" s="43" t="s">
        <v>103</v>
      </c>
      <c r="G1" s="45" t="s">
        <v>6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99">
        <v>45736</v>
      </c>
      <c r="C3" s="44" t="s">
        <v>29</v>
      </c>
      <c r="D3" s="100">
        <v>45743</v>
      </c>
      <c r="F3" s="20"/>
      <c r="G3" s="21"/>
      <c r="I3" s="16"/>
    </row>
    <row r="4" spans="1:11" ht="17" thickBot="1" x14ac:dyDescent="0.25">
      <c r="A4" s="43" t="s">
        <v>17</v>
      </c>
      <c r="B4" s="85" cm="1">
        <f t="array" ref="B4">IF(COUNTA(Tabla_Coordinador_OLIVIA_PACHECO[GRUPO]) = 0, 0,
   COUNTIFS(Tabla_Coordinador_OLIVIA_PACHECO[GRUPO], "&lt;&gt;",
            Tabla_Coordinador_OLIVIA_PACHECO[GRUPO], "&lt;&gt;503",
            Tabla_Coordinador_OLIVIA_PACHECO[GRUPO], "&lt;&gt;500",
            Tabla_Coordinador_OLIVIA_PACHECO[PAGO], "&gt;=299")
   - SUMPRODUCT(COUNTIF(Tabla_Gerente[CREDENCIAL], Tabla_Coordinador_OLIVIA_PACHECO[CREDENCIAL]) - 1))</f>
        <v>31</v>
      </c>
      <c r="C4" s="17"/>
      <c r="F4" s="18"/>
      <c r="G4" s="18"/>
      <c r="H4" s="17"/>
      <c r="I4" s="31" t="s">
        <v>37</v>
      </c>
      <c r="J4" s="72">
        <v>18526</v>
      </c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J5" s="23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110" t="s">
        <v>7</v>
      </c>
      <c r="B8" s="110" t="s">
        <v>18</v>
      </c>
      <c r="C8" s="110" t="s">
        <v>97</v>
      </c>
      <c r="D8" s="111" t="s">
        <v>33</v>
      </c>
      <c r="E8" s="110" t="s">
        <v>32</v>
      </c>
      <c r="F8" s="110" t="s">
        <v>52</v>
      </c>
      <c r="G8" s="110" t="s">
        <v>20</v>
      </c>
      <c r="H8" s="111" t="s">
        <v>1</v>
      </c>
      <c r="I8" s="110" t="s">
        <v>53</v>
      </c>
      <c r="J8" s="110" t="s">
        <v>21</v>
      </c>
      <c r="K8" s="110" t="s">
        <v>22</v>
      </c>
    </row>
    <row r="9" spans="1:11" x14ac:dyDescent="0.2">
      <c r="A9" s="133" t="s">
        <v>113</v>
      </c>
      <c r="B9" s="134">
        <v>20933</v>
      </c>
      <c r="C9" s="134" t="s">
        <v>258</v>
      </c>
      <c r="D9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9" s="134" t="s">
        <v>36</v>
      </c>
      <c r="F9" s="134" t="s">
        <v>239</v>
      </c>
      <c r="G9" s="136">
        <v>501</v>
      </c>
      <c r="H9" s="137">
        <f>IFERROR(VLOOKUP(Tabla_Coordinador_OLIVIA_PACHECO[[#This Row],[CREDENCIAL]], Tabla_Gerente[[CREDENCIAL]:[PAGO]], 7, FALSE), 0)</f>
        <v>350</v>
      </c>
      <c r="I9" s="138">
        <v>45736</v>
      </c>
      <c r="J9" s="139"/>
      <c r="K9" s="139"/>
    </row>
    <row r="10" spans="1:11" x14ac:dyDescent="0.2">
      <c r="A10" s="133" t="s">
        <v>113</v>
      </c>
      <c r="B10" s="134">
        <v>20937</v>
      </c>
      <c r="C10" s="134" t="s">
        <v>260</v>
      </c>
      <c r="D10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0" s="134" t="s">
        <v>36</v>
      </c>
      <c r="F10" s="134" t="s">
        <v>216</v>
      </c>
      <c r="G10" s="136">
        <v>9380</v>
      </c>
      <c r="H10" s="137">
        <f>IFERROR(VLOOKUP(Tabla_Coordinador_OLIVIA_PACHECO[[#This Row],[CREDENCIAL]], Tabla_Gerente[[CREDENCIAL]:[PAGO]], 7, FALSE), 0)</f>
        <v>400</v>
      </c>
      <c r="I10" s="138">
        <v>45737</v>
      </c>
      <c r="J10" s="139"/>
      <c r="K10" s="139"/>
    </row>
    <row r="11" spans="1:11" x14ac:dyDescent="0.2">
      <c r="A11" s="133" t="s">
        <v>113</v>
      </c>
      <c r="B11" s="134">
        <v>20955</v>
      </c>
      <c r="C11" s="134" t="s">
        <v>261</v>
      </c>
      <c r="D11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1" s="134" t="s">
        <v>36</v>
      </c>
      <c r="F11" s="134" t="s">
        <v>215</v>
      </c>
      <c r="G11" s="136">
        <v>9384</v>
      </c>
      <c r="H11" s="137">
        <f>IFERROR(VLOOKUP(Tabla_Coordinador_OLIVIA_PACHECO[[#This Row],[CREDENCIAL]], Tabla_Gerente[[CREDENCIAL]:[PAGO]], 7, FALSE), 0)</f>
        <v>399</v>
      </c>
      <c r="I11" s="138">
        <v>45737</v>
      </c>
      <c r="J11" s="139"/>
      <c r="K11" s="139"/>
    </row>
    <row r="12" spans="1:11" x14ac:dyDescent="0.2">
      <c r="A12" s="133" t="s">
        <v>113</v>
      </c>
      <c r="B12" s="134">
        <v>20917</v>
      </c>
      <c r="C12" s="134" t="s">
        <v>257</v>
      </c>
      <c r="D12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12" s="134" t="s">
        <v>36</v>
      </c>
      <c r="F12" s="134" t="s">
        <v>218</v>
      </c>
      <c r="G12" s="136">
        <v>501</v>
      </c>
      <c r="H12" s="137">
        <f>IFERROR(VLOOKUP(Tabla_Coordinador_OLIVIA_PACHECO[[#This Row],[CREDENCIAL]], Tabla_Gerente[[CREDENCIAL]:[PAGO]], 7, FALSE), 0)</f>
        <v>350</v>
      </c>
      <c r="I12" s="138">
        <v>45736</v>
      </c>
      <c r="J12" s="139"/>
      <c r="K12" s="139"/>
    </row>
    <row r="13" spans="1:11" x14ac:dyDescent="0.2">
      <c r="A13" s="133" t="s">
        <v>113</v>
      </c>
      <c r="B13" s="134">
        <v>20936</v>
      </c>
      <c r="C13" s="134" t="s">
        <v>259</v>
      </c>
      <c r="D13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13" s="134" t="s">
        <v>36</v>
      </c>
      <c r="F13" s="134" t="s">
        <v>218</v>
      </c>
      <c r="G13" s="136">
        <v>501</v>
      </c>
      <c r="H13" s="137">
        <f>IFERROR(VLOOKUP(Tabla_Coordinador_OLIVIA_PACHECO[[#This Row],[CREDENCIAL]], Tabla_Gerente[[CREDENCIAL]:[PAGO]], 7, FALSE), 0)</f>
        <v>399</v>
      </c>
      <c r="I13" s="138">
        <v>45736</v>
      </c>
      <c r="J13" s="139"/>
      <c r="K13" s="139"/>
    </row>
    <row r="14" spans="1:11" x14ac:dyDescent="0.2">
      <c r="A14" s="133" t="s">
        <v>113</v>
      </c>
      <c r="B14" s="134">
        <v>20949</v>
      </c>
      <c r="C14" s="134" t="s">
        <v>262</v>
      </c>
      <c r="D14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4" s="134" t="s">
        <v>36</v>
      </c>
      <c r="F14" s="134" t="s">
        <v>218</v>
      </c>
      <c r="G14" s="136">
        <v>9386</v>
      </c>
      <c r="H14" s="137">
        <f>IFERROR(VLOOKUP(Tabla_Coordinador_OLIVIA_PACHECO[[#This Row],[CREDENCIAL]], Tabla_Gerente[[CREDENCIAL]:[PAGO]], 7, FALSE), 0)</f>
        <v>450</v>
      </c>
      <c r="I14" s="138">
        <v>45737</v>
      </c>
      <c r="J14" s="139"/>
      <c r="K14" s="139"/>
    </row>
    <row r="15" spans="1:11" x14ac:dyDescent="0.2">
      <c r="A15" s="133" t="s">
        <v>114</v>
      </c>
      <c r="B15" s="134">
        <v>20939</v>
      </c>
      <c r="C15" s="134" t="s">
        <v>268</v>
      </c>
      <c r="D15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15" s="134" t="s">
        <v>36</v>
      </c>
      <c r="F15" s="134" t="s">
        <v>239</v>
      </c>
      <c r="G15" s="136">
        <v>501</v>
      </c>
      <c r="H15" s="137">
        <f>IFERROR(VLOOKUP(Tabla_Coordinador_OLIVIA_PACHECO[[#This Row],[CREDENCIAL]], Tabla_Gerente[[CREDENCIAL]:[PAGO]], 7, FALSE), 0)</f>
        <v>350</v>
      </c>
      <c r="I15" s="138">
        <v>45740</v>
      </c>
      <c r="J15" s="139"/>
      <c r="K15" s="139"/>
    </row>
    <row r="16" spans="1:11" x14ac:dyDescent="0.2">
      <c r="A16" s="133" t="s">
        <v>114</v>
      </c>
      <c r="B16" s="134">
        <v>20894</v>
      </c>
      <c r="C16" s="134" t="s">
        <v>263</v>
      </c>
      <c r="D16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6" s="134" t="s">
        <v>36</v>
      </c>
      <c r="F16" s="134" t="s">
        <v>216</v>
      </c>
      <c r="G16" s="136">
        <v>9380</v>
      </c>
      <c r="H16" s="137">
        <f>IFERROR(VLOOKUP(Tabla_Coordinador_OLIVIA_PACHECO[[#This Row],[CREDENCIAL]], Tabla_Gerente[[CREDENCIAL]:[PAGO]], 7, FALSE), 0)</f>
        <v>350</v>
      </c>
      <c r="I16" s="138">
        <v>45738</v>
      </c>
      <c r="J16" s="139"/>
      <c r="K16" s="139"/>
    </row>
    <row r="17" spans="1:11" x14ac:dyDescent="0.2">
      <c r="A17" s="133" t="s">
        <v>114</v>
      </c>
      <c r="B17" s="134">
        <v>20916</v>
      </c>
      <c r="C17" s="134" t="s">
        <v>265</v>
      </c>
      <c r="D17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7" s="134" t="s">
        <v>36</v>
      </c>
      <c r="F17" s="134" t="s">
        <v>216</v>
      </c>
      <c r="G17" s="136">
        <v>9380</v>
      </c>
      <c r="H17" s="137">
        <f>IFERROR(VLOOKUP(Tabla_Coordinador_OLIVIA_PACHECO[[#This Row],[CREDENCIAL]], Tabla_Gerente[[CREDENCIAL]:[PAGO]], 7, FALSE), 0)</f>
        <v>299</v>
      </c>
      <c r="I17" s="138">
        <v>45738</v>
      </c>
      <c r="J17" s="139"/>
      <c r="K17" s="139"/>
    </row>
    <row r="18" spans="1:11" x14ac:dyDescent="0.2">
      <c r="A18" s="133" t="s">
        <v>114</v>
      </c>
      <c r="B18" s="134">
        <v>20948</v>
      </c>
      <c r="C18" s="134" t="s">
        <v>270</v>
      </c>
      <c r="D18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8" s="134" t="s">
        <v>36</v>
      </c>
      <c r="F18" s="134" t="s">
        <v>216</v>
      </c>
      <c r="G18" s="136">
        <v>9358</v>
      </c>
      <c r="H18" s="137">
        <f>IFERROR(VLOOKUP(Tabla_Coordinador_OLIVIA_PACHECO[[#This Row],[CREDENCIAL]], Tabla_Gerente[[CREDENCIAL]:[PAGO]], 7, FALSE), 0)</f>
        <v>350</v>
      </c>
      <c r="I18" s="138">
        <v>45741</v>
      </c>
      <c r="J18" s="139"/>
      <c r="K18" s="139"/>
    </row>
    <row r="19" spans="1:11" x14ac:dyDescent="0.2">
      <c r="A19" s="133" t="s">
        <v>114</v>
      </c>
      <c r="B19" s="134">
        <v>20954</v>
      </c>
      <c r="C19" s="134" t="s">
        <v>271</v>
      </c>
      <c r="D19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19" s="134" t="s">
        <v>36</v>
      </c>
      <c r="F19" s="134" t="s">
        <v>216</v>
      </c>
      <c r="G19" s="136">
        <v>9382</v>
      </c>
      <c r="H19" s="137">
        <f>IFERROR(VLOOKUP(Tabla_Coordinador_OLIVIA_PACHECO[[#This Row],[CREDENCIAL]], Tabla_Gerente[[CREDENCIAL]:[PAGO]], 7, FALSE), 0)</f>
        <v>349</v>
      </c>
      <c r="I19" s="138">
        <v>45736</v>
      </c>
      <c r="J19" s="139"/>
      <c r="K19" s="139"/>
    </row>
    <row r="20" spans="1:11" x14ac:dyDescent="0.2">
      <c r="A20" s="133" t="s">
        <v>114</v>
      </c>
      <c r="B20" s="134">
        <v>20920</v>
      </c>
      <c r="C20" s="134" t="s">
        <v>266</v>
      </c>
      <c r="D20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0" s="134" t="s">
        <v>36</v>
      </c>
      <c r="F20" s="134" t="s">
        <v>195</v>
      </c>
      <c r="G20" s="136">
        <v>9212</v>
      </c>
      <c r="H20" s="137">
        <f>IFERROR(VLOOKUP(Tabla_Coordinador_OLIVIA_PACHECO[[#This Row],[CREDENCIAL]], Tabla_Gerente[[CREDENCIAL]:[PAGO]], 7, FALSE), 0)</f>
        <v>299</v>
      </c>
      <c r="I20" s="138">
        <v>45739</v>
      </c>
      <c r="J20" s="139"/>
      <c r="K20" s="139"/>
    </row>
    <row r="21" spans="1:11" x14ac:dyDescent="0.2">
      <c r="A21" s="133" t="s">
        <v>114</v>
      </c>
      <c r="B21" s="134">
        <v>20897</v>
      </c>
      <c r="C21" s="134" t="s">
        <v>264</v>
      </c>
      <c r="D21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1" s="134" t="s">
        <v>36</v>
      </c>
      <c r="F21" s="134" t="s">
        <v>201</v>
      </c>
      <c r="G21" s="136">
        <v>9182</v>
      </c>
      <c r="H21" s="137">
        <f>IFERROR(VLOOKUP(Tabla_Coordinador_OLIVIA_PACHECO[[#This Row],[CREDENCIAL]], Tabla_Gerente[[CREDENCIAL]:[PAGO]], 7, FALSE), 0)</f>
        <v>499</v>
      </c>
      <c r="I21" s="138">
        <v>45738</v>
      </c>
      <c r="J21" s="139"/>
      <c r="K21" s="139"/>
    </row>
    <row r="22" spans="1:11" x14ac:dyDescent="0.2">
      <c r="A22" s="133" t="s">
        <v>114</v>
      </c>
      <c r="B22" s="134">
        <v>20940</v>
      </c>
      <c r="C22" s="134" t="s">
        <v>269</v>
      </c>
      <c r="D22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2" s="134" t="s">
        <v>36</v>
      </c>
      <c r="F22" s="134" t="s">
        <v>201</v>
      </c>
      <c r="G22" s="136">
        <v>9394</v>
      </c>
      <c r="H22" s="137">
        <f>IFERROR(VLOOKUP(Tabla_Coordinador_OLIVIA_PACHECO[[#This Row],[CREDENCIAL]], Tabla_Gerente[[CREDENCIAL]:[PAGO]], 7, FALSE), 0)</f>
        <v>400</v>
      </c>
      <c r="I22" s="138">
        <v>45741</v>
      </c>
      <c r="J22" s="139"/>
      <c r="K22" s="139"/>
    </row>
    <row r="23" spans="1:11" x14ac:dyDescent="0.2">
      <c r="A23" s="133" t="s">
        <v>114</v>
      </c>
      <c r="B23" s="134">
        <v>18207</v>
      </c>
      <c r="C23" s="134" t="s">
        <v>272</v>
      </c>
      <c r="D23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3" s="134" t="s">
        <v>36</v>
      </c>
      <c r="F23" s="134" t="s">
        <v>201</v>
      </c>
      <c r="G23" s="136">
        <v>9208</v>
      </c>
      <c r="H23" s="137">
        <f>IFERROR(VLOOKUP(Tabla_Coordinador_OLIVIA_PACHECO[[#This Row],[CREDENCIAL]], Tabla_Gerente[[CREDENCIAL]:[PAGO]], 7, FALSE), 0)</f>
        <v>349</v>
      </c>
      <c r="I23" s="138">
        <v>45736</v>
      </c>
      <c r="J23" s="139"/>
      <c r="K23" s="139"/>
    </row>
    <row r="24" spans="1:11" x14ac:dyDescent="0.2">
      <c r="A24" s="133" t="s">
        <v>114</v>
      </c>
      <c r="B24" s="134">
        <v>18590</v>
      </c>
      <c r="C24" s="134" t="s">
        <v>273</v>
      </c>
      <c r="D24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4" s="134" t="s">
        <v>36</v>
      </c>
      <c r="F24" s="134" t="s">
        <v>201</v>
      </c>
      <c r="G24" s="136">
        <v>9231</v>
      </c>
      <c r="H24" s="137">
        <f>IFERROR(VLOOKUP(Tabla_Coordinador_OLIVIA_PACHECO[[#This Row],[CREDENCIAL]], Tabla_Gerente[[CREDENCIAL]:[PAGO]], 7, FALSE), 0)</f>
        <v>399</v>
      </c>
      <c r="I24" s="138">
        <v>45736</v>
      </c>
      <c r="J24" s="139"/>
      <c r="K24" s="139"/>
    </row>
    <row r="25" spans="1:11" x14ac:dyDescent="0.2">
      <c r="A25" s="133" t="s">
        <v>114</v>
      </c>
      <c r="B25" s="134">
        <v>20928</v>
      </c>
      <c r="C25" s="134" t="s">
        <v>267</v>
      </c>
      <c r="D25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25" s="134" t="s">
        <v>36</v>
      </c>
      <c r="F25" s="134" t="s">
        <v>303</v>
      </c>
      <c r="G25" s="136">
        <v>501</v>
      </c>
      <c r="H25" s="137">
        <f>IFERROR(VLOOKUP(Tabla_Coordinador_OLIVIA_PACHECO[[#This Row],[CREDENCIAL]], Tabla_Gerente[[CREDENCIAL]:[PAGO]], 7, FALSE), 0)</f>
        <v>349</v>
      </c>
      <c r="I25" s="138">
        <v>45740</v>
      </c>
      <c r="J25" s="139"/>
      <c r="K25" s="139"/>
    </row>
    <row r="26" spans="1:11" x14ac:dyDescent="0.2">
      <c r="A26" s="133" t="s">
        <v>111</v>
      </c>
      <c r="B26" s="134">
        <v>20896</v>
      </c>
      <c r="C26" s="134" t="s">
        <v>245</v>
      </c>
      <c r="D26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6" s="134" t="s">
        <v>36</v>
      </c>
      <c r="F26" s="134" t="s">
        <v>239</v>
      </c>
      <c r="G26" s="136">
        <v>9379</v>
      </c>
      <c r="H26" s="137">
        <f>IFERROR(VLOOKUP(Tabla_Coordinador_OLIVIA_PACHECO[[#This Row],[CREDENCIAL]], Tabla_Gerente[[CREDENCIAL]:[PAGO]], 7, FALSE), 0)</f>
        <v>399</v>
      </c>
      <c r="I26" s="138">
        <v>45736</v>
      </c>
      <c r="J26" s="139"/>
      <c r="K26" s="139"/>
    </row>
    <row r="27" spans="1:11" x14ac:dyDescent="0.2">
      <c r="A27" s="133" t="s">
        <v>111</v>
      </c>
      <c r="B27" s="134">
        <v>20913</v>
      </c>
      <c r="C27" s="134" t="s">
        <v>250</v>
      </c>
      <c r="D27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7" s="134" t="s">
        <v>36</v>
      </c>
      <c r="F27" s="134" t="s">
        <v>216</v>
      </c>
      <c r="G27" s="136">
        <v>9382</v>
      </c>
      <c r="H27" s="137">
        <f>IFERROR(VLOOKUP(Tabla_Coordinador_OLIVIA_PACHECO[[#This Row],[CREDENCIAL]], Tabla_Gerente[[CREDENCIAL]:[PAGO]], 7, FALSE), 0)</f>
        <v>350</v>
      </c>
      <c r="I27" s="138">
        <v>45738</v>
      </c>
      <c r="J27" s="139"/>
      <c r="K27" s="139"/>
    </row>
    <row r="28" spans="1:11" x14ac:dyDescent="0.2">
      <c r="A28" s="133" t="s">
        <v>111</v>
      </c>
      <c r="B28" s="134">
        <v>20915</v>
      </c>
      <c r="C28" s="134" t="s">
        <v>251</v>
      </c>
      <c r="D28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8" s="134" t="s">
        <v>36</v>
      </c>
      <c r="F28" s="134" t="s">
        <v>216</v>
      </c>
      <c r="G28" s="136">
        <v>9380</v>
      </c>
      <c r="H28" s="137">
        <f>IFERROR(VLOOKUP(Tabla_Coordinador_OLIVIA_PACHECO[[#This Row],[CREDENCIAL]], Tabla_Gerente[[CREDENCIAL]:[PAGO]], 7, FALSE), 0)</f>
        <v>399</v>
      </c>
      <c r="I28" s="138">
        <v>45738</v>
      </c>
      <c r="J28" s="139"/>
      <c r="K28" s="139"/>
    </row>
    <row r="29" spans="1:11" x14ac:dyDescent="0.2">
      <c r="A29" s="133" t="s">
        <v>111</v>
      </c>
      <c r="B29" s="134">
        <v>20900</v>
      </c>
      <c r="C29" s="134" t="s">
        <v>246</v>
      </c>
      <c r="D29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29" s="134" t="s">
        <v>36</v>
      </c>
      <c r="F29" s="134" t="s">
        <v>214</v>
      </c>
      <c r="G29" s="136">
        <v>9273</v>
      </c>
      <c r="H29" s="137">
        <f>IFERROR(VLOOKUP(Tabla_Coordinador_OLIVIA_PACHECO[[#This Row],[CREDENCIAL]], Tabla_Gerente[[CREDENCIAL]:[PAGO]], 7, FALSE), 0)</f>
        <v>399</v>
      </c>
      <c r="I29" s="138">
        <v>45736</v>
      </c>
      <c r="J29" s="139"/>
      <c r="K29" s="139"/>
    </row>
    <row r="30" spans="1:11" x14ac:dyDescent="0.2">
      <c r="A30" s="133" t="s">
        <v>111</v>
      </c>
      <c r="B30" s="134">
        <v>20918</v>
      </c>
      <c r="C30" s="134" t="s">
        <v>252</v>
      </c>
      <c r="D30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0" s="134" t="s">
        <v>36</v>
      </c>
      <c r="F30" s="134" t="s">
        <v>214</v>
      </c>
      <c r="G30" s="136">
        <v>9272</v>
      </c>
      <c r="H30" s="137">
        <f>IFERROR(VLOOKUP(Tabla_Coordinador_OLIVIA_PACHECO[[#This Row],[CREDENCIAL]], Tabla_Gerente[[CREDENCIAL]:[PAGO]], 7, FALSE), 0)</f>
        <v>550</v>
      </c>
      <c r="I30" s="138">
        <v>45738</v>
      </c>
      <c r="J30" s="139"/>
      <c r="K30" s="139"/>
    </row>
    <row r="31" spans="1:11" x14ac:dyDescent="0.2">
      <c r="A31" s="133" t="s">
        <v>111</v>
      </c>
      <c r="B31" s="134">
        <v>20895</v>
      </c>
      <c r="C31" s="134" t="s">
        <v>244</v>
      </c>
      <c r="D31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1" s="134" t="s">
        <v>36</v>
      </c>
      <c r="F31" s="134" t="s">
        <v>201</v>
      </c>
      <c r="G31" s="136">
        <v>9394</v>
      </c>
      <c r="H31" s="137">
        <f>IFERROR(VLOOKUP(Tabla_Coordinador_OLIVIA_PACHECO[[#This Row],[CREDENCIAL]], Tabla_Gerente[[CREDENCIAL]:[PAGO]], 7, FALSE), 0)</f>
        <v>399</v>
      </c>
      <c r="I31" s="138">
        <v>45736</v>
      </c>
      <c r="J31" s="139"/>
      <c r="K31" s="139"/>
    </row>
    <row r="32" spans="1:11" x14ac:dyDescent="0.2">
      <c r="A32" s="133" t="s">
        <v>111</v>
      </c>
      <c r="B32" s="134">
        <v>20911</v>
      </c>
      <c r="C32" s="134" t="s">
        <v>248</v>
      </c>
      <c r="D32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2" s="134" t="s">
        <v>36</v>
      </c>
      <c r="F32" s="134" t="s">
        <v>201</v>
      </c>
      <c r="G32" s="136">
        <v>9187</v>
      </c>
      <c r="H32" s="137">
        <f>IFERROR(VLOOKUP(Tabla_Coordinador_OLIVIA_PACHECO[[#This Row],[CREDENCIAL]], Tabla_Gerente[[CREDENCIAL]:[PAGO]], 7, FALSE), 0)</f>
        <v>399</v>
      </c>
      <c r="I32" s="138">
        <v>45737</v>
      </c>
      <c r="J32" s="139"/>
      <c r="K32" s="139"/>
    </row>
    <row r="33" spans="1:11" x14ac:dyDescent="0.2">
      <c r="A33" s="133" t="s">
        <v>111</v>
      </c>
      <c r="B33" s="134">
        <v>20912</v>
      </c>
      <c r="C33" s="134" t="s">
        <v>249</v>
      </c>
      <c r="D33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3" s="134" t="s">
        <v>36</v>
      </c>
      <c r="F33" s="134" t="s">
        <v>201</v>
      </c>
      <c r="G33" s="136">
        <v>9187</v>
      </c>
      <c r="H33" s="137">
        <f>IFERROR(VLOOKUP(Tabla_Coordinador_OLIVIA_PACHECO[[#This Row],[CREDENCIAL]], Tabla_Gerente[[CREDENCIAL]:[PAGO]], 7, FALSE), 0)</f>
        <v>399</v>
      </c>
      <c r="I33" s="138">
        <v>45737</v>
      </c>
      <c r="J33" s="139"/>
      <c r="K33" s="139"/>
    </row>
    <row r="34" spans="1:11" x14ac:dyDescent="0.2">
      <c r="A34" s="133" t="s">
        <v>111</v>
      </c>
      <c r="B34" s="134">
        <v>20907</v>
      </c>
      <c r="C34" s="134" t="s">
        <v>247</v>
      </c>
      <c r="D34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4" s="134" t="s">
        <v>36</v>
      </c>
      <c r="F34" s="134" t="s">
        <v>218</v>
      </c>
      <c r="G34" s="136">
        <v>9386</v>
      </c>
      <c r="H34" s="137">
        <f>IFERROR(VLOOKUP(Tabla_Coordinador_OLIVIA_PACHECO[[#This Row],[CREDENCIAL]], Tabla_Gerente[[CREDENCIAL]:[PAGO]], 7, FALSE), 0)</f>
        <v>399</v>
      </c>
      <c r="I34" s="138">
        <v>45737</v>
      </c>
      <c r="J34" s="139"/>
      <c r="K34" s="139"/>
    </row>
    <row r="35" spans="1:11" x14ac:dyDescent="0.2">
      <c r="A35" s="133" t="s">
        <v>112</v>
      </c>
      <c r="B35" s="134">
        <v>20935</v>
      </c>
      <c r="C35" s="134" t="s">
        <v>254</v>
      </c>
      <c r="D35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5" s="134" t="s">
        <v>36</v>
      </c>
      <c r="F35" s="134" t="s">
        <v>216</v>
      </c>
      <c r="G35" s="136">
        <v>9388</v>
      </c>
      <c r="H35" s="137">
        <f>IFERROR(VLOOKUP(Tabla_Coordinador_OLIVIA_PACHECO[[#This Row],[CREDENCIAL]], Tabla_Gerente[[CREDENCIAL]:[PAGO]], 7, FALSE), 0)</f>
        <v>550</v>
      </c>
      <c r="I35" s="138">
        <v>45741</v>
      </c>
      <c r="J35" s="139"/>
      <c r="K35" s="139"/>
    </row>
    <row r="36" spans="1:11" x14ac:dyDescent="0.2">
      <c r="A36" s="133" t="s">
        <v>112</v>
      </c>
      <c r="B36" s="134">
        <v>20944</v>
      </c>
      <c r="C36" s="134" t="s">
        <v>256</v>
      </c>
      <c r="D36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6" s="134" t="s">
        <v>36</v>
      </c>
      <c r="F36" s="134" t="s">
        <v>216</v>
      </c>
      <c r="G36" s="136">
        <v>9380</v>
      </c>
      <c r="H36" s="137">
        <f>IFERROR(VLOOKUP(Tabla_Coordinador_OLIVIA_PACHECO[[#This Row],[CREDENCIAL]], Tabla_Gerente[[CREDENCIAL]:[PAGO]], 7, FALSE), 0)</f>
        <v>700</v>
      </c>
      <c r="I36" s="138">
        <v>45741</v>
      </c>
      <c r="J36" s="139"/>
      <c r="K36" s="139"/>
    </row>
    <row r="37" spans="1:11" x14ac:dyDescent="0.2">
      <c r="A37" s="133" t="s">
        <v>112</v>
      </c>
      <c r="B37" s="134">
        <v>20926</v>
      </c>
      <c r="C37" s="134" t="s">
        <v>254</v>
      </c>
      <c r="D37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140</v>
      </c>
      <c r="E37" s="134" t="s">
        <v>36</v>
      </c>
      <c r="F37" s="134" t="s">
        <v>304</v>
      </c>
      <c r="G37" s="136">
        <v>9275</v>
      </c>
      <c r="H37" s="137">
        <f>IFERROR(VLOOKUP(Tabla_Coordinador_OLIVIA_PACHECO[[#This Row],[CREDENCIAL]], Tabla_Gerente[[CREDENCIAL]:[PAGO]], 7, FALSE), 0)</f>
        <v>350</v>
      </c>
      <c r="I37" s="138">
        <v>45740</v>
      </c>
      <c r="J37" s="139"/>
      <c r="K37" s="139"/>
    </row>
    <row r="38" spans="1:11" x14ac:dyDescent="0.2">
      <c r="A38" s="133" t="s">
        <v>112</v>
      </c>
      <c r="B38" s="134">
        <v>20924</v>
      </c>
      <c r="C38" s="134" t="s">
        <v>253</v>
      </c>
      <c r="D38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38" s="134" t="s">
        <v>36</v>
      </c>
      <c r="F38" s="134" t="s">
        <v>303</v>
      </c>
      <c r="G38" s="136">
        <v>501</v>
      </c>
      <c r="H38" s="137">
        <f>IFERROR(VLOOKUP(Tabla_Coordinador_OLIVIA_PACHECO[[#This Row],[CREDENCIAL]], Tabla_Gerente[[CREDENCIAL]:[PAGO]], 7, FALSE), 0)</f>
        <v>300</v>
      </c>
      <c r="I38" s="138">
        <v>45739</v>
      </c>
      <c r="J38" s="139"/>
      <c r="K38" s="139"/>
    </row>
    <row r="39" spans="1:11" x14ac:dyDescent="0.2">
      <c r="A39" s="133" t="s">
        <v>112</v>
      </c>
      <c r="B39" s="134">
        <v>20927</v>
      </c>
      <c r="C39" s="134" t="s">
        <v>255</v>
      </c>
      <c r="D39" s="135">
        <f>IF(
    OR(
        Tabla_Coordinador_OLIVIA_PACHECO[[#This Row],[GRUPO]] = 501,
        Tabla_Coordinador_OLIVIA_PACHECO[[#This Row],[GRUPO]] = 505,
        Tabla_Coordinador_OLIVIA_PACHECO[[#This Row],[GRUPO]] = 503,
        Tabla_Coordinador_OLIVIA_PACHECO[[#This Row],[GRUPO]] = "",
        Tabla_Coordinador_OLIVIA_PACHECO[[#This Row],[GRUPO]] = 500,
        Tabla_Coordinador_OLIVIA_PACHECO[[#This Row],[PAGO]] &lt; 299,
        COUNTIF(Tabla_Coordinador_OLIVIA_PACHECO[CREDENCIAL], Tabla_Coordinador_OLIVIA_PACHECO[[#This Row],[CREDENCIAL]]) &gt; 1,
        COUNTIF(Tabla_Gerente[CREDENCIAL], Tabla_Coordinador_OLIVIA_PACHECO[[#This Row],[CREDENCIAL]]) &gt; 1
    ),
    0,
    VLOOKUP(
        Total_Registros_Coordinador,
        Tabla_Tabulador_Coordinador[],
        3,
        TRUE
    )
)</f>
        <v>0</v>
      </c>
      <c r="E39" s="134" t="s">
        <v>36</v>
      </c>
      <c r="F39" s="134" t="s">
        <v>303</v>
      </c>
      <c r="G39" s="136">
        <v>501</v>
      </c>
      <c r="H39" s="137">
        <f>IFERROR(VLOOKUP(Tabla_Coordinador_OLIVIA_PACHECO[[#This Row],[CREDENCIAL]], Tabla_Gerente[[CREDENCIAL]:[PAGO]], 7, FALSE), 0)</f>
        <v>500</v>
      </c>
      <c r="I39" s="138">
        <v>45740</v>
      </c>
      <c r="J39" s="139"/>
      <c r="K39" s="139"/>
    </row>
    <row r="40" spans="1:11" x14ac:dyDescent="0.2">
      <c r="A40" s="133" t="s">
        <v>39</v>
      </c>
      <c r="B40" s="134"/>
      <c r="C40" s="134"/>
      <c r="D40" s="135">
        <f>SUBTOTAL(109,Tabla_Coordinador_OLIVIA_PACHECO[COMISION])</f>
        <v>3360</v>
      </c>
      <c r="E40" s="134"/>
      <c r="F40" s="134"/>
      <c r="G40" s="136"/>
      <c r="H40" s="140"/>
      <c r="I40" s="138"/>
      <c r="J40" s="139"/>
      <c r="K40" s="139"/>
    </row>
    <row r="41" spans="1:11" x14ac:dyDescent="0.2">
      <c r="A41" s="27"/>
      <c r="B41" s="14"/>
      <c r="C41" s="15"/>
      <c r="D41" s="52"/>
      <c r="E41" s="14"/>
      <c r="F41" s="14"/>
      <c r="G41" s="14"/>
      <c r="H41" s="53"/>
      <c r="I41" s="16"/>
      <c r="J41" s="16"/>
      <c r="K41" s="16"/>
    </row>
    <row r="42" spans="1:11" x14ac:dyDescent="0.2">
      <c r="A42" s="27" t="s">
        <v>13</v>
      </c>
      <c r="D42" s="26">
        <f>Sueldo_Base_Coordinador</f>
        <v>500</v>
      </c>
      <c r="E42" s="16"/>
      <c r="F42" s="15"/>
      <c r="H42" s="15"/>
      <c r="J42" s="24"/>
    </row>
    <row r="43" spans="1:11" ht="17" thickBot="1" x14ac:dyDescent="0.25">
      <c r="A43" s="37" t="s">
        <v>34</v>
      </c>
      <c r="B43" s="38">
        <f>IF(Total_Registros_Coordinador &gt;= Premios!H5,
    VLOOKUP(Total_Registros_Coordinador, Tabla_Premios_Coordinador[], 1, TRUE),
    0
)</f>
        <v>30</v>
      </c>
      <c r="C43" s="34"/>
      <c r="D43" s="36">
        <f>IF(Premio_Coordinador &gt; 0, VLOOKUP(Premio_Coordinador, Tabla_Premios_Coordinador[], 2, FALSE), 0)</f>
        <v>2500</v>
      </c>
      <c r="E43" s="16"/>
      <c r="F43" s="15"/>
      <c r="H43" s="15"/>
      <c r="J43" s="24"/>
    </row>
    <row r="44" spans="1:11" x14ac:dyDescent="0.2">
      <c r="A44" s="27" t="s">
        <v>35</v>
      </c>
      <c r="B44" s="18"/>
      <c r="D44" s="28">
        <f>Tabla_Coordinador_OLIVIA_PACHECO[[#Totals],[COMISION]] + Pago_Sueldo_Base_Coordinador + Pago_Premio_Coordinador</f>
        <v>6360</v>
      </c>
      <c r="E44" s="16"/>
      <c r="F44" s="15"/>
      <c r="H44" s="15"/>
      <c r="J44" s="24"/>
    </row>
    <row r="45" spans="1:11" x14ac:dyDescent="0.2">
      <c r="A45" s="27" t="s">
        <v>182</v>
      </c>
      <c r="B45" s="18"/>
      <c r="C45" s="29"/>
      <c r="D45" s="40">
        <f>_xlfn.IFNA(SUMIFS(Tabla_Descuentos[DESCUENTO], Tabla_Descuentos[COLABORADOR], Nombre_Coordinador, Tabla_Descuentos[PUESTO], Puesto_Coordinador), 0)</f>
        <v>0</v>
      </c>
      <c r="E45" s="16"/>
      <c r="F45" s="15"/>
      <c r="H45" s="15"/>
      <c r="J45" s="22"/>
      <c r="K45" s="22"/>
    </row>
    <row r="46" spans="1:11" ht="17" thickBot="1" x14ac:dyDescent="0.25">
      <c r="A46" s="37" t="s">
        <v>23</v>
      </c>
      <c r="B46" s="34"/>
      <c r="C46" s="34"/>
      <c r="D46" s="48">
        <f>(Pago_Subtotal_Coordinador * 0.05) * -1</f>
        <v>-318</v>
      </c>
      <c r="E46" s="16"/>
      <c r="F46" s="15"/>
      <c r="H46" s="15"/>
    </row>
    <row r="47" spans="1:11" ht="17" thickBot="1" x14ac:dyDescent="0.25">
      <c r="A47" s="42"/>
      <c r="C47" s="29"/>
      <c r="D47" s="28"/>
      <c r="E47" s="16"/>
      <c r="F47" s="15"/>
    </row>
    <row r="48" spans="1:11" ht="17" thickBot="1" x14ac:dyDescent="0.25">
      <c r="A48" s="37" t="s">
        <v>38</v>
      </c>
      <c r="B48" s="34"/>
      <c r="C48" s="49"/>
      <c r="D48" s="30">
        <f>Pago_Subtotal_Coordinador + Descuento_Coordinador + Deduccion_Coordinador</f>
        <v>6042</v>
      </c>
      <c r="E48" s="16"/>
      <c r="F48" s="15"/>
    </row>
    <row r="49" spans="3:9" x14ac:dyDescent="0.2">
      <c r="C49" s="29"/>
      <c r="D49" s="28"/>
      <c r="E49" s="26"/>
      <c r="F49" s="26"/>
    </row>
    <row r="50" spans="3:9" x14ac:dyDescent="0.2">
      <c r="C50" s="29"/>
      <c r="D50" s="28"/>
      <c r="E50" s="26"/>
      <c r="F50" s="26"/>
      <c r="I50" s="13"/>
    </row>
    <row r="51" spans="3:9" ht="17" thickBot="1" x14ac:dyDescent="0.25">
      <c r="C51" s="37" t="s">
        <v>24</v>
      </c>
      <c r="D51" s="129" t="str" cm="1">
        <f t="array" ref="D51">NumeroATexto(Pago_Neto_Coordinador)</f>
        <v>SEIS MIL CUARENTA Y DOS PESOS 00/100</v>
      </c>
      <c r="E51" s="129"/>
      <c r="F51" s="129"/>
      <c r="G51" s="129"/>
      <c r="H51" s="129"/>
      <c r="I51" s="129"/>
    </row>
    <row r="52" spans="3:9" x14ac:dyDescent="0.2">
      <c r="C52" s="27"/>
      <c r="D52" s="26"/>
      <c r="E52" s="16"/>
      <c r="F52" s="15"/>
      <c r="I52" s="13"/>
    </row>
    <row r="53" spans="3:9" x14ac:dyDescent="0.2">
      <c r="C53" s="29"/>
      <c r="D53" s="28"/>
      <c r="I53" s="13"/>
    </row>
    <row r="54" spans="3:9" ht="17" thickBot="1" x14ac:dyDescent="0.25">
      <c r="C54" s="33" t="s">
        <v>25</v>
      </c>
      <c r="D54" s="130"/>
      <c r="E54" s="130"/>
      <c r="F54" s="130"/>
      <c r="G54" s="130"/>
      <c r="H54" s="130"/>
      <c r="I54" s="130"/>
    </row>
    <row r="55" spans="3:9" x14ac:dyDescent="0.2">
      <c r="I55" s="13"/>
    </row>
    <row r="56" spans="3:9" x14ac:dyDescent="0.2">
      <c r="I56" s="13"/>
    </row>
    <row r="57" spans="3:9" x14ac:dyDescent="0.2">
      <c r="I57" s="13"/>
    </row>
    <row r="58" spans="3:9" x14ac:dyDescent="0.2">
      <c r="I58" s="13"/>
    </row>
    <row r="59" spans="3:9" x14ac:dyDescent="0.2">
      <c r="I59" s="13"/>
    </row>
  </sheetData>
  <mergeCells count="4">
    <mergeCell ref="B1:D1"/>
    <mergeCell ref="B2:D2"/>
    <mergeCell ref="D51:I51"/>
    <mergeCell ref="D54:I54"/>
  </mergeCells>
  <conditionalFormatting sqref="D9:D39">
    <cfRule type="cellIs" dxfId="47" priority="5" operator="equal">
      <formula>0</formula>
    </cfRule>
    <cfRule type="cellIs" dxfId="46" priority="7" operator="equal">
      <formula>$G9=501</formula>
    </cfRule>
  </conditionalFormatting>
  <conditionalFormatting sqref="G9:G39">
    <cfRule type="cellIs" dxfId="45" priority="2" operator="equal">
      <formula>505</formula>
    </cfRule>
    <cfRule type="cellIs" dxfId="44" priority="4" operator="equal">
      <formula>501</formula>
    </cfRule>
    <cfRule type="containsBlanks" dxfId="43" priority="6">
      <formula>LEN(TRIM(G9))=0</formula>
    </cfRule>
  </conditionalFormatting>
  <conditionalFormatting sqref="A9:K39">
    <cfRule type="expression" dxfId="42" priority="3">
      <formula>$G9 = 503</formula>
    </cfRule>
  </conditionalFormatting>
  <conditionalFormatting sqref="H9:H39">
    <cfRule type="cellIs" dxfId="41" priority="1" stopIfTrue="1" operator="lessThan">
      <formula>299</formula>
    </cfRule>
  </conditionalFormatting>
  <conditionalFormatting sqref="B9:B39">
    <cfRule type="duplicateValues" dxfId="39" priority="3402"/>
  </conditionalFormatting>
  <dataValidations count="8">
    <dataValidation type="list" allowBlank="1" showInputMessage="1" showErrorMessage="1" sqref="J9:J39" xr:uid="{E57AB1C1-23DA-704D-8528-ECDE9DAC30EC}">
      <formula1>#REF!</formula1>
    </dataValidation>
    <dataValidation type="list" allowBlank="1" showInputMessage="1" showErrorMessage="1" sqref="F9:F39" xr:uid="{745CB337-DCEC-474D-85BC-9FA080B15C6B}">
      <formula1>Cursos</formula1>
    </dataValidation>
    <dataValidation type="list" allowBlank="1" showInputMessage="1" showErrorMessage="1" sqref="B2:D2" xr:uid="{B0230714-AE34-5145-8E04-63E8769B3644}">
      <formula1>Razones_Sociales</formula1>
    </dataValidation>
    <dataValidation showInputMessage="1" showErrorMessage="1" sqref="A9:A39" xr:uid="{00B25528-A1DC-3440-8A8E-81D5632D3DD9}"/>
    <dataValidation type="date" allowBlank="1" showInputMessage="1" showErrorMessage="1" sqref="I9:I39" xr:uid="{A6F8A353-8420-9B46-A590-A8AB2F665BDE}">
      <formula1>Periodo_De_Pago_Inicial_Gerente</formula1>
      <formula2>Periodo_De_Pago_Final_Gerente</formula2>
    </dataValidation>
    <dataValidation type="custom" allowBlank="1" showInputMessage="1" showErrorMessage="1" sqref="G9:G39" xr:uid="{E627B257-8ADE-504B-9A3E-8650022F7A3E}">
      <formula1>G9&lt;&gt;500</formula1>
    </dataValidation>
    <dataValidation type="list" allowBlank="1" showInputMessage="1" showErrorMessage="1" sqref="E9:E39" xr:uid="{333B545F-EFD8-BF48-96FA-EBF4D979923C}">
      <formula1>Nombres_Planteles</formula1>
    </dataValidation>
    <dataValidation type="list" allowBlank="1" showInputMessage="1" showErrorMessage="1" sqref="B1" xr:uid="{64B0FA33-E359-6540-9395-10FEE88DC24B}">
      <formula1>Nombres_Coordinadores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D569971E-9CDA-AF42-9681-7BAED6317F20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C100-0EF7-024B-9A0D-6435721D7785}">
  <sheetPr codeName="Sheet22">
    <tabColor rgb="FF00B050"/>
    <pageSetUpPr fitToPage="1"/>
  </sheetPr>
  <dimension ref="A1:K27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28.5" style="13" bestFit="1" customWidth="1"/>
    <col min="4" max="4" width="22" style="13" bestFit="1" customWidth="1"/>
    <col min="5" max="5" width="13.33203125" style="13" bestFit="1" customWidth="1"/>
    <col min="6" max="6" width="17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125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COUNTIFS(Tabla_PromotorHUGO_PACHECO[GRUPO],"&lt;&gt;",
Tabla_PromotorHUGO_PACHECO[GRUPO],"&lt;&gt;503",
Tabla_PromotorHUGO_PACHECO[GRUPO],"&lt;&gt;500",
Tabla_PromotorHUGO_PACHECO[PAGO],"&gt;=299")</f>
        <v>5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112</v>
      </c>
      <c r="B9" s="134">
        <v>20935</v>
      </c>
      <c r="C9" s="134" t="s">
        <v>254</v>
      </c>
      <c r="D9" s="135">
        <f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f>
        <v>400</v>
      </c>
      <c r="E9" s="134" t="s">
        <v>36</v>
      </c>
      <c r="F9" s="134" t="s">
        <v>216</v>
      </c>
      <c r="G9" s="136">
        <v>9388</v>
      </c>
      <c r="H9" s="141">
        <f>IFERROR(VLOOKUP(Tabla_PromotorHUGO_PACHECO[[#This Row],[CREDENCIAL]], Tabla_Gerente[[CREDENCIAL]:[PAGO]], 7, FALSE), 0)</f>
        <v>550</v>
      </c>
      <c r="I9" s="142">
        <v>45741</v>
      </c>
      <c r="J9" s="139"/>
      <c r="K9" s="139"/>
    </row>
    <row r="10" spans="1:11" x14ac:dyDescent="0.2">
      <c r="A10" s="133" t="s">
        <v>112</v>
      </c>
      <c r="B10" s="134">
        <v>20944</v>
      </c>
      <c r="C10" s="134" t="s">
        <v>256</v>
      </c>
      <c r="D10" s="135">
        <f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f>
        <v>550</v>
      </c>
      <c r="E10" s="134" t="s">
        <v>36</v>
      </c>
      <c r="F10" s="134" t="s">
        <v>216</v>
      </c>
      <c r="G10" s="136">
        <v>9380</v>
      </c>
      <c r="H10" s="141">
        <f>IFERROR(VLOOKUP(Tabla_PromotorHUGO_PACHECO[[#This Row],[CREDENCIAL]], Tabla_Gerente[[CREDENCIAL]:[PAGO]], 7, FALSE), 0)</f>
        <v>700</v>
      </c>
      <c r="I10" s="142">
        <v>45741</v>
      </c>
      <c r="J10" s="139"/>
      <c r="K10" s="139"/>
    </row>
    <row r="11" spans="1:11" x14ac:dyDescent="0.2">
      <c r="A11" s="133" t="s">
        <v>112</v>
      </c>
      <c r="B11" s="134">
        <v>20926</v>
      </c>
      <c r="C11" s="134" t="s">
        <v>254</v>
      </c>
      <c r="D11" s="135">
        <f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f>
        <v>200</v>
      </c>
      <c r="E11" s="134" t="s">
        <v>36</v>
      </c>
      <c r="F11" s="134" t="s">
        <v>304</v>
      </c>
      <c r="G11" s="136">
        <v>9275</v>
      </c>
      <c r="H11" s="141">
        <f>IFERROR(VLOOKUP(Tabla_PromotorHUGO_PACHECO[[#This Row],[CREDENCIAL]], Tabla_Gerente[[CREDENCIAL]:[PAGO]], 7, FALSE), 0)</f>
        <v>350</v>
      </c>
      <c r="I11" s="142">
        <v>45740</v>
      </c>
      <c r="J11" s="139"/>
      <c r="K11" s="139"/>
    </row>
    <row r="12" spans="1:11" x14ac:dyDescent="0.2">
      <c r="A12" s="133" t="s">
        <v>112</v>
      </c>
      <c r="B12" s="134">
        <v>20924</v>
      </c>
      <c r="C12" s="134" t="s">
        <v>253</v>
      </c>
      <c r="D12" s="135">
        <f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f>
        <v>150</v>
      </c>
      <c r="E12" s="134" t="s">
        <v>36</v>
      </c>
      <c r="F12" s="134" t="s">
        <v>303</v>
      </c>
      <c r="G12" s="136">
        <v>501</v>
      </c>
      <c r="H12" s="141">
        <f>IFERROR(VLOOKUP(Tabla_PromotorHUGO_PACHECO[[#This Row],[CREDENCIAL]], Tabla_Gerente[[CREDENCIAL]:[PAGO]], 7, FALSE), 0)</f>
        <v>300</v>
      </c>
      <c r="I12" s="142">
        <v>45739</v>
      </c>
      <c r="J12" s="139"/>
      <c r="K12" s="139"/>
    </row>
    <row r="13" spans="1:11" x14ac:dyDescent="0.2">
      <c r="A13" s="133" t="s">
        <v>112</v>
      </c>
      <c r="B13" s="134">
        <v>20927</v>
      </c>
      <c r="C13" s="134" t="s">
        <v>255</v>
      </c>
      <c r="D13" s="135">
        <f>IF(
    OR(
        Tabla_PromotorHUGO_PACHECO[[#This Row],[GRUPO]] = "",
        Tabla_PromotorHUGO_PACHECO[[#This Row],[GRUPO]] = 500,
        COUNTIF(Tabla_PromotorHUGO_PACHECO[CREDENCIAL], Tabla_PromotorHUGO_PACHECO[[#This Row],[CREDENCIAL]]) &gt; 1,
        COUNTIF(Tabla_Gerente[CREDENCIAL], Tabla_PromotorHUGO_PACHECO[[#This Row],[CREDENCIAL]]) &gt; 1,
    ),
    0,
    IF(
        Tabla_PromotorHUGO_PACHECO[[#This Row],[GRUPO]] = 503,
        Tabla_PromotorHUGO_PACHECO[[#This Row],[PAGO]],
        IF(
            Tabla_PromotorHUGO_PACHECO[[#This Row],[PAGO]] &gt;= 299,
            Tabla_PromotorHUGO_PACHECO[[#This Row],[PAGO]] - 150,
            0
        )
    )
)</f>
        <v>350</v>
      </c>
      <c r="E13" s="134" t="s">
        <v>36</v>
      </c>
      <c r="F13" s="134" t="s">
        <v>303</v>
      </c>
      <c r="G13" s="136">
        <v>501</v>
      </c>
      <c r="H13" s="141">
        <f>IFERROR(VLOOKUP(Tabla_PromotorHUGO_PACHECO[[#This Row],[CREDENCIAL]], Tabla_Gerente[[CREDENCIAL]:[PAGO]], 7, FALSE), 0)</f>
        <v>500</v>
      </c>
      <c r="I13" s="142">
        <v>45740</v>
      </c>
      <c r="J13" s="139"/>
      <c r="K13" s="139"/>
    </row>
    <row r="14" spans="1:11" x14ac:dyDescent="0.2">
      <c r="A14" s="133" t="s">
        <v>39</v>
      </c>
      <c r="B14" s="134"/>
      <c r="C14" s="134"/>
      <c r="D14" s="135">
        <f>SUBTOTAL(109,Tabla_PromotorHUGO_PACHECO[COMISION])</f>
        <v>1650</v>
      </c>
      <c r="E14" s="134"/>
      <c r="F14" s="134"/>
      <c r="G14" s="136"/>
      <c r="H14" s="141"/>
      <c r="I14" s="142"/>
      <c r="J14" s="139"/>
      <c r="K14" s="139"/>
    </row>
    <row r="15" spans="1:11" x14ac:dyDescent="0.2">
      <c r="A15" s="25"/>
      <c r="B15" s="14"/>
      <c r="C15" s="15"/>
      <c r="D15" s="52"/>
      <c r="E15" s="14"/>
      <c r="F15" s="14"/>
      <c r="G15" s="27"/>
      <c r="H15" s="53"/>
      <c r="I15" s="14"/>
      <c r="J15" s="16"/>
      <c r="K15" s="16"/>
    </row>
    <row r="16" spans="1:11" x14ac:dyDescent="0.2">
      <c r="A16" s="25" t="s">
        <v>13</v>
      </c>
      <c r="D16" s="68">
        <f>_xlfn.IFNA(VLOOKUP(Nombre_Promotor,Tabla_Sueldos_Base[],2,FALSE),0)</f>
        <v>0</v>
      </c>
      <c r="E16" s="16"/>
      <c r="F16" s="15"/>
      <c r="H16" s="15"/>
      <c r="J16" s="24"/>
    </row>
    <row r="17" spans="1:11" ht="17" thickBot="1" x14ac:dyDescent="0.25">
      <c r="A17" s="37" t="s">
        <v>34</v>
      </c>
      <c r="B17" s="38">
        <f>IF(Total_Registros_Promotor &lt; Premios!A5, 0,
   VLOOKUP(Total_Registros_Promotor, Tabla_Premios_Promotor[], 1, TRUE))</f>
        <v>4</v>
      </c>
      <c r="C17" s="34"/>
      <c r="D17" s="36">
        <f>IF(Premio_Promotor &gt; 0,
   VLOOKUP(Premio_Promotor, Tabla_Premios_Promotor[],
      VLOOKUP(Total_Registros_Gerente, Tabla_Tabulador_Premio_Promotor_Total_Gerencia[], 2, TRUE),
   FALSE),
   0)</f>
        <v>500</v>
      </c>
      <c r="E17" s="16"/>
      <c r="F17" s="15"/>
      <c r="H17" s="15"/>
      <c r="J17" s="24"/>
    </row>
    <row r="18" spans="1:11" x14ac:dyDescent="0.2">
      <c r="A18" s="27" t="s">
        <v>35</v>
      </c>
      <c r="B18" s="18"/>
      <c r="D18" s="28">
        <f>Tabla_PromotorHUGO_PACHECO[[#Totals],[COMISION]] + Pago_Sueldo_Base_Promotor + Pago_Premio_Promotor</f>
        <v>2150</v>
      </c>
      <c r="E18" s="16"/>
      <c r="F18" s="15"/>
      <c r="H18" s="15"/>
      <c r="J18" s="24"/>
    </row>
    <row r="19" spans="1:11" x14ac:dyDescent="0.2">
      <c r="A19" s="27" t="s">
        <v>182</v>
      </c>
      <c r="B19" s="18"/>
      <c r="C19" s="29"/>
      <c r="D19" s="39">
        <f>_xlfn.IFNA(SUMIFS(Tabla_Descuentos[DESCUENTO], Tabla_Descuentos[COLABORADOR], Nombre_Promotor, Tabla_Descuentos[PUESTO], Puesto_Promotor), 0)</f>
        <v>0</v>
      </c>
      <c r="E19" s="16" t="s">
        <v>108</v>
      </c>
      <c r="F19" s="15"/>
      <c r="H19" s="15"/>
      <c r="I19" s="18"/>
      <c r="J19" s="22"/>
      <c r="K19" s="22"/>
    </row>
    <row r="20" spans="1:11" ht="17" thickBot="1" x14ac:dyDescent="0.25">
      <c r="A20" s="35"/>
      <c r="C20" s="29"/>
      <c r="D20" s="28"/>
      <c r="E20" s="16"/>
      <c r="F20" s="15"/>
    </row>
    <row r="21" spans="1:11" ht="17" thickBot="1" x14ac:dyDescent="0.25">
      <c r="A21" s="37" t="s">
        <v>38</v>
      </c>
      <c r="B21" s="34"/>
      <c r="C21" s="49"/>
      <c r="D21" s="30">
        <f>Pago_Subtotal_Promotor + Descuento_Promotor</f>
        <v>2150</v>
      </c>
      <c r="E21" s="16"/>
      <c r="F21" s="15"/>
    </row>
    <row r="22" spans="1:11" x14ac:dyDescent="0.2">
      <c r="C22" s="29"/>
      <c r="D22" s="28"/>
      <c r="E22" s="26"/>
      <c r="F22" s="26"/>
    </row>
    <row r="23" spans="1:11" x14ac:dyDescent="0.2">
      <c r="C23" s="29"/>
      <c r="D23" s="28"/>
      <c r="E23" s="26"/>
      <c r="F23" s="26"/>
    </row>
    <row r="24" spans="1:11" ht="17" thickBot="1" x14ac:dyDescent="0.25">
      <c r="C24" s="37" t="s">
        <v>24</v>
      </c>
      <c r="D24" s="129" t="str" cm="1">
        <f t="array" ref="D24">NumeroATexto(Pago_Neto_Promotor)</f>
        <v>DOS MIL CIENTO CINCUENTA PESOS 00/100</v>
      </c>
      <c r="E24" s="129"/>
      <c r="F24" s="129"/>
      <c r="G24" s="129"/>
      <c r="H24" s="129"/>
      <c r="I24" s="129"/>
    </row>
    <row r="25" spans="1:11" x14ac:dyDescent="0.2">
      <c r="C25" s="27"/>
      <c r="D25" s="26"/>
      <c r="E25" s="16"/>
      <c r="F25" s="15"/>
    </row>
    <row r="26" spans="1:11" x14ac:dyDescent="0.2">
      <c r="C26" s="29"/>
      <c r="D26" s="28"/>
    </row>
    <row r="27" spans="1:11" ht="17" thickBot="1" x14ac:dyDescent="0.25">
      <c r="C27" s="33" t="s">
        <v>25</v>
      </c>
      <c r="D27" s="130"/>
      <c r="E27" s="130"/>
      <c r="F27" s="130"/>
      <c r="G27" s="130"/>
      <c r="H27" s="130"/>
      <c r="I27" s="130"/>
    </row>
  </sheetData>
  <mergeCells count="4">
    <mergeCell ref="B1:D1"/>
    <mergeCell ref="B2:D2"/>
    <mergeCell ref="D24:I24"/>
    <mergeCell ref="D27:I27"/>
  </mergeCells>
  <conditionalFormatting sqref="D9:D13">
    <cfRule type="expression" dxfId="38" priority="2">
      <formula>$G9=501</formula>
    </cfRule>
    <cfRule type="cellIs" dxfId="37" priority="5" operator="equal">
      <formula>0</formula>
    </cfRule>
  </conditionalFormatting>
  <conditionalFormatting sqref="G9:G13">
    <cfRule type="cellIs" dxfId="36" priority="3" operator="equal">
      <formula>503</formula>
    </cfRule>
    <cfRule type="cellIs" dxfId="35" priority="4" operator="equal">
      <formula>501</formula>
    </cfRule>
  </conditionalFormatting>
  <conditionalFormatting sqref="H9:H13">
    <cfRule type="cellIs" dxfId="34" priority="1" operator="lessThan">
      <formula>299</formula>
    </cfRule>
  </conditionalFormatting>
  <conditionalFormatting sqref="B9:B13">
    <cfRule type="duplicateValues" dxfId="32" priority="3426"/>
  </conditionalFormatting>
  <dataValidations count="7">
    <dataValidation type="list" allowBlank="1" showInputMessage="1" showErrorMessage="1" sqref="J9:J13" xr:uid="{2B755435-22F9-9145-A2D1-020BD2351411}">
      <formula1>#REF!</formula1>
    </dataValidation>
    <dataValidation type="list" allowBlank="1" showInputMessage="1" showErrorMessage="1" sqref="F9:F13" xr:uid="{037DE484-DE7C-1F43-912A-9DA38331B13A}">
      <formula1>Cursos</formula1>
    </dataValidation>
    <dataValidation type="list" allowBlank="1" showInputMessage="1" showErrorMessage="1" sqref="B2:D2" xr:uid="{5A8AC709-82AB-1F47-81D6-04A43C73F55A}">
      <formula1>Razones_Sociales</formula1>
    </dataValidation>
    <dataValidation type="date" allowBlank="1" showInputMessage="1" showErrorMessage="1" sqref="I9:I13" xr:uid="{A11A1AD3-337C-6A48-8923-CA9FB4F7DA26}">
      <formula1>Periodo_De_Pago_Inicial_Gerente</formula1>
      <formula2>Periodo_De_Pago_Final_Gerente</formula2>
    </dataValidation>
    <dataValidation type="custom" allowBlank="1" showInputMessage="1" showErrorMessage="1" sqref="G9:G13" xr:uid="{95D314E3-0DC2-9849-9A86-3F55C1893308}">
      <formula1>G9&lt;&gt;500</formula1>
    </dataValidation>
    <dataValidation type="list" allowBlank="1" showInputMessage="1" showErrorMessage="1" sqref="E9:E13" xr:uid="{C87795B7-EC58-F646-A0AC-F28483A2CECF}">
      <formula1>Nombres_Planteles</formula1>
    </dataValidation>
    <dataValidation type="list" allowBlank="1" showInputMessage="1" showErrorMessage="1" sqref="B1" xr:uid="{F0A0DAEF-6912-4544-9AC4-C5E56356D578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7A487219-1E6C-2A44-824D-538393364AF5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F46DA-E9AB-D34A-B601-81889ECAF723}">
  <sheetPr codeName="Sheet21">
    <tabColor rgb="FF00B050"/>
    <pageSetUpPr fitToPage="1"/>
  </sheetPr>
  <dimension ref="A1:K31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0.832031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124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COUNTIFS(Tabla_PromotorENRIQUE_OJEDA[GRUPO],"&lt;&gt;",
Tabla_PromotorENRIQUE_OJEDA[GRUPO],"&lt;&gt;503",
Tabla_PromotorENRIQUE_OJEDA[GRUPO],"&lt;&gt;500",
Tabla_PromotorENRIQUE_OJEDA[PAGO],"&gt;=299")</f>
        <v>9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111</v>
      </c>
      <c r="B9" s="134">
        <v>20896</v>
      </c>
      <c r="C9" s="134" t="s">
        <v>245</v>
      </c>
      <c r="D9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9" s="134" t="s">
        <v>36</v>
      </c>
      <c r="F9" s="134" t="s">
        <v>239</v>
      </c>
      <c r="G9" s="136">
        <v>9379</v>
      </c>
      <c r="H9" s="141">
        <f>IFERROR(VLOOKUP(Tabla_PromotorENRIQUE_OJEDA[[#This Row],[CREDENCIAL]], Tabla_Gerente[[CREDENCIAL]:[PAGO]], 7, FALSE), 0)</f>
        <v>399</v>
      </c>
      <c r="I9" s="142">
        <v>45736</v>
      </c>
      <c r="J9" s="139"/>
      <c r="K9" s="139"/>
    </row>
    <row r="10" spans="1:11" x14ac:dyDescent="0.2">
      <c r="A10" s="133" t="s">
        <v>111</v>
      </c>
      <c r="B10" s="134">
        <v>20913</v>
      </c>
      <c r="C10" s="134" t="s">
        <v>250</v>
      </c>
      <c r="D10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200</v>
      </c>
      <c r="E10" s="134" t="s">
        <v>36</v>
      </c>
      <c r="F10" s="134" t="s">
        <v>216</v>
      </c>
      <c r="G10" s="136">
        <v>9382</v>
      </c>
      <c r="H10" s="141">
        <f>IFERROR(VLOOKUP(Tabla_PromotorENRIQUE_OJEDA[[#This Row],[CREDENCIAL]], Tabla_Gerente[[CREDENCIAL]:[PAGO]], 7, FALSE), 0)</f>
        <v>350</v>
      </c>
      <c r="I10" s="142">
        <v>45738</v>
      </c>
      <c r="J10" s="139"/>
      <c r="K10" s="139"/>
    </row>
    <row r="11" spans="1:11" x14ac:dyDescent="0.2">
      <c r="A11" s="133" t="s">
        <v>111</v>
      </c>
      <c r="B11" s="134">
        <v>20915</v>
      </c>
      <c r="C11" s="134" t="s">
        <v>251</v>
      </c>
      <c r="D11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1" s="134" t="s">
        <v>36</v>
      </c>
      <c r="F11" s="134" t="s">
        <v>216</v>
      </c>
      <c r="G11" s="136">
        <v>9380</v>
      </c>
      <c r="H11" s="141">
        <f>IFERROR(VLOOKUP(Tabla_PromotorENRIQUE_OJEDA[[#This Row],[CREDENCIAL]], Tabla_Gerente[[CREDENCIAL]:[PAGO]], 7, FALSE), 0)</f>
        <v>399</v>
      </c>
      <c r="I11" s="142">
        <v>45738</v>
      </c>
      <c r="J11" s="139"/>
      <c r="K11" s="139"/>
    </row>
    <row r="12" spans="1:11" x14ac:dyDescent="0.2">
      <c r="A12" s="133" t="s">
        <v>111</v>
      </c>
      <c r="B12" s="134">
        <v>20900</v>
      </c>
      <c r="C12" s="134" t="s">
        <v>246</v>
      </c>
      <c r="D12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2" s="134" t="s">
        <v>36</v>
      </c>
      <c r="F12" s="134" t="s">
        <v>214</v>
      </c>
      <c r="G12" s="136">
        <v>9273</v>
      </c>
      <c r="H12" s="141">
        <f>IFERROR(VLOOKUP(Tabla_PromotorENRIQUE_OJEDA[[#This Row],[CREDENCIAL]], Tabla_Gerente[[CREDENCIAL]:[PAGO]], 7, FALSE), 0)</f>
        <v>399</v>
      </c>
      <c r="I12" s="142">
        <v>45736</v>
      </c>
      <c r="J12" s="139"/>
      <c r="K12" s="139"/>
    </row>
    <row r="13" spans="1:11" x14ac:dyDescent="0.2">
      <c r="A13" s="133" t="s">
        <v>111</v>
      </c>
      <c r="B13" s="134">
        <v>20918</v>
      </c>
      <c r="C13" s="134" t="s">
        <v>252</v>
      </c>
      <c r="D13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400</v>
      </c>
      <c r="E13" s="134" t="s">
        <v>36</v>
      </c>
      <c r="F13" s="134" t="s">
        <v>214</v>
      </c>
      <c r="G13" s="136">
        <v>9272</v>
      </c>
      <c r="H13" s="141">
        <f>IFERROR(VLOOKUP(Tabla_PromotorENRIQUE_OJEDA[[#This Row],[CREDENCIAL]], Tabla_Gerente[[CREDENCIAL]:[PAGO]], 7, FALSE), 0)</f>
        <v>550</v>
      </c>
      <c r="I13" s="142">
        <v>45738</v>
      </c>
      <c r="J13" s="139"/>
      <c r="K13" s="139"/>
    </row>
    <row r="14" spans="1:11" x14ac:dyDescent="0.2">
      <c r="A14" s="133" t="s">
        <v>111</v>
      </c>
      <c r="B14" s="134">
        <v>20895</v>
      </c>
      <c r="C14" s="134" t="s">
        <v>244</v>
      </c>
      <c r="D14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4" s="134" t="s">
        <v>36</v>
      </c>
      <c r="F14" s="134" t="s">
        <v>201</v>
      </c>
      <c r="G14" s="136">
        <v>9394</v>
      </c>
      <c r="H14" s="141">
        <f>IFERROR(VLOOKUP(Tabla_PromotorENRIQUE_OJEDA[[#This Row],[CREDENCIAL]], Tabla_Gerente[[CREDENCIAL]:[PAGO]], 7, FALSE), 0)</f>
        <v>399</v>
      </c>
      <c r="I14" s="142">
        <v>45736</v>
      </c>
      <c r="J14" s="139"/>
      <c r="K14" s="139"/>
    </row>
    <row r="15" spans="1:11" x14ac:dyDescent="0.2">
      <c r="A15" s="133" t="s">
        <v>111</v>
      </c>
      <c r="B15" s="134">
        <v>20911</v>
      </c>
      <c r="C15" s="134" t="s">
        <v>248</v>
      </c>
      <c r="D15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5" s="134" t="s">
        <v>36</v>
      </c>
      <c r="F15" s="134" t="s">
        <v>201</v>
      </c>
      <c r="G15" s="136">
        <v>9187</v>
      </c>
      <c r="H15" s="141">
        <f>IFERROR(VLOOKUP(Tabla_PromotorENRIQUE_OJEDA[[#This Row],[CREDENCIAL]], Tabla_Gerente[[CREDENCIAL]:[PAGO]], 7, FALSE), 0)</f>
        <v>399</v>
      </c>
      <c r="I15" s="142">
        <v>45737</v>
      </c>
      <c r="J15" s="139"/>
      <c r="K15" s="139"/>
    </row>
    <row r="16" spans="1:11" x14ac:dyDescent="0.2">
      <c r="A16" s="133" t="s">
        <v>111</v>
      </c>
      <c r="B16" s="134">
        <v>20912</v>
      </c>
      <c r="C16" s="134" t="s">
        <v>249</v>
      </c>
      <c r="D16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6" s="134" t="s">
        <v>36</v>
      </c>
      <c r="F16" s="134" t="s">
        <v>201</v>
      </c>
      <c r="G16" s="136">
        <v>9187</v>
      </c>
      <c r="H16" s="141">
        <f>IFERROR(VLOOKUP(Tabla_PromotorENRIQUE_OJEDA[[#This Row],[CREDENCIAL]], Tabla_Gerente[[CREDENCIAL]:[PAGO]], 7, FALSE), 0)</f>
        <v>399</v>
      </c>
      <c r="I16" s="142">
        <v>45737</v>
      </c>
      <c r="J16" s="139"/>
      <c r="K16" s="139"/>
    </row>
    <row r="17" spans="1:11" x14ac:dyDescent="0.2">
      <c r="A17" s="133" t="s">
        <v>111</v>
      </c>
      <c r="B17" s="134">
        <v>20907</v>
      </c>
      <c r="C17" s="134" t="s">
        <v>247</v>
      </c>
      <c r="D17" s="135">
        <f>IF(
    OR(
        Tabla_PromotorENRIQUE_OJEDA[[#This Row],[GRUPO]] = "",
        Tabla_PromotorENRIQUE_OJEDA[[#This Row],[GRUPO]] = 500,
        COUNTIF(Tabla_PromotorENRIQUE_OJEDA[CREDENCIAL], Tabla_PromotorENRIQUE_OJEDA[[#This Row],[CREDENCIAL]]) &gt; 1,
        COUNTIF(Tabla_Gerente[CREDENCIAL], Tabla_PromotorENRIQUE_OJEDA[[#This Row],[CREDENCIAL]]) &gt; 1,
    ),
    0,
    IF(
        Tabla_PromotorENRIQUE_OJEDA[[#This Row],[GRUPO]] = 503,
        Tabla_PromotorENRIQUE_OJEDA[[#This Row],[PAGO]],
        IF(
            Tabla_PromotorENRIQUE_OJEDA[[#This Row],[PAGO]] &gt;= 299,
            Tabla_PromotorENRIQUE_OJEDA[[#This Row],[PAGO]] - 150,
            0
        )
    )
)</f>
        <v>249</v>
      </c>
      <c r="E17" s="134" t="s">
        <v>36</v>
      </c>
      <c r="F17" s="134" t="s">
        <v>218</v>
      </c>
      <c r="G17" s="136">
        <v>9386</v>
      </c>
      <c r="H17" s="141">
        <f>IFERROR(VLOOKUP(Tabla_PromotorENRIQUE_OJEDA[[#This Row],[CREDENCIAL]], Tabla_Gerente[[CREDENCIAL]:[PAGO]], 7, FALSE), 0)</f>
        <v>399</v>
      </c>
      <c r="I17" s="142">
        <v>45737</v>
      </c>
      <c r="J17" s="139"/>
      <c r="K17" s="139"/>
    </row>
    <row r="18" spans="1:11" x14ac:dyDescent="0.2">
      <c r="A18" s="133" t="s">
        <v>39</v>
      </c>
      <c r="B18" s="134"/>
      <c r="C18" s="134"/>
      <c r="D18" s="135">
        <f>SUBTOTAL(109,Tabla_PromotorENRIQUE_OJEDA[COMISION])</f>
        <v>2343</v>
      </c>
      <c r="E18" s="134"/>
      <c r="F18" s="134"/>
      <c r="G18" s="136"/>
      <c r="H18" s="141"/>
      <c r="I18" s="142"/>
      <c r="J18" s="139"/>
      <c r="K18" s="139"/>
    </row>
    <row r="19" spans="1:11" x14ac:dyDescent="0.2">
      <c r="A19" s="25"/>
      <c r="B19" s="14"/>
      <c r="C19" s="15"/>
      <c r="D19" s="52"/>
      <c r="E19" s="14"/>
      <c r="F19" s="14"/>
      <c r="G19" s="27"/>
      <c r="H19" s="53"/>
      <c r="I19" s="14"/>
      <c r="J19" s="16"/>
      <c r="K19" s="16"/>
    </row>
    <row r="20" spans="1:11" x14ac:dyDescent="0.2">
      <c r="A20" s="25" t="s">
        <v>13</v>
      </c>
      <c r="D20" s="68">
        <f>_xlfn.IFNA(VLOOKUP(Nombre_Promotor,Tabla_Sueldos_Base[],2,FALSE),0)</f>
        <v>0</v>
      </c>
      <c r="E20" s="16"/>
      <c r="F20" s="15"/>
      <c r="H20" s="15"/>
      <c r="J20" s="24"/>
    </row>
    <row r="21" spans="1:11" ht="17" thickBot="1" x14ac:dyDescent="0.25">
      <c r="A21" s="37" t="s">
        <v>34</v>
      </c>
      <c r="B21" s="38">
        <f>IF(Total_Registros_Promotor &lt; Premios!A5, 0,
   VLOOKUP(Total_Registros_Promotor, Tabla_Premios_Promotor[], 1, TRUE))</f>
        <v>9</v>
      </c>
      <c r="C21" s="34"/>
      <c r="D21" s="36">
        <f>IF(Premio_Promotor &gt; 0,
   VLOOKUP(Premio_Promotor, Tabla_Premios_Promotor[],
      VLOOKUP(Total_Registros_Gerente, Tabla_Tabulador_Premio_Promotor_Total_Gerencia[], 2, TRUE),
   FALSE),
   0)</f>
        <v>1200</v>
      </c>
      <c r="E21" s="16"/>
      <c r="F21" s="15"/>
      <c r="H21" s="15"/>
      <c r="J21" s="24"/>
    </row>
    <row r="22" spans="1:11" x14ac:dyDescent="0.2">
      <c r="A22" s="27" t="s">
        <v>35</v>
      </c>
      <c r="B22" s="18"/>
      <c r="D22" s="28">
        <f>Tabla_PromotorENRIQUE_OJEDA[[#Totals],[COMISION]] + Pago_Sueldo_Base_Promotor + Pago_Premio_Promotor</f>
        <v>3543</v>
      </c>
      <c r="E22" s="16"/>
      <c r="F22" s="15"/>
      <c r="H22" s="15"/>
      <c r="J22" s="24"/>
    </row>
    <row r="23" spans="1:11" x14ac:dyDescent="0.2">
      <c r="A23" s="27" t="s">
        <v>182</v>
      </c>
      <c r="B23" s="18"/>
      <c r="C23" s="29"/>
      <c r="D23" s="39">
        <f>_xlfn.IFNA(SUMIFS(Tabla_Descuentos[DESCUENTO], Tabla_Descuentos[COLABORADOR], Nombre_Promotor, Tabla_Descuentos[PUESTO], Puesto_Promotor), 0)</f>
        <v>0</v>
      </c>
      <c r="E23" s="16" t="s">
        <v>108</v>
      </c>
      <c r="F23" s="15"/>
      <c r="H23" s="15"/>
      <c r="I23" s="18"/>
      <c r="J23" s="22"/>
      <c r="K23" s="22"/>
    </row>
    <row r="24" spans="1:11" ht="17" thickBot="1" x14ac:dyDescent="0.25">
      <c r="A24" s="35"/>
      <c r="C24" s="29"/>
      <c r="D24" s="28"/>
      <c r="E24" s="16"/>
      <c r="F24" s="15"/>
    </row>
    <row r="25" spans="1:11" ht="17" thickBot="1" x14ac:dyDescent="0.25">
      <c r="A25" s="37" t="s">
        <v>38</v>
      </c>
      <c r="B25" s="34"/>
      <c r="C25" s="49"/>
      <c r="D25" s="30">
        <f>Pago_Subtotal_Promotor + Descuento_Promotor</f>
        <v>3543</v>
      </c>
      <c r="E25" s="16"/>
      <c r="F25" s="15"/>
    </row>
    <row r="26" spans="1:11" x14ac:dyDescent="0.2">
      <c r="C26" s="29"/>
      <c r="D26" s="28"/>
      <c r="E26" s="26"/>
      <c r="F26" s="26"/>
    </row>
    <row r="27" spans="1:11" x14ac:dyDescent="0.2">
      <c r="C27" s="29"/>
      <c r="D27" s="28"/>
      <c r="E27" s="26"/>
      <c r="F27" s="26"/>
    </row>
    <row r="28" spans="1:11" ht="17" thickBot="1" x14ac:dyDescent="0.25">
      <c r="C28" s="37" t="s">
        <v>24</v>
      </c>
      <c r="D28" s="129" t="str" cm="1">
        <f t="array" ref="D28">NumeroATexto(Pago_Neto_Promotor)</f>
        <v>TRES MIL QUINIENTOS CUARENTA Y TRES PESOS 00/100</v>
      </c>
      <c r="E28" s="129"/>
      <c r="F28" s="129"/>
      <c r="G28" s="129"/>
      <c r="H28" s="129"/>
      <c r="I28" s="129"/>
    </row>
    <row r="29" spans="1:11" x14ac:dyDescent="0.2">
      <c r="C29" s="27"/>
      <c r="D29" s="26"/>
      <c r="E29" s="16"/>
      <c r="F29" s="15"/>
    </row>
    <row r="30" spans="1:11" x14ac:dyDescent="0.2">
      <c r="C30" s="29"/>
      <c r="D30" s="28"/>
    </row>
    <row r="31" spans="1:11" ht="17" thickBot="1" x14ac:dyDescent="0.25">
      <c r="C31" s="33" t="s">
        <v>25</v>
      </c>
      <c r="D31" s="130"/>
      <c r="E31" s="130"/>
      <c r="F31" s="130"/>
      <c r="G31" s="130"/>
      <c r="H31" s="130"/>
      <c r="I31" s="130"/>
    </row>
  </sheetData>
  <mergeCells count="4">
    <mergeCell ref="B1:D1"/>
    <mergeCell ref="B2:D2"/>
    <mergeCell ref="D28:I28"/>
    <mergeCell ref="D31:I31"/>
  </mergeCells>
  <conditionalFormatting sqref="D9:D17">
    <cfRule type="expression" dxfId="31" priority="2">
      <formula>$G9=501</formula>
    </cfRule>
    <cfRule type="cellIs" dxfId="30" priority="5" operator="equal">
      <formula>0</formula>
    </cfRule>
  </conditionalFormatting>
  <conditionalFormatting sqref="G9:G17">
    <cfRule type="cellIs" dxfId="29" priority="3" operator="equal">
      <formula>503</formula>
    </cfRule>
    <cfRule type="cellIs" dxfId="28" priority="4" operator="equal">
      <formula>501</formula>
    </cfRule>
  </conditionalFormatting>
  <conditionalFormatting sqref="H9:H17">
    <cfRule type="cellIs" dxfId="27" priority="1" operator="lessThan">
      <formula>299</formula>
    </cfRule>
  </conditionalFormatting>
  <conditionalFormatting sqref="B9:B17">
    <cfRule type="duplicateValues" dxfId="25" priority="3423"/>
  </conditionalFormatting>
  <dataValidations count="7">
    <dataValidation type="list" allowBlank="1" showInputMessage="1" showErrorMessage="1" sqref="J9:J17" xr:uid="{A80DE2BD-1BA6-D344-8412-B49D92D7EBEC}">
      <formula1>#REF!</formula1>
    </dataValidation>
    <dataValidation type="list" allowBlank="1" showInputMessage="1" showErrorMessage="1" sqref="F9:F17" xr:uid="{658D7CB9-55B6-2047-8B17-E944E19D0FCB}">
      <formula1>Cursos</formula1>
    </dataValidation>
    <dataValidation type="list" allowBlank="1" showInputMessage="1" showErrorMessage="1" sqref="B2:D2" xr:uid="{C4C97B7A-FD01-7246-BB3B-3B7CF9130305}">
      <formula1>Razones_Sociales</formula1>
    </dataValidation>
    <dataValidation type="date" allowBlank="1" showInputMessage="1" showErrorMessage="1" sqref="I9:I17" xr:uid="{D8C481C2-8878-B244-9CD9-9A61B91D88E9}">
      <formula1>Periodo_De_Pago_Inicial_Gerente</formula1>
      <formula2>Periodo_De_Pago_Final_Gerente</formula2>
    </dataValidation>
    <dataValidation type="custom" allowBlank="1" showInputMessage="1" showErrorMessage="1" sqref="G9:G17" xr:uid="{422AC789-78C2-8140-A42E-0E3C818DC8AE}">
      <formula1>G9&lt;&gt;500</formula1>
    </dataValidation>
    <dataValidation type="list" allowBlank="1" showInputMessage="1" showErrorMessage="1" sqref="E9:E17" xr:uid="{6737B0F4-136C-1A4C-A8D4-33DACC894608}">
      <formula1>Nombres_Planteles</formula1>
    </dataValidation>
    <dataValidation type="list" allowBlank="1" showInputMessage="1" showErrorMessage="1" sqref="B1" xr:uid="{06DA5D09-C488-F747-A6DC-13D580BA2645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24DB390-0D6D-AB42-9D81-3B1F4A97CB05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B9:B17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F760-990F-9146-AE88-69F971593E41}">
  <sheetPr codeName="Sheet20">
    <tabColor rgb="FF00B050"/>
    <pageSetUpPr fitToPage="1"/>
  </sheetPr>
  <dimension ref="A1:K33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0.832031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127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COUNTIFS(Tabla_PromotorEFRAIN_CORTES[GRUPO],"&lt;&gt;",
Tabla_PromotorEFRAIN_CORTES[GRUPO],"&lt;&gt;503",
Tabla_PromotorEFRAIN_CORTES[GRUPO],"&lt;&gt;500",
Tabla_PromotorEFRAIN_CORTES[PAGO],"&gt;=299")</f>
        <v>11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114</v>
      </c>
      <c r="B9" s="134">
        <v>20939</v>
      </c>
      <c r="C9" s="134" t="s">
        <v>268</v>
      </c>
      <c r="D9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200</v>
      </c>
      <c r="E9" s="134" t="s">
        <v>36</v>
      </c>
      <c r="F9" s="134" t="s">
        <v>239</v>
      </c>
      <c r="G9" s="136">
        <v>501</v>
      </c>
      <c r="H9" s="141">
        <f>IFERROR(VLOOKUP(Tabla_PromotorEFRAIN_CORTES[[#This Row],[CREDENCIAL]], Tabla_Gerente[[CREDENCIAL]:[PAGO]], 7, FALSE), 0)</f>
        <v>350</v>
      </c>
      <c r="I9" s="142">
        <v>45740</v>
      </c>
      <c r="J9" s="139"/>
      <c r="K9" s="139"/>
    </row>
    <row r="10" spans="1:11" x14ac:dyDescent="0.2">
      <c r="A10" s="133" t="s">
        <v>114</v>
      </c>
      <c r="B10" s="134">
        <v>20894</v>
      </c>
      <c r="C10" s="134" t="s">
        <v>263</v>
      </c>
      <c r="D10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200</v>
      </c>
      <c r="E10" s="134" t="s">
        <v>36</v>
      </c>
      <c r="F10" s="134" t="s">
        <v>216</v>
      </c>
      <c r="G10" s="136">
        <v>9380</v>
      </c>
      <c r="H10" s="141">
        <f>IFERROR(VLOOKUP(Tabla_PromotorEFRAIN_CORTES[[#This Row],[CREDENCIAL]], Tabla_Gerente[[CREDENCIAL]:[PAGO]], 7, FALSE), 0)</f>
        <v>350</v>
      </c>
      <c r="I10" s="142">
        <v>45738</v>
      </c>
      <c r="J10" s="139"/>
      <c r="K10" s="139"/>
    </row>
    <row r="11" spans="1:11" x14ac:dyDescent="0.2">
      <c r="A11" s="133" t="s">
        <v>114</v>
      </c>
      <c r="B11" s="134">
        <v>20916</v>
      </c>
      <c r="C11" s="134" t="s">
        <v>265</v>
      </c>
      <c r="D11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149</v>
      </c>
      <c r="E11" s="134" t="s">
        <v>36</v>
      </c>
      <c r="F11" s="134" t="s">
        <v>216</v>
      </c>
      <c r="G11" s="136">
        <v>9380</v>
      </c>
      <c r="H11" s="141">
        <f>IFERROR(VLOOKUP(Tabla_PromotorEFRAIN_CORTES[[#This Row],[CREDENCIAL]], Tabla_Gerente[[CREDENCIAL]:[PAGO]], 7, FALSE), 0)</f>
        <v>299</v>
      </c>
      <c r="I11" s="142">
        <v>45738</v>
      </c>
      <c r="J11" s="139"/>
      <c r="K11" s="139"/>
    </row>
    <row r="12" spans="1:11" x14ac:dyDescent="0.2">
      <c r="A12" s="133" t="s">
        <v>114</v>
      </c>
      <c r="B12" s="134">
        <v>20948</v>
      </c>
      <c r="C12" s="134" t="s">
        <v>270</v>
      </c>
      <c r="D12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200</v>
      </c>
      <c r="E12" s="134" t="s">
        <v>36</v>
      </c>
      <c r="F12" s="134" t="s">
        <v>216</v>
      </c>
      <c r="G12" s="136">
        <v>9358</v>
      </c>
      <c r="H12" s="141">
        <f>IFERROR(VLOOKUP(Tabla_PromotorEFRAIN_CORTES[[#This Row],[CREDENCIAL]], Tabla_Gerente[[CREDENCIAL]:[PAGO]], 7, FALSE), 0)</f>
        <v>350</v>
      </c>
      <c r="I12" s="142">
        <v>45741</v>
      </c>
      <c r="J12" s="139"/>
      <c r="K12" s="139"/>
    </row>
    <row r="13" spans="1:11" x14ac:dyDescent="0.2">
      <c r="A13" s="133" t="s">
        <v>114</v>
      </c>
      <c r="B13" s="134">
        <v>20954</v>
      </c>
      <c r="C13" s="134" t="s">
        <v>271</v>
      </c>
      <c r="D13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199</v>
      </c>
      <c r="E13" s="134" t="s">
        <v>36</v>
      </c>
      <c r="F13" s="134" t="s">
        <v>216</v>
      </c>
      <c r="G13" s="136">
        <v>9382</v>
      </c>
      <c r="H13" s="141">
        <f>IFERROR(VLOOKUP(Tabla_PromotorEFRAIN_CORTES[[#This Row],[CREDENCIAL]], Tabla_Gerente[[CREDENCIAL]:[PAGO]], 7, FALSE), 0)</f>
        <v>349</v>
      </c>
      <c r="I13" s="142">
        <v>45736</v>
      </c>
      <c r="J13" s="139"/>
      <c r="K13" s="139"/>
    </row>
    <row r="14" spans="1:11" x14ac:dyDescent="0.2">
      <c r="A14" s="133" t="s">
        <v>114</v>
      </c>
      <c r="B14" s="134">
        <v>20920</v>
      </c>
      <c r="C14" s="134" t="s">
        <v>266</v>
      </c>
      <c r="D14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149</v>
      </c>
      <c r="E14" s="134" t="s">
        <v>36</v>
      </c>
      <c r="F14" s="134" t="s">
        <v>195</v>
      </c>
      <c r="G14" s="136">
        <v>9212</v>
      </c>
      <c r="H14" s="141">
        <f>IFERROR(VLOOKUP(Tabla_PromotorEFRAIN_CORTES[[#This Row],[CREDENCIAL]], Tabla_Gerente[[CREDENCIAL]:[PAGO]], 7, FALSE), 0)</f>
        <v>299</v>
      </c>
      <c r="I14" s="142">
        <v>45739</v>
      </c>
      <c r="J14" s="139"/>
      <c r="K14" s="139"/>
    </row>
    <row r="15" spans="1:11" x14ac:dyDescent="0.2">
      <c r="A15" s="133" t="s">
        <v>114</v>
      </c>
      <c r="B15" s="134">
        <v>20897</v>
      </c>
      <c r="C15" s="134" t="s">
        <v>264</v>
      </c>
      <c r="D15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349</v>
      </c>
      <c r="E15" s="134" t="s">
        <v>36</v>
      </c>
      <c r="F15" s="134" t="s">
        <v>201</v>
      </c>
      <c r="G15" s="136">
        <v>9182</v>
      </c>
      <c r="H15" s="141">
        <f>IFERROR(VLOOKUP(Tabla_PromotorEFRAIN_CORTES[[#This Row],[CREDENCIAL]], Tabla_Gerente[[CREDENCIAL]:[PAGO]], 7, FALSE), 0)</f>
        <v>499</v>
      </c>
      <c r="I15" s="142">
        <v>45738</v>
      </c>
      <c r="J15" s="139"/>
      <c r="K15" s="139"/>
    </row>
    <row r="16" spans="1:11" x14ac:dyDescent="0.2">
      <c r="A16" s="133" t="s">
        <v>114</v>
      </c>
      <c r="B16" s="134">
        <v>20940</v>
      </c>
      <c r="C16" s="134" t="s">
        <v>269</v>
      </c>
      <c r="D16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250</v>
      </c>
      <c r="E16" s="134" t="s">
        <v>36</v>
      </c>
      <c r="F16" s="134" t="s">
        <v>201</v>
      </c>
      <c r="G16" s="136">
        <v>9394</v>
      </c>
      <c r="H16" s="141">
        <f>IFERROR(VLOOKUP(Tabla_PromotorEFRAIN_CORTES[[#This Row],[CREDENCIAL]], Tabla_Gerente[[CREDENCIAL]:[PAGO]], 7, FALSE), 0)</f>
        <v>400</v>
      </c>
      <c r="I16" s="142">
        <v>45741</v>
      </c>
      <c r="J16" s="139"/>
      <c r="K16" s="139"/>
    </row>
    <row r="17" spans="1:11" x14ac:dyDescent="0.2">
      <c r="A17" s="133" t="s">
        <v>114</v>
      </c>
      <c r="B17" s="134">
        <v>18207</v>
      </c>
      <c r="C17" s="134" t="s">
        <v>272</v>
      </c>
      <c r="D17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199</v>
      </c>
      <c r="E17" s="134" t="s">
        <v>36</v>
      </c>
      <c r="F17" s="134" t="s">
        <v>201</v>
      </c>
      <c r="G17" s="136">
        <v>9208</v>
      </c>
      <c r="H17" s="141">
        <f>IFERROR(VLOOKUP(Tabla_PromotorEFRAIN_CORTES[[#This Row],[CREDENCIAL]], Tabla_Gerente[[CREDENCIAL]:[PAGO]], 7, FALSE), 0)</f>
        <v>349</v>
      </c>
      <c r="I17" s="142">
        <v>45736</v>
      </c>
      <c r="J17" s="139"/>
      <c r="K17" s="139"/>
    </row>
    <row r="18" spans="1:11" x14ac:dyDescent="0.2">
      <c r="A18" s="133" t="s">
        <v>114</v>
      </c>
      <c r="B18" s="134">
        <v>18590</v>
      </c>
      <c r="C18" s="134" t="s">
        <v>273</v>
      </c>
      <c r="D18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249</v>
      </c>
      <c r="E18" s="134" t="s">
        <v>36</v>
      </c>
      <c r="F18" s="134" t="s">
        <v>201</v>
      </c>
      <c r="G18" s="136">
        <v>9231</v>
      </c>
      <c r="H18" s="141">
        <f>IFERROR(VLOOKUP(Tabla_PromotorEFRAIN_CORTES[[#This Row],[CREDENCIAL]], Tabla_Gerente[[CREDENCIAL]:[PAGO]], 7, FALSE), 0)</f>
        <v>399</v>
      </c>
      <c r="I18" s="142">
        <v>45736</v>
      </c>
      <c r="J18" s="139"/>
      <c r="K18" s="139"/>
    </row>
    <row r="19" spans="1:11" x14ac:dyDescent="0.2">
      <c r="A19" s="133" t="s">
        <v>114</v>
      </c>
      <c r="B19" s="134">
        <v>20928</v>
      </c>
      <c r="C19" s="134" t="s">
        <v>267</v>
      </c>
      <c r="D19" s="135">
        <f>IF(
    OR(
        Tabla_PromotorEFRAIN_CORTES[[#This Row],[GRUPO]] = "",
        Tabla_PromotorEFRAIN_CORTES[[#This Row],[GRUPO]] = 500,
        COUNTIF(Tabla_PromotorEFRAIN_CORTES[CREDENCIAL], Tabla_PromotorEFRAIN_CORTES[[#This Row],[CREDENCIAL]]) &gt; 1,
        COUNTIF(Tabla_Gerente[CREDENCIAL], Tabla_PromotorEFRAIN_CORTES[[#This Row],[CREDENCIAL]]) &gt; 1,
    ),
    0,
    IF(
        Tabla_PromotorEFRAIN_CORTES[[#This Row],[GRUPO]] = 503,
        Tabla_PromotorEFRAIN_CORTES[[#This Row],[PAGO]],
        IF(
            Tabla_PromotorEFRAIN_CORTES[[#This Row],[PAGO]] &gt;= 299,
            Tabla_PromotorEFRAIN_CORTES[[#This Row],[PAGO]] - 150,
            0
        )
    )
)</f>
        <v>199</v>
      </c>
      <c r="E19" s="134" t="s">
        <v>36</v>
      </c>
      <c r="F19" s="134" t="s">
        <v>303</v>
      </c>
      <c r="G19" s="136">
        <v>501</v>
      </c>
      <c r="H19" s="141">
        <f>IFERROR(VLOOKUP(Tabla_PromotorEFRAIN_CORTES[[#This Row],[CREDENCIAL]], Tabla_Gerente[[CREDENCIAL]:[PAGO]], 7, FALSE), 0)</f>
        <v>349</v>
      </c>
      <c r="I19" s="142">
        <v>45740</v>
      </c>
      <c r="J19" s="139"/>
      <c r="K19" s="139"/>
    </row>
    <row r="20" spans="1:11" x14ac:dyDescent="0.2">
      <c r="A20" s="133" t="s">
        <v>39</v>
      </c>
      <c r="B20" s="134"/>
      <c r="C20" s="134"/>
      <c r="D20" s="135">
        <f>SUBTOTAL(109,Tabla_PromotorEFRAIN_CORTES[COMISION])</f>
        <v>2343</v>
      </c>
      <c r="E20" s="134"/>
      <c r="F20" s="134"/>
      <c r="G20" s="136"/>
      <c r="H20" s="141"/>
      <c r="I20" s="142"/>
      <c r="J20" s="139"/>
      <c r="K20" s="139"/>
    </row>
    <row r="21" spans="1:11" x14ac:dyDescent="0.2">
      <c r="A21" s="25"/>
      <c r="B21" s="14"/>
      <c r="C21" s="15"/>
      <c r="D21" s="52"/>
      <c r="E21" s="14"/>
      <c r="F21" s="14"/>
      <c r="G21" s="27"/>
      <c r="H21" s="53"/>
      <c r="I21" s="14"/>
      <c r="J21" s="16"/>
      <c r="K21" s="16"/>
    </row>
    <row r="22" spans="1:11" x14ac:dyDescent="0.2">
      <c r="A22" s="25" t="s">
        <v>13</v>
      </c>
      <c r="D22" s="68">
        <f>_xlfn.IFNA(VLOOKUP(Nombre_Promotor,Tabla_Sueldos_Base[],2,FALSE),0)</f>
        <v>500</v>
      </c>
      <c r="E22" s="16"/>
      <c r="F22" s="15"/>
      <c r="H22" s="15"/>
      <c r="J22" s="24"/>
    </row>
    <row r="23" spans="1:11" ht="17" thickBot="1" x14ac:dyDescent="0.25">
      <c r="A23" s="37" t="s">
        <v>34</v>
      </c>
      <c r="B23" s="38">
        <f>IF(Total_Registros_Promotor &lt; Premios!A5, 0,
   VLOOKUP(Total_Registros_Promotor, Tabla_Premios_Promotor[], 1, TRUE))</f>
        <v>9</v>
      </c>
      <c r="C23" s="34"/>
      <c r="D23" s="36">
        <f>IF(Premio_Promotor &gt; 0,
   VLOOKUP(Premio_Promotor, Tabla_Premios_Promotor[],
      VLOOKUP(Total_Registros_Gerente, Tabla_Tabulador_Premio_Promotor_Total_Gerencia[], 2, TRUE),
   FALSE),
   0)</f>
        <v>1200</v>
      </c>
      <c r="E23" s="16"/>
      <c r="F23" s="15"/>
      <c r="H23" s="15"/>
      <c r="J23" s="24"/>
    </row>
    <row r="24" spans="1:11" x14ac:dyDescent="0.2">
      <c r="A24" s="27" t="s">
        <v>35</v>
      </c>
      <c r="B24" s="18"/>
      <c r="D24" s="28">
        <f>Tabla_PromotorEFRAIN_CORTES[[#Totals],[COMISION]] + Pago_Sueldo_Base_Promotor + Pago_Premio_Promotor</f>
        <v>4043</v>
      </c>
      <c r="E24" s="16"/>
      <c r="F24" s="15"/>
      <c r="H24" s="15"/>
      <c r="J24" s="24"/>
    </row>
    <row r="25" spans="1:11" x14ac:dyDescent="0.2">
      <c r="A25" s="27" t="s">
        <v>182</v>
      </c>
      <c r="B25" s="18"/>
      <c r="C25" s="29"/>
      <c r="D25" s="39">
        <f>_xlfn.IFNA(SUMIFS(Tabla_Descuentos[DESCUENTO], Tabla_Descuentos[COLABORADOR], Nombre_Promotor, Tabla_Descuentos[PUESTO], Puesto_Promotor), 0)</f>
        <v>0</v>
      </c>
      <c r="E25" s="16" t="s">
        <v>108</v>
      </c>
      <c r="F25" s="15"/>
      <c r="H25" s="15"/>
      <c r="I25" s="18"/>
      <c r="J25" s="22"/>
      <c r="K25" s="22"/>
    </row>
    <row r="26" spans="1:11" ht="17" thickBot="1" x14ac:dyDescent="0.25">
      <c r="A26" s="35"/>
      <c r="C26" s="29"/>
      <c r="D26" s="28"/>
      <c r="E26" s="16"/>
      <c r="F26" s="15"/>
    </row>
    <row r="27" spans="1:11" ht="17" thickBot="1" x14ac:dyDescent="0.25">
      <c r="A27" s="37" t="s">
        <v>38</v>
      </c>
      <c r="B27" s="34"/>
      <c r="C27" s="49"/>
      <c r="D27" s="30">
        <f>Pago_Subtotal_Promotor + Descuento_Promotor</f>
        <v>4043</v>
      </c>
      <c r="E27" s="16"/>
      <c r="F27" s="15"/>
    </row>
    <row r="28" spans="1:11" x14ac:dyDescent="0.2">
      <c r="C28" s="29"/>
      <c r="D28" s="28"/>
      <c r="E28" s="26"/>
      <c r="F28" s="26"/>
    </row>
    <row r="29" spans="1:11" x14ac:dyDescent="0.2">
      <c r="C29" s="29"/>
      <c r="D29" s="28"/>
      <c r="E29" s="26"/>
      <c r="F29" s="26"/>
    </row>
    <row r="30" spans="1:11" ht="17" thickBot="1" x14ac:dyDescent="0.25">
      <c r="C30" s="37" t="s">
        <v>24</v>
      </c>
      <c r="D30" s="129" t="str" cm="1">
        <f t="array" ref="D30">NumeroATexto(Pago_Neto_Promotor)</f>
        <v>CUATRO MIL CUARENTA Y TRES PESOS 00/100</v>
      </c>
      <c r="E30" s="129"/>
      <c r="F30" s="129"/>
      <c r="G30" s="129"/>
      <c r="H30" s="129"/>
      <c r="I30" s="129"/>
    </row>
    <row r="31" spans="1:11" x14ac:dyDescent="0.2">
      <c r="C31" s="27"/>
      <c r="D31" s="26"/>
      <c r="E31" s="16"/>
      <c r="F31" s="15"/>
    </row>
    <row r="32" spans="1:11" x14ac:dyDescent="0.2">
      <c r="C32" s="29"/>
      <c r="D32" s="28"/>
    </row>
    <row r="33" spans="3:9" ht="17" thickBot="1" x14ac:dyDescent="0.25">
      <c r="C33" s="33" t="s">
        <v>25</v>
      </c>
      <c r="D33" s="130"/>
      <c r="E33" s="130"/>
      <c r="F33" s="130"/>
      <c r="G33" s="130"/>
      <c r="H33" s="130"/>
      <c r="I33" s="130"/>
    </row>
  </sheetData>
  <mergeCells count="4">
    <mergeCell ref="B1:D1"/>
    <mergeCell ref="B2:D2"/>
    <mergeCell ref="D30:I30"/>
    <mergeCell ref="D33:I33"/>
  </mergeCells>
  <conditionalFormatting sqref="D9:D19">
    <cfRule type="expression" dxfId="24" priority="2">
      <formula>$G9=501</formula>
    </cfRule>
    <cfRule type="cellIs" dxfId="23" priority="5" operator="equal">
      <formula>0</formula>
    </cfRule>
  </conditionalFormatting>
  <conditionalFormatting sqref="G9:G19">
    <cfRule type="cellIs" dxfId="22" priority="3" operator="equal">
      <formula>503</formula>
    </cfRule>
    <cfRule type="cellIs" dxfId="21" priority="4" operator="equal">
      <formula>501</formula>
    </cfRule>
  </conditionalFormatting>
  <conditionalFormatting sqref="H9:H19">
    <cfRule type="cellIs" dxfId="20" priority="1" operator="lessThan">
      <formula>299</formula>
    </cfRule>
  </conditionalFormatting>
  <conditionalFormatting sqref="B9:B19">
    <cfRule type="duplicateValues" dxfId="18" priority="3420"/>
  </conditionalFormatting>
  <dataValidations count="7">
    <dataValidation type="list" allowBlank="1" showInputMessage="1" showErrorMessage="1" sqref="J9:J19" xr:uid="{C1A408BA-B9A3-C944-A109-95F9AEC77E53}">
      <formula1>#REF!</formula1>
    </dataValidation>
    <dataValidation type="list" allowBlank="1" showInputMessage="1" showErrorMessage="1" sqref="F9:F19" xr:uid="{5D5E3FBF-21F5-AC40-9B4F-FAF465B30A4D}">
      <formula1>Cursos</formula1>
    </dataValidation>
    <dataValidation type="list" allowBlank="1" showInputMessage="1" showErrorMessage="1" sqref="B2:D2" xr:uid="{6A59AA51-1C92-BD4A-813F-D87C0B667823}">
      <formula1>Razones_Sociales</formula1>
    </dataValidation>
    <dataValidation type="date" allowBlank="1" showInputMessage="1" showErrorMessage="1" sqref="I9:I19" xr:uid="{962CB8BC-995D-7942-BE0B-F37868F024E3}">
      <formula1>Periodo_De_Pago_Inicial_Gerente</formula1>
      <formula2>Periodo_De_Pago_Final_Gerente</formula2>
    </dataValidation>
    <dataValidation type="custom" allowBlank="1" showInputMessage="1" showErrorMessage="1" sqref="G9:G19" xr:uid="{3DFC9E26-839F-1548-A505-896CFB7FB27B}">
      <formula1>G9&lt;&gt;500</formula1>
    </dataValidation>
    <dataValidation type="list" allowBlank="1" showInputMessage="1" showErrorMessage="1" sqref="E9:E19" xr:uid="{F5CA7909-5B02-0B44-A1F4-00C56C5A9CBC}">
      <formula1>Nombres_Planteles</formula1>
    </dataValidation>
    <dataValidation type="list" allowBlank="1" showInputMessage="1" showErrorMessage="1" sqref="B1" xr:uid="{F276D129-3451-CD4B-849C-BAC4F41A386F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7E9F92E-AF0B-EB49-8A33-D077D3338041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3C59-8F20-A141-AA92-CA7588E9EBA0}">
  <sheetPr codeName="Sheet19">
    <tabColor rgb="FF00B050"/>
    <pageSetUpPr fitToPage="1"/>
  </sheetPr>
  <dimension ref="A1:K28"/>
  <sheetViews>
    <sheetView workbookViewId="0">
      <selection activeCell="I54" sqref="I54:I55"/>
    </sheetView>
  </sheetViews>
  <sheetFormatPr baseColWidth="10" defaultColWidth="14.5" defaultRowHeight="16" x14ac:dyDescent="0.2"/>
  <cols>
    <col min="1" max="1" width="21.83203125" style="13" bestFit="1" customWidth="1"/>
    <col min="2" max="2" width="22" style="13" bestFit="1" customWidth="1"/>
    <col min="3" max="3" width="31.1640625" style="13" bestFit="1" customWidth="1"/>
    <col min="4" max="4" width="22" style="13" bestFit="1" customWidth="1"/>
    <col min="5" max="5" width="13.33203125" style="13" bestFit="1" customWidth="1"/>
    <col min="6" max="6" width="19" style="13" bestFit="1" customWidth="1"/>
    <col min="7" max="7" width="12.33203125" style="13" bestFit="1" customWidth="1"/>
    <col min="8" max="8" width="11.6640625" style="13" bestFit="1" customWidth="1"/>
    <col min="9" max="9" width="25.83203125" style="13" bestFit="1" customWidth="1"/>
    <col min="10" max="10" width="16.33203125" style="13" bestFit="1" customWidth="1"/>
    <col min="11" max="11" width="19.5" style="13" bestFit="1" customWidth="1"/>
    <col min="12" max="12" width="3.33203125" style="13" bestFit="1" customWidth="1"/>
    <col min="13" max="23" width="10.6640625" style="13" customWidth="1"/>
    <col min="24" max="16384" width="14.5" style="13"/>
  </cols>
  <sheetData>
    <row r="1" spans="1:11" ht="17" thickBot="1" x14ac:dyDescent="0.25">
      <c r="A1" s="32" t="s">
        <v>27</v>
      </c>
      <c r="B1" s="127" t="s">
        <v>126</v>
      </c>
      <c r="C1" s="127"/>
      <c r="D1" s="127"/>
      <c r="F1" s="43" t="s">
        <v>103</v>
      </c>
      <c r="G1" s="45" t="s">
        <v>7</v>
      </c>
      <c r="I1" s="31" t="s">
        <v>47</v>
      </c>
      <c r="J1" s="34">
        <f>Total_Registros_Gerente</f>
        <v>61</v>
      </c>
    </row>
    <row r="2" spans="1:11" ht="17" thickBot="1" x14ac:dyDescent="0.25">
      <c r="A2" s="43" t="s">
        <v>30</v>
      </c>
      <c r="B2" s="128" t="s">
        <v>193</v>
      </c>
      <c r="C2" s="128"/>
      <c r="D2" s="128"/>
    </row>
    <row r="3" spans="1:11" ht="17" thickBot="1" x14ac:dyDescent="0.25">
      <c r="A3" s="43" t="s">
        <v>28</v>
      </c>
      <c r="B3" s="103">
        <v>45736</v>
      </c>
      <c r="C3" s="44" t="s">
        <v>29</v>
      </c>
      <c r="D3" s="101">
        <v>45743</v>
      </c>
      <c r="F3" s="20"/>
      <c r="G3" s="21"/>
      <c r="I3" s="14"/>
    </row>
    <row r="4" spans="1:11" ht="17" thickBot="1" x14ac:dyDescent="0.25">
      <c r="A4" s="43" t="s">
        <v>17</v>
      </c>
      <c r="B4" s="47">
        <f>COUNTIFS(Tabla_PromotorDAMIAN_BRAVO[GRUPO],"&lt;&gt;",
Tabla_PromotorDAMIAN_BRAVO[GRUPO],"&lt;&gt;503",
Tabla_PromotorDAMIAN_BRAVO[GRUPO],"&lt;&gt;500",
Tabla_PromotorDAMIAN_BRAVO[PAGO],"&gt;=299")</f>
        <v>6</v>
      </c>
      <c r="C4" s="17"/>
      <c r="F4" s="18"/>
      <c r="G4" s="18"/>
      <c r="H4" s="17"/>
      <c r="K4" s="19"/>
    </row>
    <row r="5" spans="1:11" ht="17" thickBot="1" x14ac:dyDescent="0.25">
      <c r="A5" s="43" t="s">
        <v>31</v>
      </c>
      <c r="B5" s="46">
        <f>WEEKNUM(B3)</f>
        <v>12</v>
      </c>
      <c r="C5" s="17"/>
      <c r="E5" s="18"/>
      <c r="F5" s="18"/>
      <c r="G5" s="18"/>
      <c r="H5" s="17"/>
      <c r="K5" s="23"/>
    </row>
    <row r="6" spans="1:11" ht="17" thickBot="1" x14ac:dyDescent="0.25">
      <c r="A6" s="43" t="s">
        <v>26</v>
      </c>
      <c r="B6" s="101">
        <v>45748</v>
      </c>
      <c r="C6" s="17"/>
      <c r="E6" s="18"/>
      <c r="F6" s="18"/>
      <c r="G6" s="18"/>
      <c r="H6" s="17"/>
      <c r="J6" s="23"/>
      <c r="K6" s="23"/>
    </row>
    <row r="8" spans="1:11" x14ac:dyDescent="0.2">
      <c r="A8" s="64" t="s">
        <v>7</v>
      </c>
      <c r="B8" s="64" t="s">
        <v>18</v>
      </c>
      <c r="C8" s="64" t="s">
        <v>19</v>
      </c>
      <c r="D8" s="112" t="s">
        <v>33</v>
      </c>
      <c r="E8" s="64" t="s">
        <v>32</v>
      </c>
      <c r="F8" s="64" t="s">
        <v>52</v>
      </c>
      <c r="G8" s="64" t="s">
        <v>20</v>
      </c>
      <c r="H8" s="112" t="s">
        <v>1</v>
      </c>
      <c r="I8" s="64" t="s">
        <v>53</v>
      </c>
      <c r="J8" s="64" t="s">
        <v>21</v>
      </c>
      <c r="K8" s="64" t="s">
        <v>22</v>
      </c>
    </row>
    <row r="9" spans="1:11" x14ac:dyDescent="0.2">
      <c r="A9" s="133" t="s">
        <v>113</v>
      </c>
      <c r="B9" s="134">
        <v>20933</v>
      </c>
      <c r="C9" s="134" t="s">
        <v>258</v>
      </c>
      <c r="D9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200</v>
      </c>
      <c r="E9" s="134" t="s">
        <v>36</v>
      </c>
      <c r="F9" s="134" t="s">
        <v>239</v>
      </c>
      <c r="G9" s="136">
        <v>501</v>
      </c>
      <c r="H9" s="141">
        <f>IFERROR(VLOOKUP(Tabla_PromotorDAMIAN_BRAVO[[#This Row],[CREDENCIAL]], Tabla_Gerente[[CREDENCIAL]:[PAGO]], 7, FALSE), 0)</f>
        <v>350</v>
      </c>
      <c r="I9" s="142">
        <v>45736</v>
      </c>
      <c r="J9" s="139"/>
      <c r="K9" s="139"/>
    </row>
    <row r="10" spans="1:11" x14ac:dyDescent="0.2">
      <c r="A10" s="133" t="s">
        <v>113</v>
      </c>
      <c r="B10" s="134">
        <v>20937</v>
      </c>
      <c r="C10" s="134" t="s">
        <v>260</v>
      </c>
      <c r="D10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250</v>
      </c>
      <c r="E10" s="134" t="s">
        <v>36</v>
      </c>
      <c r="F10" s="134" t="s">
        <v>216</v>
      </c>
      <c r="G10" s="136">
        <v>9380</v>
      </c>
      <c r="H10" s="141">
        <f>IFERROR(VLOOKUP(Tabla_PromotorDAMIAN_BRAVO[[#This Row],[CREDENCIAL]], Tabla_Gerente[[CREDENCIAL]:[PAGO]], 7, FALSE), 0)</f>
        <v>400</v>
      </c>
      <c r="I10" s="142">
        <v>45737</v>
      </c>
      <c r="J10" s="139"/>
      <c r="K10" s="139"/>
    </row>
    <row r="11" spans="1:11" x14ac:dyDescent="0.2">
      <c r="A11" s="133" t="s">
        <v>113</v>
      </c>
      <c r="B11" s="134">
        <v>20955</v>
      </c>
      <c r="C11" s="134" t="s">
        <v>261</v>
      </c>
      <c r="D11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249</v>
      </c>
      <c r="E11" s="134" t="s">
        <v>36</v>
      </c>
      <c r="F11" s="134" t="s">
        <v>215</v>
      </c>
      <c r="G11" s="136">
        <v>9384</v>
      </c>
      <c r="H11" s="141">
        <f>IFERROR(VLOOKUP(Tabla_PromotorDAMIAN_BRAVO[[#This Row],[CREDENCIAL]], Tabla_Gerente[[CREDENCIAL]:[PAGO]], 7, FALSE), 0)</f>
        <v>399</v>
      </c>
      <c r="I11" s="142">
        <v>45737</v>
      </c>
      <c r="J11" s="139"/>
      <c r="K11" s="139"/>
    </row>
    <row r="12" spans="1:11" x14ac:dyDescent="0.2">
      <c r="A12" s="133" t="s">
        <v>113</v>
      </c>
      <c r="B12" s="134">
        <v>20917</v>
      </c>
      <c r="C12" s="134" t="s">
        <v>257</v>
      </c>
      <c r="D12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200</v>
      </c>
      <c r="E12" s="134" t="s">
        <v>36</v>
      </c>
      <c r="F12" s="134" t="s">
        <v>218</v>
      </c>
      <c r="G12" s="136">
        <v>501</v>
      </c>
      <c r="H12" s="141">
        <f>IFERROR(VLOOKUP(Tabla_PromotorDAMIAN_BRAVO[[#This Row],[CREDENCIAL]], Tabla_Gerente[[CREDENCIAL]:[PAGO]], 7, FALSE), 0)</f>
        <v>350</v>
      </c>
      <c r="I12" s="142">
        <v>45736</v>
      </c>
      <c r="J12" s="139"/>
      <c r="K12" s="139"/>
    </row>
    <row r="13" spans="1:11" x14ac:dyDescent="0.2">
      <c r="A13" s="133" t="s">
        <v>113</v>
      </c>
      <c r="B13" s="134">
        <v>20936</v>
      </c>
      <c r="C13" s="134" t="s">
        <v>259</v>
      </c>
      <c r="D13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249</v>
      </c>
      <c r="E13" s="134" t="s">
        <v>36</v>
      </c>
      <c r="F13" s="134" t="s">
        <v>218</v>
      </c>
      <c r="G13" s="136">
        <v>501</v>
      </c>
      <c r="H13" s="141">
        <f>IFERROR(VLOOKUP(Tabla_PromotorDAMIAN_BRAVO[[#This Row],[CREDENCIAL]], Tabla_Gerente[[CREDENCIAL]:[PAGO]], 7, FALSE), 0)</f>
        <v>399</v>
      </c>
      <c r="I13" s="142">
        <v>45736</v>
      </c>
      <c r="J13" s="139"/>
      <c r="K13" s="139"/>
    </row>
    <row r="14" spans="1:11" x14ac:dyDescent="0.2">
      <c r="A14" s="133" t="s">
        <v>113</v>
      </c>
      <c r="B14" s="134">
        <v>20949</v>
      </c>
      <c r="C14" s="134" t="s">
        <v>262</v>
      </c>
      <c r="D14" s="135">
        <f>IF(
    OR(
        Tabla_PromotorDAMIAN_BRAVO[[#This Row],[GRUPO]] = "",
        Tabla_PromotorDAMIAN_BRAVO[[#This Row],[GRUPO]] = 500,
        COUNTIF(Tabla_PromotorDAMIAN_BRAVO[CREDENCIAL], Tabla_PromotorDAMIAN_BRAVO[[#This Row],[CREDENCIAL]]) &gt; 1,
        COUNTIF(Tabla_Gerente[CREDENCIAL], Tabla_PromotorDAMIAN_BRAVO[[#This Row],[CREDENCIAL]]) &gt; 1,
    ),
    0,
    IF(
        Tabla_PromotorDAMIAN_BRAVO[[#This Row],[GRUPO]] = 503,
        Tabla_PromotorDAMIAN_BRAVO[[#This Row],[PAGO]],
        IF(
            Tabla_PromotorDAMIAN_BRAVO[[#This Row],[PAGO]] &gt;= 299,
            Tabla_PromotorDAMIAN_BRAVO[[#This Row],[PAGO]] - 150,
            0
        )
    )
)</f>
        <v>300</v>
      </c>
      <c r="E14" s="134" t="s">
        <v>36</v>
      </c>
      <c r="F14" s="134" t="s">
        <v>218</v>
      </c>
      <c r="G14" s="136">
        <v>9386</v>
      </c>
      <c r="H14" s="141">
        <f>IFERROR(VLOOKUP(Tabla_PromotorDAMIAN_BRAVO[[#This Row],[CREDENCIAL]], Tabla_Gerente[[CREDENCIAL]:[PAGO]], 7, FALSE), 0)</f>
        <v>450</v>
      </c>
      <c r="I14" s="142">
        <v>45737</v>
      </c>
      <c r="J14" s="139"/>
      <c r="K14" s="139"/>
    </row>
    <row r="15" spans="1:11" x14ac:dyDescent="0.2">
      <c r="A15" s="133" t="s">
        <v>39</v>
      </c>
      <c r="B15" s="134"/>
      <c r="C15" s="134"/>
      <c r="D15" s="135">
        <f>SUBTOTAL(109,Tabla_PromotorDAMIAN_BRAVO[COMISION])</f>
        <v>1448</v>
      </c>
      <c r="E15" s="134"/>
      <c r="F15" s="134"/>
      <c r="G15" s="136"/>
      <c r="H15" s="141"/>
      <c r="I15" s="142"/>
      <c r="J15" s="139"/>
      <c r="K15" s="139"/>
    </row>
    <row r="16" spans="1:11" x14ac:dyDescent="0.2">
      <c r="A16" s="25"/>
      <c r="B16" s="14"/>
      <c r="C16" s="15"/>
      <c r="D16" s="52"/>
      <c r="E16" s="14"/>
      <c r="F16" s="14"/>
      <c r="G16" s="27"/>
      <c r="H16" s="53"/>
      <c r="I16" s="14"/>
      <c r="J16" s="16"/>
      <c r="K16" s="16"/>
    </row>
    <row r="17" spans="1:11" x14ac:dyDescent="0.2">
      <c r="A17" s="25" t="s">
        <v>13</v>
      </c>
      <c r="D17" s="68">
        <f>_xlfn.IFNA(VLOOKUP(Nombre_Promotor,Tabla_Sueldos_Base[],2,FALSE),0)</f>
        <v>500</v>
      </c>
      <c r="E17" s="16"/>
      <c r="F17" s="15"/>
      <c r="H17" s="15"/>
      <c r="J17" s="24"/>
    </row>
    <row r="18" spans="1:11" ht="17" thickBot="1" x14ac:dyDescent="0.25">
      <c r="A18" s="37" t="s">
        <v>34</v>
      </c>
      <c r="B18" s="38">
        <f>IF(Total_Registros_Promotor &lt; Premios!A5, 0,
   VLOOKUP(Total_Registros_Promotor, Tabla_Premios_Promotor[], 1, TRUE))</f>
        <v>6</v>
      </c>
      <c r="C18" s="34"/>
      <c r="D18" s="36">
        <f>IF(Premio_Promotor &gt; 0,
   VLOOKUP(Premio_Promotor, Tabla_Premios_Promotor[],
      VLOOKUP(Total_Registros_Gerente, Tabla_Tabulador_Premio_Promotor_Total_Gerencia[], 2, TRUE),
   FALSE),
   0)</f>
        <v>800</v>
      </c>
      <c r="E18" s="16"/>
      <c r="F18" s="15"/>
      <c r="H18" s="15"/>
      <c r="J18" s="24"/>
    </row>
    <row r="19" spans="1:11" x14ac:dyDescent="0.2">
      <c r="A19" s="27" t="s">
        <v>35</v>
      </c>
      <c r="B19" s="18"/>
      <c r="D19" s="28">
        <f>Tabla_PromotorDAMIAN_BRAVO[[#Totals],[COMISION]] + Pago_Sueldo_Base_Promotor + Pago_Premio_Promotor</f>
        <v>2748</v>
      </c>
      <c r="E19" s="16"/>
      <c r="F19" s="15"/>
      <c r="H19" s="15"/>
      <c r="J19" s="24"/>
    </row>
    <row r="20" spans="1:11" x14ac:dyDescent="0.2">
      <c r="A20" s="27" t="s">
        <v>182</v>
      </c>
      <c r="B20" s="18"/>
      <c r="C20" s="29"/>
      <c r="D20" s="39">
        <f>_xlfn.IFNA(SUMIFS(Tabla_Descuentos[DESCUENTO], Tabla_Descuentos[COLABORADOR], Nombre_Promotor, Tabla_Descuentos[PUESTO], Puesto_Promotor), 0)</f>
        <v>0</v>
      </c>
      <c r="E20" s="16" t="s">
        <v>108</v>
      </c>
      <c r="F20" s="15"/>
      <c r="H20" s="15"/>
      <c r="I20" s="18"/>
      <c r="J20" s="22"/>
      <c r="K20" s="22"/>
    </row>
    <row r="21" spans="1:11" ht="17" thickBot="1" x14ac:dyDescent="0.25">
      <c r="A21" s="35"/>
      <c r="C21" s="29"/>
      <c r="D21" s="28"/>
      <c r="E21" s="16"/>
      <c r="F21" s="15"/>
    </row>
    <row r="22" spans="1:11" ht="17" thickBot="1" x14ac:dyDescent="0.25">
      <c r="A22" s="37" t="s">
        <v>38</v>
      </c>
      <c r="B22" s="34"/>
      <c r="C22" s="49"/>
      <c r="D22" s="30">
        <f>Pago_Subtotal_Promotor + Descuento_Promotor</f>
        <v>2748</v>
      </c>
      <c r="E22" s="16"/>
      <c r="F22" s="15"/>
    </row>
    <row r="23" spans="1:11" x14ac:dyDescent="0.2">
      <c r="C23" s="29"/>
      <c r="D23" s="28"/>
      <c r="E23" s="26"/>
      <c r="F23" s="26"/>
    </row>
    <row r="24" spans="1:11" x14ac:dyDescent="0.2">
      <c r="C24" s="29"/>
      <c r="D24" s="28"/>
      <c r="E24" s="26"/>
      <c r="F24" s="26"/>
    </row>
    <row r="25" spans="1:11" ht="17" thickBot="1" x14ac:dyDescent="0.25">
      <c r="C25" s="37" t="s">
        <v>24</v>
      </c>
      <c r="D25" s="129" t="str" cm="1">
        <f t="array" ref="D25">NumeroATexto(Pago_Neto_Promotor)</f>
        <v>DOS MIL SETECIENTOS CUARENTA Y OCHO PESOS 00/100</v>
      </c>
      <c r="E25" s="129"/>
      <c r="F25" s="129"/>
      <c r="G25" s="129"/>
      <c r="H25" s="129"/>
      <c r="I25" s="129"/>
    </row>
    <row r="26" spans="1:11" x14ac:dyDescent="0.2">
      <c r="C26" s="27"/>
      <c r="D26" s="26"/>
      <c r="E26" s="16"/>
      <c r="F26" s="15"/>
    </row>
    <row r="27" spans="1:11" x14ac:dyDescent="0.2">
      <c r="C27" s="29"/>
      <c r="D27" s="28"/>
    </row>
    <row r="28" spans="1:11" ht="17" thickBot="1" x14ac:dyDescent="0.25">
      <c r="C28" s="33" t="s">
        <v>25</v>
      </c>
      <c r="D28" s="130"/>
      <c r="E28" s="130"/>
      <c r="F28" s="130"/>
      <c r="G28" s="130"/>
      <c r="H28" s="130"/>
      <c r="I28" s="130"/>
    </row>
  </sheetData>
  <mergeCells count="4">
    <mergeCell ref="B1:D1"/>
    <mergeCell ref="B2:D2"/>
    <mergeCell ref="D25:I25"/>
    <mergeCell ref="D28:I28"/>
  </mergeCells>
  <conditionalFormatting sqref="D9:D14">
    <cfRule type="expression" dxfId="17" priority="2">
      <formula>$G9=501</formula>
    </cfRule>
    <cfRule type="cellIs" dxfId="16" priority="5" operator="equal">
      <formula>0</formula>
    </cfRule>
  </conditionalFormatting>
  <conditionalFormatting sqref="G9:G14">
    <cfRule type="cellIs" dxfId="15" priority="3" operator="equal">
      <formula>503</formula>
    </cfRule>
    <cfRule type="cellIs" dxfId="14" priority="4" operator="equal">
      <formula>501</formula>
    </cfRule>
  </conditionalFormatting>
  <conditionalFormatting sqref="H9:H14">
    <cfRule type="cellIs" dxfId="13" priority="1" operator="lessThan">
      <formula>299</formula>
    </cfRule>
  </conditionalFormatting>
  <conditionalFormatting sqref="B9:B14">
    <cfRule type="duplicateValues" dxfId="11" priority="3417"/>
  </conditionalFormatting>
  <dataValidations count="7">
    <dataValidation type="list" allowBlank="1" showInputMessage="1" showErrorMessage="1" sqref="J9:J14" xr:uid="{0BF0037D-9AC8-674C-9A6C-F92304824A7A}">
      <formula1>#REF!</formula1>
    </dataValidation>
    <dataValidation type="list" allowBlank="1" showInputMessage="1" showErrorMessage="1" sqref="F9:F14" xr:uid="{15712BBB-6EF5-3F45-A989-9CBEE91D7C8E}">
      <formula1>Cursos</formula1>
    </dataValidation>
    <dataValidation type="list" allowBlank="1" showInputMessage="1" showErrorMessage="1" sqref="B2:D2" xr:uid="{EDDA7BAF-4E31-CC4E-B663-E2E79AC8C3AE}">
      <formula1>Razones_Sociales</formula1>
    </dataValidation>
    <dataValidation type="date" allowBlank="1" showInputMessage="1" showErrorMessage="1" sqref="I9:I14" xr:uid="{00480AE5-9941-3A40-A803-1B91F630A854}">
      <formula1>Periodo_De_Pago_Inicial_Gerente</formula1>
      <formula2>Periodo_De_Pago_Final_Gerente</formula2>
    </dataValidation>
    <dataValidation type="custom" allowBlank="1" showInputMessage="1" showErrorMessage="1" sqref="G9:G14" xr:uid="{2C3FC482-4B44-1440-AB45-A4320B174E07}">
      <formula1>G9&lt;&gt;500</formula1>
    </dataValidation>
    <dataValidation type="list" allowBlank="1" showInputMessage="1" showErrorMessage="1" sqref="E9:E14" xr:uid="{1BC47327-8EF2-524C-AA0A-0931AEC8FC5A}">
      <formula1>Nombres_Planteles</formula1>
    </dataValidation>
    <dataValidation type="list" allowBlank="1" showInputMessage="1" showErrorMessage="1" sqref="B1" xr:uid="{10BBBFAD-12D9-2C45-B78C-ECD4401B6DF5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E5F0C45-0D36-B547-9F79-A711D7206667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312</vt:i4>
      </vt:variant>
    </vt:vector>
  </HeadingPairs>
  <TitlesOfParts>
    <vt:vector size="333" baseType="lpstr">
      <vt:lpstr>Premios</vt:lpstr>
      <vt:lpstr>Tabuladores</vt:lpstr>
      <vt:lpstr>Colaboradores</vt:lpstr>
      <vt:lpstr>Planteles</vt:lpstr>
      <vt:lpstr>Cursos</vt:lpstr>
      <vt:lpstr>Resultados</vt:lpstr>
      <vt:lpstr>Dashboard</vt:lpstr>
      <vt:lpstr>Coordinadores</vt:lpstr>
      <vt:lpstr>Promotores</vt:lpstr>
      <vt:lpstr>PEDRO MORA</vt:lpstr>
      <vt:lpstr>MARIANA PACHECO</vt:lpstr>
      <vt:lpstr>PEDRO GUTIERREZ</vt:lpstr>
      <vt:lpstr>FATIMA HERNANDEZ</vt:lpstr>
      <vt:lpstr>YANISSE TORRES</vt:lpstr>
      <vt:lpstr>LIZBETH MORALES</vt:lpstr>
      <vt:lpstr>EUNICE MORALES</vt:lpstr>
      <vt:lpstr>OLIVIA PACHECO</vt:lpstr>
      <vt:lpstr>HUGO PACHECO</vt:lpstr>
      <vt:lpstr>ENRIQUE OJEDA</vt:lpstr>
      <vt:lpstr>EFRAIN CORTES</vt:lpstr>
      <vt:lpstr>DAMIAN BRAVO</vt:lpstr>
      <vt:lpstr>'DAMIAN BRAVO'!Alias_Coordinadores</vt:lpstr>
      <vt:lpstr>'EFRAIN CORTES'!Alias_Coordinadores</vt:lpstr>
      <vt:lpstr>'ENRIQUE OJEDA'!Alias_Coordinadores</vt:lpstr>
      <vt:lpstr>'EUNICE MORALES'!Alias_Coordinadores</vt:lpstr>
      <vt:lpstr>'FATIMA HERNANDEZ'!Alias_Coordinadores</vt:lpstr>
      <vt:lpstr>'HUGO PACHECO'!Alias_Coordinadores</vt:lpstr>
      <vt:lpstr>'LIZBETH MORALES'!Alias_Coordinadores</vt:lpstr>
      <vt:lpstr>'MARIANA PACHECO'!Alias_Coordinadores</vt:lpstr>
      <vt:lpstr>'OLIVIA PACHECO'!Alias_Coordinadores</vt:lpstr>
      <vt:lpstr>'PEDRO GUTIERREZ'!Alias_Coordinadores</vt:lpstr>
      <vt:lpstr>'YANISSE TORRES'!Alias_Coordinadores</vt:lpstr>
      <vt:lpstr>Alias_Coordinadores</vt:lpstr>
      <vt:lpstr>'DAMIAN BRAVO'!Alias_Gerentes</vt:lpstr>
      <vt:lpstr>'EFRAIN CORTES'!Alias_Gerentes</vt:lpstr>
      <vt:lpstr>'ENRIQUE OJEDA'!Alias_Gerentes</vt:lpstr>
      <vt:lpstr>'EUNICE MORALES'!Alias_Gerentes</vt:lpstr>
      <vt:lpstr>'FATIMA HERNANDEZ'!Alias_Gerentes</vt:lpstr>
      <vt:lpstr>'HUGO PACHECO'!Alias_Gerentes</vt:lpstr>
      <vt:lpstr>'LIZBETH MORALES'!Alias_Gerentes</vt:lpstr>
      <vt:lpstr>'MARIANA PACHECO'!Alias_Gerentes</vt:lpstr>
      <vt:lpstr>'OLIVIA PACHECO'!Alias_Gerentes</vt:lpstr>
      <vt:lpstr>'PEDRO GUTIERREZ'!Alias_Gerentes</vt:lpstr>
      <vt:lpstr>'YANISSE TORRES'!Alias_Gerentes</vt:lpstr>
      <vt:lpstr>Alias_Gerentes</vt:lpstr>
      <vt:lpstr>'DAMIAN BRAVO'!Alias_Lookup</vt:lpstr>
      <vt:lpstr>'EFRAIN CORTES'!Alias_Lookup</vt:lpstr>
      <vt:lpstr>'ENRIQUE OJEDA'!Alias_Lookup</vt:lpstr>
      <vt:lpstr>'EUNICE MORALES'!Alias_Lookup</vt:lpstr>
      <vt:lpstr>'FATIMA HERNANDEZ'!Alias_Lookup</vt:lpstr>
      <vt:lpstr>'HUGO PACHECO'!Alias_Lookup</vt:lpstr>
      <vt:lpstr>'LIZBETH MORALES'!Alias_Lookup</vt:lpstr>
      <vt:lpstr>'MARIANA PACHECO'!Alias_Lookup</vt:lpstr>
      <vt:lpstr>'OLIVIA PACHECO'!Alias_Lookup</vt:lpstr>
      <vt:lpstr>'PEDRO GUTIERREZ'!Alias_Lookup</vt:lpstr>
      <vt:lpstr>'YANISSE TORRES'!Alias_Lookup</vt:lpstr>
      <vt:lpstr>Alias_Lookup</vt:lpstr>
      <vt:lpstr>'DAMIAN BRAVO'!Alias_Promotores</vt:lpstr>
      <vt:lpstr>'EFRAIN CORTES'!Alias_Promotores</vt:lpstr>
      <vt:lpstr>'ENRIQUE OJEDA'!Alias_Promotores</vt:lpstr>
      <vt:lpstr>'EUNICE MORALES'!Alias_Promotores</vt:lpstr>
      <vt:lpstr>'FATIMA HERNANDEZ'!Alias_Promotores</vt:lpstr>
      <vt:lpstr>'HUGO PACHECO'!Alias_Promotores</vt:lpstr>
      <vt:lpstr>'LIZBETH MORALES'!Alias_Promotores</vt:lpstr>
      <vt:lpstr>'MARIANA PACHECO'!Alias_Promotores</vt:lpstr>
      <vt:lpstr>'OLIVIA PACHECO'!Alias_Promotores</vt:lpstr>
      <vt:lpstr>'PEDRO GUTIERREZ'!Alias_Promotores</vt:lpstr>
      <vt:lpstr>'YANISSE TORRES'!Alias_Promotores</vt:lpstr>
      <vt:lpstr>Alias_Promotores</vt:lpstr>
      <vt:lpstr>'MARIANA PACHECO'!Cantidad_Con_Letra_Coordinador</vt:lpstr>
      <vt:lpstr>'OLIVIA PACHECO'!Cantidad_Con_Letra_Coordinador</vt:lpstr>
      <vt:lpstr>Cantidad_Con_Letra_Coordinador</vt:lpstr>
      <vt:lpstr>Cantidad_Con_Letra_Gerente</vt:lpstr>
      <vt:lpstr>'DAMIAN BRAVO'!Cantidad_Con_Letra_Promotor</vt:lpstr>
      <vt:lpstr>'EFRAIN CORTES'!Cantidad_Con_Letra_Promotor</vt:lpstr>
      <vt:lpstr>'ENRIQUE OJEDA'!Cantidad_Con_Letra_Promotor</vt:lpstr>
      <vt:lpstr>'EUNICE MORALES'!Cantidad_Con_Letra_Promotor</vt:lpstr>
      <vt:lpstr>'FATIMA HERNANDEZ'!Cantidad_Con_Letra_Promotor</vt:lpstr>
      <vt:lpstr>'HUGO PACHECO'!Cantidad_Con_Letra_Promotor</vt:lpstr>
      <vt:lpstr>'LIZBETH MORALES'!Cantidad_Con_Letra_Promotor</vt:lpstr>
      <vt:lpstr>'PEDRO GUTIERREZ'!Cantidad_Con_Letra_Promotor</vt:lpstr>
      <vt:lpstr>'YANISSE TORRES'!Cantidad_Con_Letra_Promotor</vt:lpstr>
      <vt:lpstr>Cantidad_Con_Letra_Promotor</vt:lpstr>
      <vt:lpstr>'DAMIAN BRAVO'!Coordinadores_Activos</vt:lpstr>
      <vt:lpstr>'EFRAIN CORTES'!Coordinadores_Activos</vt:lpstr>
      <vt:lpstr>'ENRIQUE OJEDA'!Coordinadores_Activos</vt:lpstr>
      <vt:lpstr>'EUNICE MORALES'!Coordinadores_Activos</vt:lpstr>
      <vt:lpstr>'FATIMA HERNANDEZ'!Coordinadores_Activos</vt:lpstr>
      <vt:lpstr>'HUGO PACHECO'!Coordinadores_Activos</vt:lpstr>
      <vt:lpstr>'LIZBETH MORALES'!Coordinadores_Activos</vt:lpstr>
      <vt:lpstr>'MARIANA PACHECO'!Coordinadores_Activos</vt:lpstr>
      <vt:lpstr>'OLIVIA PACHECO'!Coordinadores_Activos</vt:lpstr>
      <vt:lpstr>'PEDRO GUTIERREZ'!Coordinadores_Activos</vt:lpstr>
      <vt:lpstr>'YANISSE TORRES'!Coordinadores_Activos</vt:lpstr>
      <vt:lpstr>Coordinadores_Activos</vt:lpstr>
      <vt:lpstr>'DAMIAN BRAVO'!Cursos</vt:lpstr>
      <vt:lpstr>'EFRAIN CORTES'!Cursos</vt:lpstr>
      <vt:lpstr>'ENRIQUE OJEDA'!Cursos</vt:lpstr>
      <vt:lpstr>'EUNICE MORALES'!Cursos</vt:lpstr>
      <vt:lpstr>'FATIMA HERNANDEZ'!Cursos</vt:lpstr>
      <vt:lpstr>'HUGO PACHECO'!Cursos</vt:lpstr>
      <vt:lpstr>'LIZBETH MORALES'!Cursos</vt:lpstr>
      <vt:lpstr>'MARIANA PACHECO'!Cursos</vt:lpstr>
      <vt:lpstr>'OLIVIA PACHECO'!Cursos</vt:lpstr>
      <vt:lpstr>'PEDRO GUTIERREZ'!Cursos</vt:lpstr>
      <vt:lpstr>'YANISSE TORRES'!Cursos</vt:lpstr>
      <vt:lpstr>Cursos</vt:lpstr>
      <vt:lpstr>'MARIANA PACHECO'!Deduccion_Coordinador</vt:lpstr>
      <vt:lpstr>'OLIVIA PACHECO'!Deduccion_Coordinador</vt:lpstr>
      <vt:lpstr>Deduccion_Coordinador</vt:lpstr>
      <vt:lpstr>Deduccion_Gerente</vt:lpstr>
      <vt:lpstr>'MARIANA PACHECO'!Descuento_Coordinador</vt:lpstr>
      <vt:lpstr>'OLIVIA PACHECO'!Descuento_Coordinador</vt:lpstr>
      <vt:lpstr>Descuento_Coordinador</vt:lpstr>
      <vt:lpstr>Descuento_Gerente</vt:lpstr>
      <vt:lpstr>'DAMIAN BRAVO'!Descuento_Promotor</vt:lpstr>
      <vt:lpstr>'EFRAIN CORTES'!Descuento_Promotor</vt:lpstr>
      <vt:lpstr>'ENRIQUE OJEDA'!Descuento_Promotor</vt:lpstr>
      <vt:lpstr>'EUNICE MORALES'!Descuento_Promotor</vt:lpstr>
      <vt:lpstr>'FATIMA HERNANDEZ'!Descuento_Promotor</vt:lpstr>
      <vt:lpstr>'HUGO PACHECO'!Descuento_Promotor</vt:lpstr>
      <vt:lpstr>'LIZBETH MORALES'!Descuento_Promotor</vt:lpstr>
      <vt:lpstr>'PEDRO GUTIERREZ'!Descuento_Promotor</vt:lpstr>
      <vt:lpstr>'YANISSE TORRES'!Descuento_Promotor</vt:lpstr>
      <vt:lpstr>Descuento_Promotor</vt:lpstr>
      <vt:lpstr>Fecha_de_expedicion</vt:lpstr>
      <vt:lpstr>'DAMIAN BRAVO'!Gerencia_de_Coordinadores</vt:lpstr>
      <vt:lpstr>'EFRAIN CORTES'!Gerencia_de_Coordinadores</vt:lpstr>
      <vt:lpstr>'ENRIQUE OJEDA'!Gerencia_de_Coordinadores</vt:lpstr>
      <vt:lpstr>'EUNICE MORALES'!Gerencia_de_Coordinadores</vt:lpstr>
      <vt:lpstr>'FATIMA HERNANDEZ'!Gerencia_de_Coordinadores</vt:lpstr>
      <vt:lpstr>'HUGO PACHECO'!Gerencia_de_Coordinadores</vt:lpstr>
      <vt:lpstr>'LIZBETH MORALES'!Gerencia_de_Coordinadores</vt:lpstr>
      <vt:lpstr>'MARIANA PACHECO'!Gerencia_de_Coordinadores</vt:lpstr>
      <vt:lpstr>'OLIVIA PACHECO'!Gerencia_de_Coordinadores</vt:lpstr>
      <vt:lpstr>'PEDRO GUTIERREZ'!Gerencia_de_Coordinadores</vt:lpstr>
      <vt:lpstr>'YANISSE TORRES'!Gerencia_de_Coordinadores</vt:lpstr>
      <vt:lpstr>Gerencia_de_Coordinadores</vt:lpstr>
      <vt:lpstr>'MARIANA PACHECO'!Nombre_Coordinador</vt:lpstr>
      <vt:lpstr>'OLIVIA PACHECO'!Nombre_Coordinador</vt:lpstr>
      <vt:lpstr>Nombre_Coordinador</vt:lpstr>
      <vt:lpstr>Nombre_Gerente</vt:lpstr>
      <vt:lpstr>'DAMIAN BRAVO'!Nombre_Promotor</vt:lpstr>
      <vt:lpstr>'EFRAIN CORTES'!Nombre_Promotor</vt:lpstr>
      <vt:lpstr>'ENRIQUE OJEDA'!Nombre_Promotor</vt:lpstr>
      <vt:lpstr>'EUNICE MORALES'!Nombre_Promotor</vt:lpstr>
      <vt:lpstr>'FATIMA HERNANDEZ'!Nombre_Promotor</vt:lpstr>
      <vt:lpstr>'HUGO PACHECO'!Nombre_Promotor</vt:lpstr>
      <vt:lpstr>'LIZBETH MORALES'!Nombre_Promotor</vt:lpstr>
      <vt:lpstr>'PEDRO GUTIERREZ'!Nombre_Promotor</vt:lpstr>
      <vt:lpstr>'YANISSE TORRES'!Nombre_Promotor</vt:lpstr>
      <vt:lpstr>Nombre_Promotor</vt:lpstr>
      <vt:lpstr>'DAMIAN BRAVO'!Nombres_Coordinadores</vt:lpstr>
      <vt:lpstr>'EFRAIN CORTES'!Nombres_Coordinadores</vt:lpstr>
      <vt:lpstr>'ENRIQUE OJEDA'!Nombres_Coordinadores</vt:lpstr>
      <vt:lpstr>'EUNICE MORALES'!Nombres_Coordinadores</vt:lpstr>
      <vt:lpstr>'FATIMA HERNANDEZ'!Nombres_Coordinadores</vt:lpstr>
      <vt:lpstr>'HUGO PACHECO'!Nombres_Coordinadores</vt:lpstr>
      <vt:lpstr>'LIZBETH MORALES'!Nombres_Coordinadores</vt:lpstr>
      <vt:lpstr>'MARIANA PACHECO'!Nombres_Coordinadores</vt:lpstr>
      <vt:lpstr>'OLIVIA PACHECO'!Nombres_Coordinadores</vt:lpstr>
      <vt:lpstr>'PEDRO GUTIERREZ'!Nombres_Coordinadores</vt:lpstr>
      <vt:lpstr>'YANISSE TORRES'!Nombres_Coordinadores</vt:lpstr>
      <vt:lpstr>Nombres_Coordinadores</vt:lpstr>
      <vt:lpstr>'DAMIAN BRAVO'!Nombres_Gerentes</vt:lpstr>
      <vt:lpstr>'EFRAIN CORTES'!Nombres_Gerentes</vt:lpstr>
      <vt:lpstr>'ENRIQUE OJEDA'!Nombres_Gerentes</vt:lpstr>
      <vt:lpstr>'EUNICE MORALES'!Nombres_Gerentes</vt:lpstr>
      <vt:lpstr>'FATIMA HERNANDEZ'!Nombres_Gerentes</vt:lpstr>
      <vt:lpstr>'HUGO PACHECO'!Nombres_Gerentes</vt:lpstr>
      <vt:lpstr>'LIZBETH MORALES'!Nombres_Gerentes</vt:lpstr>
      <vt:lpstr>'MARIANA PACHECO'!Nombres_Gerentes</vt:lpstr>
      <vt:lpstr>'OLIVIA PACHECO'!Nombres_Gerentes</vt:lpstr>
      <vt:lpstr>'PEDRO GUTIERREZ'!Nombres_Gerentes</vt:lpstr>
      <vt:lpstr>'YANISSE TORRES'!Nombres_Gerentes</vt:lpstr>
      <vt:lpstr>Nombres_Gerentes</vt:lpstr>
      <vt:lpstr>'DAMIAN BRAVO'!Nombres_Planteles</vt:lpstr>
      <vt:lpstr>'EFRAIN CORTES'!Nombres_Planteles</vt:lpstr>
      <vt:lpstr>'ENRIQUE OJEDA'!Nombres_Planteles</vt:lpstr>
      <vt:lpstr>'EUNICE MORALES'!Nombres_Planteles</vt:lpstr>
      <vt:lpstr>'FATIMA HERNANDEZ'!Nombres_Planteles</vt:lpstr>
      <vt:lpstr>'HUGO PACHECO'!Nombres_Planteles</vt:lpstr>
      <vt:lpstr>'LIZBETH MORALES'!Nombres_Planteles</vt:lpstr>
      <vt:lpstr>'MARIANA PACHECO'!Nombres_Planteles</vt:lpstr>
      <vt:lpstr>'OLIVIA PACHECO'!Nombres_Planteles</vt:lpstr>
      <vt:lpstr>'PEDRO GUTIERREZ'!Nombres_Planteles</vt:lpstr>
      <vt:lpstr>Planteles!Nombres_Planteles</vt:lpstr>
      <vt:lpstr>'YANISSE TORRES'!Nombres_Planteles</vt:lpstr>
      <vt:lpstr>Nombres_Planteles</vt:lpstr>
      <vt:lpstr>'DAMIAN BRAVO'!Nombres_Promotores</vt:lpstr>
      <vt:lpstr>'EFRAIN CORTES'!Nombres_Promotores</vt:lpstr>
      <vt:lpstr>'ENRIQUE OJEDA'!Nombres_Promotores</vt:lpstr>
      <vt:lpstr>'EUNICE MORALES'!Nombres_Promotores</vt:lpstr>
      <vt:lpstr>'FATIMA HERNANDEZ'!Nombres_Promotores</vt:lpstr>
      <vt:lpstr>'HUGO PACHECO'!Nombres_Promotores</vt:lpstr>
      <vt:lpstr>'LIZBETH MORALES'!Nombres_Promotores</vt:lpstr>
      <vt:lpstr>'MARIANA PACHECO'!Nombres_Promotores</vt:lpstr>
      <vt:lpstr>'OLIVIA PACHECO'!Nombres_Promotores</vt:lpstr>
      <vt:lpstr>'PEDRO GUTIERREZ'!Nombres_Promotores</vt:lpstr>
      <vt:lpstr>'YANISSE TORRES'!Nombres_Promotores</vt:lpstr>
      <vt:lpstr>Nombres_Promotores</vt:lpstr>
      <vt:lpstr>Numero_de_semana</vt:lpstr>
      <vt:lpstr>'MARIANA PACHECO'!Pago_Neto_Coordinador</vt:lpstr>
      <vt:lpstr>'OLIVIA PACHECO'!Pago_Neto_Coordinador</vt:lpstr>
      <vt:lpstr>Pago_Neto_Coordinador</vt:lpstr>
      <vt:lpstr>Pago_Neto_Gerente</vt:lpstr>
      <vt:lpstr>'DAMIAN BRAVO'!Pago_Neto_Promotor</vt:lpstr>
      <vt:lpstr>'EFRAIN CORTES'!Pago_Neto_Promotor</vt:lpstr>
      <vt:lpstr>'ENRIQUE OJEDA'!Pago_Neto_Promotor</vt:lpstr>
      <vt:lpstr>'EUNICE MORALES'!Pago_Neto_Promotor</vt:lpstr>
      <vt:lpstr>'FATIMA HERNANDEZ'!Pago_Neto_Promotor</vt:lpstr>
      <vt:lpstr>'HUGO PACHECO'!Pago_Neto_Promotor</vt:lpstr>
      <vt:lpstr>'LIZBETH MORALES'!Pago_Neto_Promotor</vt:lpstr>
      <vt:lpstr>'PEDRO GUTIERREZ'!Pago_Neto_Promotor</vt:lpstr>
      <vt:lpstr>'YANISSE TORRES'!Pago_Neto_Promotor</vt:lpstr>
      <vt:lpstr>Pago_Neto_Promotor</vt:lpstr>
      <vt:lpstr>'MARIANA PACHECO'!Pago_Premio_Coordinador</vt:lpstr>
      <vt:lpstr>'OLIVIA PACHECO'!Pago_Premio_Coordinador</vt:lpstr>
      <vt:lpstr>Pago_Premio_Coordinador</vt:lpstr>
      <vt:lpstr>Pago_Premio_Gerente</vt:lpstr>
      <vt:lpstr>'DAMIAN BRAVO'!Pago_Premio_Promotor</vt:lpstr>
      <vt:lpstr>'EFRAIN CORTES'!Pago_Premio_Promotor</vt:lpstr>
      <vt:lpstr>'ENRIQUE OJEDA'!Pago_Premio_Promotor</vt:lpstr>
      <vt:lpstr>'EUNICE MORALES'!Pago_Premio_Promotor</vt:lpstr>
      <vt:lpstr>'FATIMA HERNANDEZ'!Pago_Premio_Promotor</vt:lpstr>
      <vt:lpstr>'HUGO PACHECO'!Pago_Premio_Promotor</vt:lpstr>
      <vt:lpstr>'LIZBETH MORALES'!Pago_Premio_Promotor</vt:lpstr>
      <vt:lpstr>'PEDRO GUTIERREZ'!Pago_Premio_Promotor</vt:lpstr>
      <vt:lpstr>'YANISSE TORRES'!Pago_Premio_Promotor</vt:lpstr>
      <vt:lpstr>Pago_Premio_Promotor</vt:lpstr>
      <vt:lpstr>'MARIANA PACHECO'!Pago_Subtotal_Coordinador</vt:lpstr>
      <vt:lpstr>'OLIVIA PACHECO'!Pago_Subtotal_Coordinador</vt:lpstr>
      <vt:lpstr>Pago_Subtotal_Coordinador</vt:lpstr>
      <vt:lpstr>Pago_Subtotal_Gerente</vt:lpstr>
      <vt:lpstr>'DAMIAN BRAVO'!Pago_Subtotal_Promotor</vt:lpstr>
      <vt:lpstr>'EFRAIN CORTES'!Pago_Subtotal_Promotor</vt:lpstr>
      <vt:lpstr>'ENRIQUE OJEDA'!Pago_Subtotal_Promotor</vt:lpstr>
      <vt:lpstr>'EUNICE MORALES'!Pago_Subtotal_Promotor</vt:lpstr>
      <vt:lpstr>'FATIMA HERNANDEZ'!Pago_Subtotal_Promotor</vt:lpstr>
      <vt:lpstr>'HUGO PACHECO'!Pago_Subtotal_Promotor</vt:lpstr>
      <vt:lpstr>'LIZBETH MORALES'!Pago_Subtotal_Promotor</vt:lpstr>
      <vt:lpstr>'PEDRO GUTIERREZ'!Pago_Subtotal_Promotor</vt:lpstr>
      <vt:lpstr>'YANISSE TORRES'!Pago_Subtotal_Promotor</vt:lpstr>
      <vt:lpstr>Pago_Subtotal_Promotor</vt:lpstr>
      <vt:lpstr>'MARIANA PACHECO'!Pago_Sueldo_Base_Coordinador</vt:lpstr>
      <vt:lpstr>'OLIVIA PACHECO'!Pago_Sueldo_Base_Coordinador</vt:lpstr>
      <vt:lpstr>Pago_Sueldo_Base_Coordinador</vt:lpstr>
      <vt:lpstr>Pago_Sueldo_Base_Gerente</vt:lpstr>
      <vt:lpstr>'DAMIAN BRAVO'!Pago_Sueldo_Base_Promotor</vt:lpstr>
      <vt:lpstr>'EFRAIN CORTES'!Pago_Sueldo_Base_Promotor</vt:lpstr>
      <vt:lpstr>'ENRIQUE OJEDA'!Pago_Sueldo_Base_Promotor</vt:lpstr>
      <vt:lpstr>'EUNICE MORALES'!Pago_Sueldo_Base_Promotor</vt:lpstr>
      <vt:lpstr>'FATIMA HERNANDEZ'!Pago_Sueldo_Base_Promotor</vt:lpstr>
      <vt:lpstr>'HUGO PACHECO'!Pago_Sueldo_Base_Promotor</vt:lpstr>
      <vt:lpstr>'LIZBETH MORALES'!Pago_Sueldo_Base_Promotor</vt:lpstr>
      <vt:lpstr>'PEDRO GUTIERREZ'!Pago_Sueldo_Base_Promotor</vt:lpstr>
      <vt:lpstr>'YANISSE TORRES'!Pago_Sueldo_Base_Promotor</vt:lpstr>
      <vt:lpstr>Pago_Sueldo_Base_Promotor</vt:lpstr>
      <vt:lpstr>Periodo_de_pago_final</vt:lpstr>
      <vt:lpstr>Periodo_De_Pago_Final_Gerente</vt:lpstr>
      <vt:lpstr>Periodo_de_pago_inicial</vt:lpstr>
      <vt:lpstr>Periodo_De_Pago_Inicial_Gerente</vt:lpstr>
      <vt:lpstr>'MARIANA PACHECO'!Premio_Coordinador</vt:lpstr>
      <vt:lpstr>'OLIVIA PACHECO'!Premio_Coordinador</vt:lpstr>
      <vt:lpstr>Premio_Coordinador</vt:lpstr>
      <vt:lpstr>Premio_Gerente</vt:lpstr>
      <vt:lpstr>'DAMIAN BRAVO'!Premio_Promotor</vt:lpstr>
      <vt:lpstr>'EFRAIN CORTES'!Premio_Promotor</vt:lpstr>
      <vt:lpstr>'ENRIQUE OJEDA'!Premio_Promotor</vt:lpstr>
      <vt:lpstr>'EUNICE MORALES'!Premio_Promotor</vt:lpstr>
      <vt:lpstr>'FATIMA HERNANDEZ'!Premio_Promotor</vt:lpstr>
      <vt:lpstr>'HUGO PACHECO'!Premio_Promotor</vt:lpstr>
      <vt:lpstr>'LIZBETH MORALES'!Premio_Promotor</vt:lpstr>
      <vt:lpstr>'PEDRO GUTIERREZ'!Premio_Promotor</vt:lpstr>
      <vt:lpstr>'YANISSE TORRES'!Premio_Promotor</vt:lpstr>
      <vt:lpstr>Premio_Promotor</vt:lpstr>
      <vt:lpstr>'MARIANA PACHECO'!Puesto_Coordinador</vt:lpstr>
      <vt:lpstr>'OLIVIA PACHECO'!Puesto_Coordinador</vt:lpstr>
      <vt:lpstr>Puesto_Coordinador</vt:lpstr>
      <vt:lpstr>Puesto_Gerente</vt:lpstr>
      <vt:lpstr>'DAMIAN BRAVO'!Puesto_Promotor</vt:lpstr>
      <vt:lpstr>'EFRAIN CORTES'!Puesto_Promotor</vt:lpstr>
      <vt:lpstr>'ENRIQUE OJEDA'!Puesto_Promotor</vt:lpstr>
      <vt:lpstr>'EUNICE MORALES'!Puesto_Promotor</vt:lpstr>
      <vt:lpstr>'FATIMA HERNANDEZ'!Puesto_Promotor</vt:lpstr>
      <vt:lpstr>'HUGO PACHECO'!Puesto_Promotor</vt:lpstr>
      <vt:lpstr>'LIZBETH MORALES'!Puesto_Promotor</vt:lpstr>
      <vt:lpstr>'PEDRO GUTIERREZ'!Puesto_Promotor</vt:lpstr>
      <vt:lpstr>'YANISSE TORRES'!Puesto_Promotor</vt:lpstr>
      <vt:lpstr>Puesto_Promotor</vt:lpstr>
      <vt:lpstr>'DAMIAN BRAVO'!Puestos</vt:lpstr>
      <vt:lpstr>'EFRAIN CORTES'!Puestos</vt:lpstr>
      <vt:lpstr>'ENRIQUE OJEDA'!Puestos</vt:lpstr>
      <vt:lpstr>'EUNICE MORALES'!Puestos</vt:lpstr>
      <vt:lpstr>'FATIMA HERNANDEZ'!Puestos</vt:lpstr>
      <vt:lpstr>'HUGO PACHECO'!Puestos</vt:lpstr>
      <vt:lpstr>'LIZBETH MORALES'!Puestos</vt:lpstr>
      <vt:lpstr>'MARIANA PACHECO'!Puestos</vt:lpstr>
      <vt:lpstr>'OLIVIA PACHECO'!Puestos</vt:lpstr>
      <vt:lpstr>'PEDRO GUTIERREZ'!Puestos</vt:lpstr>
      <vt:lpstr>'YANISSE TORRES'!Puestos</vt:lpstr>
      <vt:lpstr>Puestos</vt:lpstr>
      <vt:lpstr>Razon_Social</vt:lpstr>
      <vt:lpstr>'DAMIAN BRAVO'!Razones_Sociales</vt:lpstr>
      <vt:lpstr>'EFRAIN CORTES'!Razones_Sociales</vt:lpstr>
      <vt:lpstr>'ENRIQUE OJEDA'!Razones_Sociales</vt:lpstr>
      <vt:lpstr>'EUNICE MORALES'!Razones_Sociales</vt:lpstr>
      <vt:lpstr>'FATIMA HERNANDEZ'!Razones_Sociales</vt:lpstr>
      <vt:lpstr>'HUGO PACHECO'!Razones_Sociales</vt:lpstr>
      <vt:lpstr>'LIZBETH MORALES'!Razones_Sociales</vt:lpstr>
      <vt:lpstr>'MARIANA PACHECO'!Razones_Sociales</vt:lpstr>
      <vt:lpstr>'OLIVIA PACHECO'!Razones_Sociales</vt:lpstr>
      <vt:lpstr>'PEDRO GUTIERREZ'!Razones_Sociales</vt:lpstr>
      <vt:lpstr>Planteles!Razones_Sociales</vt:lpstr>
      <vt:lpstr>'YANISSE TORRES'!Razones_Sociales</vt:lpstr>
      <vt:lpstr>Razones_Sociales</vt:lpstr>
      <vt:lpstr>Sueldo_Base_Coordinador</vt:lpstr>
      <vt:lpstr>Sueldo_Base_Gerente</vt:lpstr>
      <vt:lpstr>Total_De_La_Gerencia</vt:lpstr>
      <vt:lpstr>'MARIANA PACHECO'!Total_Registros_Coordinador</vt:lpstr>
      <vt:lpstr>'OLIVIA PACHECO'!Total_Registros_Coordinador</vt:lpstr>
      <vt:lpstr>Total_Registros_Coordinador</vt:lpstr>
      <vt:lpstr>Total_Registros_Gerente</vt:lpstr>
      <vt:lpstr>'DAMIAN BRAVO'!Total_Registros_Promotor</vt:lpstr>
      <vt:lpstr>'EFRAIN CORTES'!Total_Registros_Promotor</vt:lpstr>
      <vt:lpstr>'ENRIQUE OJEDA'!Total_Registros_Promotor</vt:lpstr>
      <vt:lpstr>'EUNICE MORALES'!Total_Registros_Promotor</vt:lpstr>
      <vt:lpstr>'FATIMA HERNANDEZ'!Total_Registros_Promotor</vt:lpstr>
      <vt:lpstr>'HUGO PACHECO'!Total_Registros_Promotor</vt:lpstr>
      <vt:lpstr>'LIZBETH MORALES'!Total_Registros_Promotor</vt:lpstr>
      <vt:lpstr>'PEDRO GUTIERREZ'!Total_Registros_Promotor</vt:lpstr>
      <vt:lpstr>'YANISSE TORRES'!Total_Registros_Promotor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Garcia</cp:lastModifiedBy>
  <cp:lastPrinted>2025-03-29T16:25:03Z</cp:lastPrinted>
  <dcterms:created xsi:type="dcterms:W3CDTF">2020-02-08T17:47:59Z</dcterms:created>
  <dcterms:modified xsi:type="dcterms:W3CDTF">2025-04-19T06:36:27Z</dcterms:modified>
</cp:coreProperties>
</file>