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14537CD1-5B15-144F-9CDC-B86B759DCA45}" xr6:coauthVersionLast="47" xr6:coauthVersionMax="47" xr10:uidLastSave="{00000000-0000-0000-0000-000000000000}"/>
  <bookViews>
    <workbookView xWindow="44540" yWindow="5500" windowWidth="45860" windowHeight="28300" tabRatio="926" activeTab="9" xr2:uid="{00000000-000D-0000-FFFF-FFFF00000000}"/>
  </bookViews>
  <sheets>
    <sheet name="Premios" sheetId="3" state="hidden" r:id="rId1"/>
    <sheet name="Tabuladores" sheetId="1" state="hidden" r:id="rId2"/>
    <sheet name="Colaboradores" sheetId="11" state="hidden" r:id="rId3"/>
    <sheet name="Planteles" sheetId="492" state="hidden" r:id="rId4"/>
    <sheet name="Cursos" sheetId="443" state="hidden" r:id="rId5"/>
    <sheet name="Resultados" sheetId="464" r:id="rId6"/>
    <sheet name="Dashboard" sheetId="396" r:id="rId7"/>
    <sheet name="Coordinadores" sheetId="7" state="hidden" r:id="rId8"/>
    <sheet name="Promotores" sheetId="8" state="hidden" r:id="rId9"/>
    <sheet name="RAMON TALA" sheetId="5" r:id="rId10"/>
  </sheets>
  <functionGroups builtInGroupCount="19"/>
  <externalReferences>
    <externalReference r:id="rId11"/>
  </externalReferences>
  <definedNames>
    <definedName name="_xlnm._FilterDatabase" localSheetId="9" hidden="1">'RAMON TALA'!$A$7:$L$7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>Tabla_Coordinadores[ALIAS]</definedName>
    <definedName name="Alias_Gerentes">Tabla_Gerentes[ALIAS]</definedName>
    <definedName name="Alias_Lookup">Tabla_Promotores[[ALIAS]:[COORDINACION]]</definedName>
    <definedName name="Alias_Promotores">Tabla_Promotores[ALIAS]</definedName>
    <definedName name="Cantidad_Con_Letra_Coordinador">Coordinadores!$D$20</definedName>
    <definedName name="Cantidad_Con_Letra_Gerente">'RAMON TALA'!$E$20</definedName>
    <definedName name="Cantidad_Con_Letra_Promotor">Promotores!$D$19</definedName>
    <definedName name="Coordinadores_Activos">Tabla_Coordinadores_Gerencia_Activa[COORDINADOR]</definedName>
    <definedName name="Cursos">Tabla_Cursos[CURSOS]</definedName>
    <definedName name="Deduccion_Coordinador">Coordinadores!$D$16</definedName>
    <definedName name="Deduccion_Gerente">'RAMON TALA'!$E$15</definedName>
    <definedName name="Descuento_Coordinador">Coordinadores!$D$15</definedName>
    <definedName name="Descuento_Gerente">'RAMON TALA'!$E$14</definedName>
    <definedName name="Descuento_Promotor">Promotores!$D$15</definedName>
    <definedName name="Fecha_de_expedicion">'RAMON TALA'!$B$6</definedName>
    <definedName name="FilteredPromotores">OFFSET([1]Sheet1!$Z$9, 0, 0, COUNTA([1]Sheet1!$Z:$Z), 1)</definedName>
    <definedName name="Gerencia_de_Coordinadores">Tabla_Coordinadores[GERENCIA]</definedName>
    <definedName name="Nombre_Coordinador">Coordinadores!$B$1</definedName>
    <definedName name="Nombre_Gerente">'RAMON TALA'!$B$1</definedName>
    <definedName name="Nombre_Promotor">Promotores!$B$1</definedName>
    <definedName name="Nombres_Coordinadores">Tabla_Coordinadores[NOMBRE]</definedName>
    <definedName name="Nombres_Gerentes">Tabla_Gerentes[NOMBRE]</definedName>
    <definedName name="Nombres_Planteles" localSheetId="3">Tabla_Planteles[NOMBRE]</definedName>
    <definedName name="Nombres_Planteles">Tabla_Planteles[NOMBRE]</definedName>
    <definedName name="Nombres_Promotores">Tabla_Promotores[NOMBRE]</definedName>
    <definedName name="Numero_de_semana">'RAMON TALA'!$B$5</definedName>
    <definedName name="Pago_Neto_Coordinador">Coordinadores!$D$18</definedName>
    <definedName name="Pago_Neto_Gerente">'RAMON TALA'!$E$17</definedName>
    <definedName name="Pago_Neto_Promotor">Promotores!$D$17</definedName>
    <definedName name="Pago_Premio_Coordinador">Coordinadores!$D$13</definedName>
    <definedName name="Pago_Premio_Gerente">'RAMON TALA'!$E$12</definedName>
    <definedName name="Pago_Premio_Promotor">Promotores!$D$13</definedName>
    <definedName name="Pago_Subtotal_Coordinador">Coordinadores!$D$14</definedName>
    <definedName name="Pago_Subtotal_Gerente">'RAMON TALA'!$E$13</definedName>
    <definedName name="Pago_Subtotal_Promotor">Promotores!$D$14</definedName>
    <definedName name="Pago_Sueldo_Base_Coordinador">Coordinadores!$D$12</definedName>
    <definedName name="Pago_Sueldo_Base_Gerente">'RAMON TALA'!$E$11</definedName>
    <definedName name="Pago_Sueldo_Base_Promotor">Promotores!$D$12</definedName>
    <definedName name="Periodo_de_pago_final">'RAMON TALA'!$D$3</definedName>
    <definedName name="Periodo_De_Pago_Final_Gerente">'RAMON TALA'!$D$3</definedName>
    <definedName name="Periodo_de_pago_inicial">'RAMON TALA'!$B$3</definedName>
    <definedName name="Periodo_De_Pago_Inicial_Gerente">'RAMON TALA'!$B$3</definedName>
    <definedName name="Premio_Coordinador">Coordinadores!$B$13</definedName>
    <definedName name="Premio_Gerente">'RAMON TALA'!$B$12</definedName>
    <definedName name="Premio_Promotor">Promotores!$B$13</definedName>
    <definedName name="Promotores_Activos">#REF!</definedName>
    <definedName name="Puesto_Coordinador">Coordinadores!$G$1</definedName>
    <definedName name="Puesto_Gerente">'RAMON TALA'!$G$1</definedName>
    <definedName name="Puesto_Promotor">Promotores!$G$1</definedName>
    <definedName name="Puestos">Tabla_Sueldo_Base_Por_Puesto[PUESTO]</definedName>
    <definedName name="Razon_Social">'RAMON TALA'!$B$2</definedName>
    <definedName name="Razones_Sociales" localSheetId="3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tal_De_La_Gerencia">'RAMON TALA'!$J$4</definedName>
    <definedName name="Total_Registros_Coordinador">Coordinadores!$B$4</definedName>
    <definedName name="Total_Registros_Gerente">'RAMON TALA'!$B$4</definedName>
    <definedName name="Total_Registros_Promotor">Promotores!$B$4</definedName>
  </definedNames>
  <calcPr calcId="191029"/>
  <pivotCaches>
    <pivotCache cacheId="653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5" l="1"/>
  <c r="B4" i="5" a="1"/>
  <c r="B4" i="5" s="1"/>
  <c r="B4" i="8" l="1"/>
  <c r="E14" i="5"/>
  <c r="D15" i="7" l="1"/>
  <c r="B4" i="7" a="1"/>
  <c r="B4" i="7" s="1"/>
  <c r="D9" i="8"/>
  <c r="H9" i="8"/>
  <c r="E9" i="5" l="1"/>
  <c r="J1" i="5"/>
  <c r="H9" i="7"/>
  <c r="D9" i="7" s="1"/>
  <c r="B3" i="5"/>
  <c r="D3" i="5"/>
  <c r="E11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E10" i="5" l="1"/>
  <c r="D10" i="7"/>
  <c r="D14" i="7" s="1"/>
  <c r="D14" i="8"/>
  <c r="D17" i="8" s="1"/>
  <c r="B12" i="5"/>
  <c r="E12" i="5" s="1"/>
  <c r="J1" i="8"/>
  <c r="J1" i="7"/>
  <c r="D20" i="8" a="1"/>
  <c r="D20" i="8" l="1"/>
  <c r="E13" i="5"/>
  <c r="D16" i="7"/>
  <c r="D18" i="7" s="1"/>
  <c r="D21" i="7" a="1"/>
  <c r="D21" i="7" l="1"/>
  <c r="E15" i="5"/>
  <c r="E17" i="5" s="1"/>
  <c r="E20" i="5" a="1"/>
  <c r="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<sst xmlns="http://schemas.openxmlformats.org/spreadsheetml/2006/main" count="565" uniqueCount="247">
  <si>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</si>
  <si>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</si>
  <si>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</si>
  <si>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</si>
  <si>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</si>
  <si>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</si>
  <si>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</si>
  <si>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</si>
  <si>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</si>
  <si>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</si>
  <si>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</si>
  <si>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</si>
  <si>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</si>
  <si>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</si>
  <si>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</si>
  <si>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</si>
  <si>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</si>
  <si>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</si>
  <si>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</si>
  <si>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</si>
  <si>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</si>
  <si>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</si>
  <si>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</si>
  <si>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</si>
  <si>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</si>
  <si>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</si>
  <si>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</si>
  <si>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</si>
  <si>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</si>
  <si>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</si>
  <si>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</si>
  <si>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</si>
  <si>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</si>
  <si>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</si>
  <si>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</si>
  <si>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</si>
  <si>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</si>
  <si>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</si>
  <si>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</si>
  <si>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</si>
  <si>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</si>
  <si>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</si>
  <si>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</si>
  <si>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</si>
  <si>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</si>
  <si>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</si>
  <si>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</si>
  <si>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</si>
  <si>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</si>
  <si>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</si>
  <si>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</si>
  <si>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</si>
  <si>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</si>
  <si>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</si>
  <si>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</si>
  <si>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</si>
  <si>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</si>
  <si>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</si>
  <si>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</si>
  <si>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</si>
  <si>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</si>
  <si>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</si>
  <si>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</si>
  <si>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</si>
  <si>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</si>
  <si>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</si>
  <si>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</si>
  <si>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</si>
  <si>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</si>
  <si>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</si>
  <si>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</si>
  <si>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</si>
  <si>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</si>
  <si>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</si>
  <si>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</si>
  <si>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</si>
  <si>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</si>
  <si>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</si>
  <si>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</si>
  <si>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</si>
  <si>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</si>
  <si>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</si>
  <si>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</si>
  <si>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</si>
  <si>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</si>
  <si>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</si>
  <si>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</si>
  <si>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</si>
  <si>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</si>
  <si>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</si>
  <si>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</si>
  <si>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</si>
  <si>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</si>
  <si>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</si>
  <si>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</si>
  <si>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</si>
  <si>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</si>
  <si>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</si>
  <si>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</si>
  <si>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</si>
  <si>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</si>
  <si>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</si>
  <si>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</si>
  <si>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</si>
  <si>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</si>
  <si>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</si>
  <si>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</si>
  <si>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</si>
  <si>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</si>
  <si>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</si>
  <si>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</si>
  <si>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</si>
  <si>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</si>
  <si>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</si>
  <si>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</si>
  <si>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</si>
  <si>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</si>
  <si>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</si>
  <si>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</si>
  <si>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</si>
  <si>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</si>
  <si>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</si>
  <si>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</si>
  <si>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</si>
  <si>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</si>
  <si>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</si>
  <si>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</si>
  <si>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</si>
  <si>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</si>
  <si>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</si>
  <si>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</si>
  <si>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</si>
  <si>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</si>
  <si>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</si>
  <si>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</si>
  <si>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</si>
  <si>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</si>
  <si>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</si>
  <si>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</si>
  <si>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</si>
  <si>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</si>
  <si>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</si>
  <si>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</si>
  <si>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</si>
  <si>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</si>
  <si>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</si>
  <si>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</si>
  <si>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</si>
  <si>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</si>
  <si>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</si>
  <si>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</si>
  <si>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</si>
  <si>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</si>
  <si>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</si>
  <si>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</si>
  <si>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</si>
  <si>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</si>
  <si>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</si>
  <si>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</si>
  <si>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</si>
  <si>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</si>
  <si>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</si>
  <si>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</si>
  <si>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</si>
  <si>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</si>
  <si>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</si>
  <si>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</si>
  <si>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</si>
  <si>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</si>
  <si>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</si>
  <si>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</si>
  <si>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</si>
  <si>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</si>
  <si>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</si>
  <si>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</si>
  <si>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</si>
  <si>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</si>
  <si>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</si>
  <si>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</si>
  <si>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</si>
  <si>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</si>
  <si>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</si>
  <si>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</si>
  <si>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</si>
  <si>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</si>
  <si>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</si>
  <si>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</si>
  <si>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Grand Total</t>
  </si>
  <si>
    <t>.</t>
  </si>
  <si>
    <t>Ventas por Coordinacion</t>
  </si>
  <si>
    <t>Ventas de Coordiacion por Plantel</t>
  </si>
  <si>
    <t>Ventas Por Plantel</t>
  </si>
  <si>
    <t>Ventas por Curso</t>
  </si>
  <si>
    <t>TECNOLOGIA EN ACCION SC</t>
  </si>
  <si>
    <t>Cursos</t>
  </si>
  <si>
    <t>INGLES</t>
  </si>
  <si>
    <t>UNIVERSIDAD</t>
  </si>
  <si>
    <t>SECUNDARIA</t>
  </si>
  <si>
    <t>COLBACH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</si>
  <si>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</si>
  <si>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</si>
  <si>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</si>
  <si>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</si>
  <si>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</si>
  <si>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</si>
  <si>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</si>
  <si>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</si>
  <si>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</si>
  <si>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</si>
  <si>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</si>
  <si>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</si>
  <si>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</si>
  <si>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Ventas de Coordinacion por Plantel</t>
  </si>
  <si>
    <t>Ventas por Gerente</t>
  </si>
  <si>
    <t>INGLES KIDS</t>
  </si>
  <si>
    <t>CONTABILIDAD</t>
  </si>
  <si>
    <t>COMPUTACION</t>
  </si>
  <si>
    <t>INGLES KINDER</t>
  </si>
  <si>
    <t>REP DE CELULARES</t>
  </si>
  <si>
    <t>INGLES TEENS</t>
  </si>
  <si>
    <t>CENTRO DE EDUCACION DE CALIDAD TOTAL SC</t>
  </si>
  <si>
    <t>VIRTUAL</t>
  </si>
  <si>
    <t>VANGUARDIA EN EDUCACION E INFORMATICA SC</t>
  </si>
  <si>
    <t>UI PARIAN</t>
  </si>
  <si>
    <t>UI MARIANO OTERO</t>
  </si>
  <si>
    <t>UI 16 DE SEPTIEMBRE</t>
  </si>
  <si>
    <t>CENTRO EDUCATIVO Y MEDIOS ACADEMICOS SC</t>
  </si>
  <si>
    <t>UDN TONALA</t>
  </si>
  <si>
    <t>UDN TLAQUEPAQUE</t>
  </si>
  <si>
    <t>EDUCACION ACADEMICA Y VANGUARDISTA SC</t>
  </si>
  <si>
    <t>TRANSITO</t>
  </si>
  <si>
    <t>ONLINE</t>
  </si>
  <si>
    <t>OBLATOS</t>
  </si>
  <si>
    <t>INDEPENDENCIA</t>
  </si>
  <si>
    <t>CENTRO TECNOLOGICO Y LENGUAS EXTRANJERAS</t>
  </si>
  <si>
    <t>AWL TONALA</t>
  </si>
  <si>
    <t>AWL TLAQUEPAQUE</t>
  </si>
  <si>
    <t>Razones Sociales</t>
  </si>
  <si>
    <t>Planteles</t>
  </si>
  <si>
    <t>AUX DE ENFERMERIA</t>
  </si>
  <si>
    <t>PARAMEDICO</t>
  </si>
  <si>
    <t>PRIMARIA</t>
  </si>
  <si>
    <t>GERIATRIA</t>
  </si>
  <si>
    <t>DERECHO FISCAL</t>
  </si>
  <si>
    <t>PREPA INTENSIVA</t>
  </si>
  <si>
    <t>INGLES INTENSIVO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</si>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</sst>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0" fontId="9" fillId="0" borderId="4" applyNumberFormat="0" applyFill="0" applyAlignment="0" applyProtection="0"/>
    <xf numFmtId="0" fontId="17" fillId="0" borderId="5" applyNumberFormat="0" applyFill="0" applyAlignment="0" applyProtection="0"/>
  </cellStyleXfs>
  <cellXfs count="134">
    <xf numFmtId="0" fontId="0" fillId="0" borderId="0" xfId="0"/>
    <xf numFmtId="0" fontId="4" fillId="0" borderId="0" xfId="0" applyFont="1"/>
    <xf numFmtId="165" fontId="4" fillId="0" borderId="0" xfId="1" applyFont="1" applyFill="1" applyBorder="1"/>
    <xf numFmtId="165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4" fillId="0" borderId="0" xfId="1" applyFont="1" applyFill="1" applyBorder="1" applyAlignment="1"/>
    <xf numFmtId="0" fontId="5" fillId="0" borderId="0" xfId="0" applyFont="1"/>
    <xf numFmtId="0" fontId="5" fillId="0" borderId="0" xfId="0" applyFont="1" applyAlignment="1">
      <alignment vertical="center"/>
    </xf>
    <xf numFmtId="165" fontId="5" fillId="0" borderId="0" xfId="1" applyFont="1" applyFill="1" applyBorder="1" applyAlignment="1"/>
    <xf numFmtId="165" fontId="5" fillId="0" borderId="0" xfId="1" applyFont="1" applyFill="1" applyBorder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wrapText="1"/>
    </xf>
    <xf numFmtId="166" fontId="6" fillId="0" borderId="0" xfId="0" applyNumberFormat="1" applyFont="1"/>
    <xf numFmtId="166" fontId="6" fillId="0" borderId="0" xfId="0" applyNumberFormat="1" applyFont="1" applyAlignment="1">
      <alignment vertical="center"/>
    </xf>
    <xf numFmtId="168" fontId="6" fillId="0" borderId="0" xfId="0" applyNumberFormat="1" applyFont="1"/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66" fontId="7" fillId="2" borderId="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0" xfId="0" applyFont="1" applyAlignment="1">
      <alignment horizontal="right"/>
    </xf>
    <xf numFmtId="166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44" fontId="7" fillId="0" borderId="0" xfId="0" applyNumberFormat="1" applyFont="1" applyAlignment="1">
      <alignment vertical="center"/>
    </xf>
    <xf numFmtId="44" fontId="7" fillId="0" borderId="0" xfId="0" applyNumberFormat="1" applyFont="1" applyAlignment="1">
      <alignment horizontal="center" vertical="center"/>
    </xf>
    <xf numFmtId="165" fontId="0" fillId="0" borderId="0" xfId="1" applyFont="1"/>
    <xf numFmtId="0" fontId="6" fillId="0" borderId="0" xfId="0" applyFont="1" applyAlignment="1">
      <alignment horizontal="right" vertical="center"/>
    </xf>
    <xf numFmtId="0" fontId="7" fillId="0" borderId="3" xfId="0" applyFont="1" applyBorder="1"/>
    <xf numFmtId="0" fontId="7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right"/>
    </xf>
    <xf numFmtId="44" fontId="7" fillId="0" borderId="2" xfId="1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0" fontId="9" fillId="0" borderId="4" xfId="2"/>
    <xf numFmtId="0" fontId="9" fillId="0" borderId="4" xfId="2" applyAlignment="1">
      <alignment horizontal="center"/>
    </xf>
    <xf numFmtId="0" fontId="9" fillId="0" borderId="0" xfId="2" applyBorder="1"/>
    <xf numFmtId="164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4" xfId="2" applyAlignment="1">
      <alignment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5" fontId="6" fillId="0" borderId="0" xfId="1" applyFont="1" applyAlignment="1">
      <alignment horizontal="center"/>
    </xf>
    <xf numFmtId="44" fontId="7" fillId="0" borderId="0" xfId="1" applyNumberFormat="1" applyFont="1" applyAlignment="1">
      <alignment vertical="center"/>
    </xf>
    <xf numFmtId="165" fontId="4" fillId="0" borderId="0" xfId="1" applyFont="1"/>
    <xf numFmtId="0" fontId="12" fillId="0" borderId="0" xfId="2" applyFont="1" applyBorder="1"/>
    <xf numFmtId="0" fontId="12" fillId="0" borderId="0" xfId="2" applyFont="1" applyBorder="1" applyAlignment="1">
      <alignment horizontal="center"/>
    </xf>
    <xf numFmtId="165" fontId="6" fillId="0" borderId="2" xfId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 applyProtection="1">
      <alignment horizontal="center" vertical="center"/>
    </xf>
    <xf numFmtId="44" fontId="7" fillId="2" borderId="1" xfId="1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vertical="center"/>
      <protection locked="0"/>
    </xf>
    <xf numFmtId="165" fontId="6" fillId="0" borderId="2" xfId="1" applyFont="1" applyBorder="1" applyProtection="1"/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44" fontId="7" fillId="0" borderId="0" xfId="0" applyNumberFormat="1" applyFont="1" applyAlignment="1" applyProtection="1">
      <alignment horizontal="center"/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0" fontId="6" fillId="0" borderId="3" xfId="0" applyFont="1" applyBorder="1" applyAlignment="1">
      <alignment horizontal="right" wrapText="1"/>
    </xf>
    <xf numFmtId="49" fontId="6" fillId="0" borderId="0" xfId="0" applyNumberFormat="1" applyFont="1" applyAlignment="1">
      <alignment vertical="center"/>
    </xf>
    <xf numFmtId="0" fontId="7" fillId="0" borderId="3" xfId="0" applyFont="1" applyBorder="1" applyAlignment="1">
      <alignment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165" fontId="6" fillId="0" borderId="2" xfId="1" applyFont="1" applyBorder="1" applyAlignment="1" applyProtection="1">
      <alignment wrapText="1"/>
    </xf>
    <xf numFmtId="0" fontId="6" fillId="0" borderId="0" xfId="0" applyFont="1" applyAlignment="1">
      <alignment horizontal="center" vertical="center" wrapText="1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69" fontId="6" fillId="0" borderId="3" xfId="0" applyNumberFormat="1" applyFont="1" applyBorder="1"/>
    <xf numFmtId="169" fontId="6" fillId="0" borderId="3" xfId="0" applyNumberFormat="1" applyFont="1" applyBorder="1" applyAlignment="1" applyProtection="1">
      <alignment vertical="center"/>
      <protection locked="0"/>
    </xf>
    <xf numFmtId="169" fontId="6" fillId="0" borderId="3" xfId="0" applyNumberFormat="1" applyFont="1" applyBorder="1" applyAlignment="1">
      <alignment vertical="center"/>
    </xf>
    <xf numFmtId="170" fontId="6" fillId="0" borderId="3" xfId="0" applyNumberFormat="1" applyFont="1" applyBorder="1" applyProtection="1">
      <protection locked="0"/>
    </xf>
    <xf numFmtId="170" fontId="6" fillId="0" borderId="3" xfId="0" applyNumberFormat="1" applyFont="1" applyBorder="1" applyAlignment="1" applyProtection="1">
      <alignment vertical="center"/>
      <protection locked="0"/>
    </xf>
    <xf numFmtId="170" fontId="6" fillId="0" borderId="3" xfId="0" applyNumberFormat="1" applyFont="1" applyBorder="1" applyAlignment="1">
      <alignment vertical="center"/>
    </xf>
    <xf numFmtId="170" fontId="6" fillId="0" borderId="0" xfId="0" applyNumberFormat="1" applyFont="1" applyAlignment="1">
      <alignment horizontal="center" vertical="center"/>
    </xf>
    <xf numFmtId="170" fontId="6" fillId="0" borderId="3" xfId="0" applyNumberFormat="1" applyFont="1" applyBorder="1"/>
    <xf numFmtId="170" fontId="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6" fillId="0" borderId="0" xfId="0" applyFont="1"/>
    <xf numFmtId="0" fontId="15" fillId="0" borderId="0" xfId="0" applyFont="1" applyProtection="1">
      <protection locked="0"/>
    </xf>
    <xf numFmtId="0" fontId="18" fillId="0" borderId="4" xfId="2" applyFont="1"/>
    <xf numFmtId="0" fontId="19" fillId="0" borderId="5" xfId="3" applyFont="1"/>
    <xf numFmtId="0" fontId="1" fillId="0" borderId="0" xfId="0" applyFont="1"/>
    <xf numFmtId="44" fontId="6" fillId="0" borderId="0" xfId="1" applyNumberFormat="1" applyFont="1" applyFill="1" applyAlignment="1" applyProtection="1">
      <alignment horizontal="right"/>
      <protection locked="0"/>
    </xf>
    <xf numFmtId="0" fontId="20" fillId="0" borderId="6" xfId="0" applyFont="1" applyBorder="1"/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6" fontId="7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0" xfId="0" applyNumberFormat="1"/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1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[autoNominasRP-v0.9.2.xlsm]Resultados!Ventas de Coordinacion por Plantel</c:name>
    <c:fmtId val="0"/>
  </c:pivotSource>
  <c:chart>
    <c:title>
      <c:tx>
        <c:strRef>
          <c:f>Resultados!$A$92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cat>
            <c:strRef>
              <c:f>Resultados!$A$20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  <c:majorUnit val="2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Resultados!$B$24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delete val="1"/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 de Cursos por Plantel</c:name>
    <c:fmtId val="0"/>
  </c:pivotSource>
  <c:chart>
    <c:title>
      <c:tx>
        <c:strRef>
          <c:f>Resultados!$A$46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Resultados!$A$46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[autoNominasRP-v0.9.2.xlsm]Resultados!Venta_por_Plantel_por_Curso</c:name>
    <c:fmtId val="0"/>
  </c:pivotSource>
  <c:chart>
    <c:title>
      <c:tx>
        <c:strRef>
          <c:f>Resultados!$A$29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[autoNominasRP-v0.9.2.xlsm]Resultados!PivotTable5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Gerente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Resultados!$A$5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CD49-A2C8-80C1C98214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52591"/>
        <c:axId val="55716991"/>
      </c:barChart>
      <c:catAx>
        <c:axId val="558525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716991"/>
        <c:crosses val="autoZero"/>
        <c:auto val="1"/>
        <c:lblAlgn val="ctr"/>
        <c:lblOffset val="100"/>
        <c:noMultiLvlLbl val="0"/>
      </c:catAx>
      <c:valAx>
        <c:axId val="557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558525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38100</xdr:rowOff>
    </xdr:from>
    <xdr:to>
      <xdr:col>22</xdr:col>
      <xdr:colOff>723900</xdr:colOff>
      <xdr:row>33</xdr:row>
      <xdr:rowOff>152400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101</xdr:row>
      <xdr:rowOff>0</xdr:rowOff>
    </xdr:from>
    <xdr:to>
      <xdr:col>22</xdr:col>
      <xdr:colOff>723900</xdr:colOff>
      <xdr:row>134</xdr:row>
      <xdr:rowOff>114300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33</xdr:row>
      <xdr:rowOff>152400</xdr:rowOff>
    </xdr:from>
    <xdr:to>
      <xdr:col>9</xdr:col>
      <xdr:colOff>457200</xdr:colOff>
      <xdr:row>67</xdr:row>
      <xdr:rowOff>76200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455676</xdr:colOff>
      <xdr:row>33</xdr:row>
      <xdr:rowOff>152400</xdr:rowOff>
    </xdr:from>
    <xdr:to>
      <xdr:col>22</xdr:col>
      <xdr:colOff>722376</xdr:colOff>
      <xdr:row>67</xdr:row>
      <xdr:rowOff>76200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455676</xdr:colOff>
      <xdr:row>67</xdr:row>
      <xdr:rowOff>76200</xdr:rowOff>
    </xdr:from>
    <xdr:to>
      <xdr:col>22</xdr:col>
      <xdr:colOff>722376</xdr:colOff>
      <xdr:row>101</xdr:row>
      <xdr:rowOff>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67</xdr:row>
      <xdr:rowOff>76200</xdr:rowOff>
    </xdr:from>
    <xdr:to>
      <xdr:col>9</xdr:col>
      <xdr:colOff>457200</xdr:colOff>
      <xdr:row>101</xdr:row>
      <xdr:rowOff>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723900</xdr:colOff>
      <xdr:row>0</xdr:row>
      <xdr:rowOff>38100</xdr:rowOff>
    </xdr:from>
    <xdr:to>
      <xdr:col>38</xdr:col>
      <xdr:colOff>317500</xdr:colOff>
      <xdr:row>33</xdr:row>
      <xdr:rowOff>152400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61976</xdr:colOff>
      <xdr:row>0</xdr:row>
      <xdr:rowOff>38100</xdr:rowOff>
    </xdr:from>
    <xdr:to>
      <xdr:col>9</xdr:col>
      <xdr:colOff>455676</xdr:colOff>
      <xdr:row>33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B0846B-D785-A944-89EE-5BAB7781BF4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63500</xdr:rowOff>
        </xdr:from>
        <xdr:to>
          <xdr:col>15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66.965084837961" createdVersion="8" refreshedVersion="8" minRefreshableVersion="3" recordCount="1" xr:uid="{F9213207-D78F-6147-84A9-A17CD048246F}">
  <cacheSource type="worksheet">
    <worksheetSource name="Tabla_Gerente"/>
  </cacheSource>
  <cacheFields count="13">
    <cacheField name="0" numFmtId="0">
      <sharedItems/>
    </cacheField>
    <cacheField name="COORDINADOR" numFmtId="49">
      <sharedItems containsNonDate="0" containsString="0" containsBlank="1" containsNumber="1" containsInteger="1" minValue="4150" maxValue="66168" count="91">
        <m/>
        <n v="8860" u="1"/>
        <n v="8861" u="1"/>
        <n v="12636" u="1"/>
        <n v="12634" u="1"/>
        <n v="12746" u="1"/>
        <n v="12742" u="1"/>
        <n v="12747" u="1"/>
        <n v="8901" u="1"/>
        <n v="66153" u="1"/>
        <n v="12640" u="1"/>
        <n v="66117" u="1"/>
        <n v="66157" u="1"/>
        <n v="66160" u="1"/>
        <n v="66093" u="1"/>
        <n v="66147" u="1"/>
        <n v="66155" u="1"/>
        <n v="66154" u="1"/>
        <n v="8896" u="1"/>
        <n v="8898" u="1"/>
        <n v="8899" u="1"/>
        <n v="8886" u="1"/>
        <n v="8865" u="1"/>
        <n v="8866" u="1"/>
        <n v="8876" u="1"/>
        <n v="8874" u="1"/>
        <n v="8877" u="1"/>
        <n v="8889" u="1"/>
        <n v="8891" u="1"/>
        <n v="8894" u="1"/>
        <n v="8893" u="1"/>
        <n v="8897" u="1"/>
        <n v="8885" u="1"/>
        <n v="8900" u="1"/>
        <n v="8890" u="1"/>
        <n v="8892" u="1"/>
        <n v="4150" u="1"/>
        <n v="66105" u="1"/>
        <n v="8862" u="1"/>
        <n v="12735" u="1"/>
        <n v="66107" u="1"/>
        <n v="66127" u="1"/>
        <n v="66139" u="1"/>
        <n v="12757" u="1"/>
        <n v="12638" u="1"/>
        <n v="8878" u="1"/>
        <n v="66126" u="1"/>
        <n v="12641" u="1"/>
        <n v="66098" u="1"/>
        <n v="4157" u="1"/>
        <n v="12748" u="1"/>
        <n v="12753" u="1"/>
        <n v="66152" u="1"/>
        <n v="66099" u="1"/>
        <n v="66143" u="1"/>
        <n v="66168" u="1"/>
        <n v="12743" u="1"/>
        <n v="12763" u="1"/>
        <n v="12760" u="1"/>
        <n v="12755" u="1"/>
        <n v="12737" u="1"/>
        <n v="12765" u="1"/>
        <n v="12766" u="1"/>
        <n v="12767" u="1"/>
        <n v="12733" u="1"/>
        <n v="12750" u="1"/>
        <n v="8868" u="1"/>
        <n v="12770" u="1"/>
        <n v="12736" u="1"/>
        <n v="12744" u="1"/>
        <n v="12745" u="1"/>
        <n v="12749" u="1"/>
        <n v="12756" u="1"/>
        <n v="12761" u="1"/>
        <n v="12752" u="1"/>
        <n v="12643" u="1"/>
        <n v="12639" u="1"/>
        <n v="12635" u="1"/>
        <n v="12637" u="1"/>
        <n v="12762" u="1"/>
        <n v="5965" u="1"/>
        <n v="5966" u="1"/>
        <n v="12738" u="1"/>
        <n v="12642" u="1"/>
        <n v="12769" u="1"/>
        <n v="7488" u="1"/>
        <n v="7525" u="1"/>
        <n v="5972" u="1"/>
        <n v="5992" u="1"/>
        <n v="5970" u="1"/>
        <n v="5969" u="1"/>
      </sharedItems>
    </cacheField>
    <cacheField name="CREDENCIAL" numFmtId="49">
      <sharedItems containsNonDate="0" containsString="0" containsBlank="1"/>
    </cacheField>
    <cacheField name="NOMBRE DEL ALUMNO" numFmtId="0">
      <sharedItems containsNonDate="0" containsString="0" containsBlank="1"/>
    </cacheField>
    <cacheField name="COMISION" numFmtId="166">
      <sharedItems containsSemiMixedTypes="0" containsString="0" containsNumber="1" containsInteger="1" minValue="0" maxValue="0"/>
    </cacheField>
    <cacheField name="PLANTEL" numFmtId="0">
      <sharedItems containsNonDate="0" containsBlank="1" count="20">
        <m/>
        <s v="AWL LEON" u="1"/>
        <s v="UI 16 DE SEPTIEMBRE" u="1"/>
        <s v="UDN TLAQUEPAQUE" u="1"/>
        <s v="INDEPENDENCIA" u="1"/>
        <s v="UI PARIAN" u="1"/>
        <s v="UI MARIANO OTERO" u="1"/>
        <s v="VIRTUAL" u="1"/>
        <s v="UI MAR OTERO" u="1"/>
        <s v="21-AWL VIRTUAL " u="1"/>
        <s v="2-UDN TLAQUEPAQUE" u="1"/>
        <s v="19-UI PARIAN" u="1"/>
        <s v="15-16 DE SEPTIEMBRE" u="1"/>
        <s v="14-AWL INDEPDENCIA" u="1"/>
        <s v="AWL TLAQUEPAQUE" u="1"/>
        <s v="AWL TONALA" u="1"/>
        <s v="OBLATOS" u="1"/>
        <s v="ONLINE" u="1"/>
        <s v="TRANSITO" u="1"/>
        <s v="UDN TONALA" u="1"/>
      </sharedItems>
    </cacheField>
    <cacheField name="CURSO" numFmtId="0">
      <sharedItems containsNonDate="0" containsBlank="1" count="56">
        <m/>
        <s v="AUX DE ENFERMERIA" u="1"/>
        <s v="COLBACH" u="1"/>
        <s v="COMPUTACION" u="1"/>
        <s v="CONTABILIDAD" u="1"/>
        <s v="INGLES" u="1"/>
        <s v="INGLES KIDS" u="1"/>
        <s v="INGLES KINDER" u="1"/>
        <s v="PREPA" u="1"/>
        <s v="INGLES TEENS" u="1"/>
        <s v="INGLES INTENSIVO" u="1"/>
        <s v="PREPA INTENSIVA" u="1"/>
        <s v="REP DE CELULARES" u="1"/>
        <s v="PREPA INTENSIVO" u="1"/>
        <s v="TEENS" u="1"/>
        <s v="INGLÉS" u="1"/>
        <s v="CONTABLE" u="1"/>
        <s v="COMPUTACIÓN" u="1"/>
        <s v="COMP" u="1"/>
        <s v="AUX DE ENFERMERÍA" u="1"/>
        <s v="AUX. ENFERMERÌA" u="1"/>
        <s v="AUX ENFER" u="1"/>
        <s v="DERECHO FISCAL" u="1"/>
        <s v="PARAMEDICO" u="1"/>
        <s v="GERIATRIA" u="1"/>
        <s v="EXU" u="1"/>
        <s v="SECUNDARIA" u="1"/>
        <s v="PRIMARIA" u="1"/>
        <s v="EXU LINEA" u="1"/>
        <s v="EXCEL" u="1"/>
        <s v="D.FISCAL " u="1"/>
        <s v="REP CEL" u="1"/>
        <s v="PARAMÉDICO" u="1"/>
        <s v="FISCAL" u="1"/>
        <s v="ENF AUX " u="1"/>
        <s v="ENF AUXILIAR" u="1"/>
        <s v="ENFERMERIA" u="1"/>
        <s v="Derecho Fiscal Virtual" u="1"/>
        <s v="COLBACH " u="1"/>
        <s v="COLBACH." u="1"/>
        <s v="EXU 3M" u="1"/>
        <s v="ENF AUX" u="1"/>
        <s v="EXCEL " u="1"/>
        <s v="REP. CELULARES" u="1"/>
        <s v="AUX. ENFERMERÍA" u="1"/>
        <s v="AUX EN ENFERMERÍA" u="1"/>
        <s v="INICIO" u="1"/>
        <s v="MARKETING" u="1"/>
        <s v="UNIVERSIDAD" u="1"/>
        <s v="INGLES AVANZADO" u="1"/>
        <s v="Curso 1" u="1"/>
        <s v="Curso 2" u="1"/>
        <s v="Curso 3" u="1"/>
        <s v="Curso 4" u="1"/>
        <s v="Curso 5" u="1"/>
        <s v="Curso 6" u="1"/>
      </sharedItems>
    </cacheField>
    <cacheField name="GRUPO" numFmtId="1">
      <sharedItems containsNonDate="0" containsString="0" containsBlank="1"/>
    </cacheField>
    <cacheField name="PAGO" numFmtId="44">
      <sharedItems containsNonDate="0" containsString="0" containsBlank="1"/>
    </cacheField>
    <cacheField name="FECHA" numFmtId="14">
      <sharedItems containsNonDate="0" containsString="0" containsBlank="1"/>
    </cacheField>
    <cacheField name="PROMOTOR" numFmtId="0">
      <sharedItems containsNonDate="0" containsBlank="1" count="51">
        <m/>
        <s v="FATIMA HERNANDEZ" u="1"/>
        <s v="EUNICE MORALES" u="1"/>
        <s v="LIZBETH MORALES" u="1"/>
        <s v="PEDRO GUTIERREZ" u="1"/>
        <s v="DAMIAN BRAVO" u="1"/>
        <s v="ENRIQUE OJEDA" u="1"/>
        <s v="EFRAIN CORTES" u="1"/>
        <s v="HUGO PACHECO" u="1"/>
        <s v="FATIMA" u="1"/>
        <s v="PEDRO" u="1"/>
        <s v="LIZBETH" u="1"/>
        <s v="EUNICE" u="1"/>
        <s v="JOSUE SIERRA" u="1"/>
        <s v="JONATHAN MARTINEZ" u="1"/>
        <s v="JOSE FERNÁNDEZ" u="1"/>
        <s v="FERNANDA ORNELAS" u="1"/>
        <s v="BETZANIA MUÑOZ" u="1"/>
        <s v="MINA APARICIO" u="1"/>
        <s v="YADIRA VEGA" u="1"/>
        <s v="DAVID HERNANDEZ" u="1"/>
        <s v="EVELYN VELAZQUEZ" u="1"/>
        <s v="MINA APARICIO " u="1"/>
        <s v="MARIANA SANCHEZ" u="1"/>
        <s v="JORGE RODRIGUEZ" u="1"/>
        <s v="MIRIAM TADEO" u="1"/>
        <s v="FRIDA RIVERA" u="1"/>
        <s v="YANELY HERNADEZ (P)" u="1"/>
        <s v="MICHELLE APARICIO (P)" u="1"/>
        <s v="JOSUE ALVAREZ (P)" u="1"/>
        <s v="ISAAC GARCIA (P)" u="1"/>
        <s v="FERNANDO VILLALVAZO" u="1"/>
        <s v="YANELY VEGA" u="1"/>
        <s v="JOSE FERNANDEZ" u="1"/>
        <s v="ISAAC DE LA CRUZ" u="1"/>
        <s v="DAVID RAMIREZ" u="1"/>
        <s v="JORGE ALBERTO" u="1"/>
        <s v="MICHELLE APARICIO" u="1"/>
        <s v="YADIRA HERNANDEZ" u="1"/>
        <s v="JOSUE ALVAREZ " u="1"/>
        <s v="YANISSE TORRES" u="1"/>
        <s v="RAMON TALA (P)" u="1"/>
        <s v="MARIANA PACHECO (P)" u="1"/>
        <s v="PEDRO MORA (P)" u="1"/>
        <s v="OLIVIA PACHECO (P)" u="1"/>
        <s v="VERONICA CHAVEZ (P)" u="1"/>
        <s v="DANIELA MURILLO (P)" u="1"/>
        <s v="ANDREA ESQUEDA" u="1"/>
        <s v="FERNANDO VILLALVAZO (P)" u="1"/>
        <s v="BRYAN CAMPOS" u="1"/>
        <s v="DANIELA LOZANO" u="1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RAMON TALA"/>
    <x v="0"/>
    <m/>
    <m/>
    <n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653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8" colHeaderCaption="Filtrar Planteles">
  <location ref="A19:C20" firstHeaderRow="0" firstDataRow="1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2">
    <i>
      <x v="13"/>
    </i>
    <i t="grand">
      <x/>
    </i>
  </colItems>
  <dataFields count="1">
    <dataField name="Ventas Por Plantel" fld="4" subtotal="count" baseField="0" baseItem="0"/>
  </dataFields>
  <chartFormats count="44">
    <chartFormat chart="0" format="1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653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6" colHeaderCaption="Filtrar Cursos">
  <location ref="A29:C32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Row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2">
    <i>
      <x v="13"/>
    </i>
    <i t="grand">
      <x/>
    </i>
  </rowItems>
  <colFields count="1">
    <field x="6"/>
  </colFields>
  <colItems count="2">
    <i>
      <x v="18"/>
    </i>
    <i t="grand">
      <x/>
    </i>
  </colItems>
  <dataFields count="1">
    <dataField name="Ventas por Plantel por Curso" fld="4" subtotal="count" baseField="0" baseItem="0"/>
  </dataFields>
  <chartFormats count="6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6531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0" colHeaderCaption="Filtrar Cursos">
  <location ref="A24:C2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6"/>
  </colFields>
  <colItems count="2">
    <i>
      <x v="18"/>
    </i>
    <i t="grand">
      <x/>
    </i>
  </colItems>
  <dataFields count="1">
    <dataField name="Ventas por Curso" fld="4" subtotal="count" baseField="0" baseItem="0"/>
  </dataField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653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7" colHeaderCaption="Filtrar Planteles">
  <location ref="A46:C49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Row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6"/>
  </rowFields>
  <rowItems count="2">
    <i>
      <x v="18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ursos por Plantel" fld="4" subtotal="count" baseField="0" baseItem="0"/>
  </dataFields>
  <chartFormats count="38">
    <chartFormat chart="0" format="39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653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24" colHeaderCaption="Filtrar Promotores">
  <location ref="A14:C1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52">
        <item m="1" x="17"/>
        <item m="1" x="49"/>
        <item m="1" x="50"/>
        <item m="1" x="20"/>
        <item m="1" x="21"/>
        <item m="1" x="16"/>
        <item m="1" x="26"/>
        <item m="1" x="14"/>
        <item m="1" x="24"/>
        <item m="1" x="15"/>
        <item m="1" x="13"/>
        <item m="1" x="23"/>
        <item m="1" x="18"/>
        <item m="1" x="25"/>
        <item m="1" x="19"/>
        <item m="1" x="42"/>
        <item m="1" x="44"/>
        <item m="1" x="43"/>
        <item m="1" x="48"/>
        <item m="1" x="30"/>
        <item m="1" x="29"/>
        <item m="1" x="28"/>
        <item m="1" x="27"/>
        <item m="1" x="46"/>
        <item m="1" x="41"/>
        <item m="1" x="45"/>
        <item m="1" x="47"/>
        <item m="1" x="1"/>
        <item m="1" x="2"/>
        <item m="1" x="40"/>
        <item m="1" x="4"/>
        <item m="1" x="3"/>
        <item m="1" x="8"/>
        <item m="1" x="7"/>
        <item m="1" x="5"/>
        <item m="1" x="6"/>
        <item x="0"/>
        <item m="1" x="39"/>
        <item m="1" x="31"/>
        <item m="1" x="22"/>
        <item m="1" x="38"/>
        <item m="1" x="37"/>
        <item m="1" x="34"/>
        <item m="1" x="36"/>
        <item m="1" x="35"/>
        <item m="1" x="32"/>
        <item m="1" x="33"/>
        <item m="1" x="12"/>
        <item m="1" x="11"/>
        <item m="1" x="10"/>
        <item m="1" x="9"/>
        <item t="default"/>
      </items>
    </pivotField>
    <pivotField showAll="0"/>
    <pivotField showAll="0"/>
  </pivotFields>
  <rowItems count="1">
    <i/>
  </rowItems>
  <colFields count="1">
    <field x="10"/>
  </colFields>
  <colItems count="2">
    <i>
      <x v="36"/>
    </i>
    <i t="grand">
      <x/>
    </i>
  </colItems>
  <dataFields count="1">
    <dataField name="Ventas por Promotor" fld="4" subtotal="count" baseField="0" baseItem="0"/>
  </dataField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6531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21" colHeaderCaption="Filtrar Coordinadores">
  <location ref="A9:C10" firstHeaderRow="0" firstDataRow="1" firstDataCol="1"/>
  <pivotFields count="13">
    <pivotField showAll="0"/>
    <pivotField axis="axisCol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1"/>
  </colFields>
  <colItems count="2">
    <i>
      <x v="90"/>
    </i>
    <i t="grand">
      <x/>
    </i>
  </colItems>
  <dataFields count="1">
    <dataField name="Ventas por Coordinacion" fld="4" subtotal="count" baseField="0" baseItem="0"/>
  </dataFields>
  <chartFormats count="9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6531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11" colHeaderCaption="Filtrar Planteles">
  <location ref="A92:C95" firstHeaderRow="1" firstDataRow="2" firstDataCol="1"/>
  <pivotFields count="13">
    <pivotField showAll="0"/>
    <pivotField axis="axisRow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numFmtId="166" showAll="0"/>
    <pivotField axis="axisCol" dataField="1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1"/>
  </rowFields>
  <rowItems count="2">
    <i>
      <x v="90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oordiacion por Plantel" fld="5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6BF5F-5343-F04B-ABCB-4EB18C35767D}" name="PivotTable5" cacheId="6531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1" colHeaderCaption="Filtrar Gerente">
  <location ref="A4:A5" firstHeaderRow="1" firstDataRow="1" firstDataCol="0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Items count="1">
    <i/>
  </colItems>
  <dataFields count="1">
    <dataField name="Ventas por Gerente" fld="4" subtotal="count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Tabla_Premios_Promotor" displayName="Tabla_Premios_Promotor" ref="A4:F10" totalsRowShown="0" headerRowDxfId="185" dataDxfId="184" tableBorderDxfId="183" dataCellStyle="Currency">
  <autoFilter ref="A4:F10" xr:uid="{1DCBEDCC-84CA-4F68-A1BF-882DF7EB9AAD}"/>
  <tableColumns count="6">
    <tableColumn id="1" xr3:uid="{52B2CFAB-87CE-4CB9-8B44-7C63B5BB8779}" name="REGISTROS " dataDxfId="182"/>
    <tableColumn id="2" xr3:uid="{1F936614-3024-45E4-8B47-3E2669DC32FC}" name="0" dataDxfId="181" dataCellStyle="Currency"/>
    <tableColumn id="5" xr3:uid="{004B43FE-1D3B-4EE3-8961-771A3156DE8D}" name="13" dataDxfId="180" dataCellStyle="Currency"/>
    <tableColumn id="6" xr3:uid="{113128A4-9C84-4D65-ACBE-D34F68404358}" name="15" dataDxfId="179" dataCellStyle="Currency"/>
    <tableColumn id="3" xr3:uid="{4E945F5C-29A5-409D-9741-D02FDD95409D}" name="30" dataDxfId="178" dataCellStyle="Currency"/>
    <tableColumn id="4" xr3:uid="{F54F9DBA-BB7E-4D93-B316-DDF4038A6BBE}" name="40" dataDxfId="177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Tabla_Premios_Coordinador" displayName="Tabla_Premios_Coordinador" ref="H4:I11" totalsRowShown="0" headerRowDxfId="176" tableBorderDxfId="175">
  <autoFilter ref="H4:I11" xr:uid="{F9D8FF99-7FBD-4770-86D4-916903E3362B}"/>
  <tableColumns count="2">
    <tableColumn id="1" xr3:uid="{0E6771B9-BC03-4485-BDA4-FEEA8045374D}" name="REGISTROS" dataDxfId="174"/>
    <tableColumn id="2" xr3:uid="{4295DB49-D0F8-4407-9A7E-ED849FC12761}" name="PAGO" dataDxfId="173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Tabla_Premios_Gerente" displayName="Tabla_Premios_Gerente" ref="K4:L13" totalsRowShown="0" headerRowDxfId="172" tableBorderDxfId="171">
  <autoFilter ref="K4:L13" xr:uid="{782E832C-499C-406E-AFE6-A5C76665B594}"/>
  <tableColumns count="2">
    <tableColumn id="1" xr3:uid="{7A8416CF-E219-4CDB-8FDD-07CF7E1FE521}" name="REGISTROS" dataDxfId="170"/>
    <tableColumn id="2" xr3:uid="{C0009598-D6D0-42B2-9CE0-A1EE69F3EAA6}" name="PAGO" dataDxfId="169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la_Tabulador_Premio_Promotor_Total_Gerencia" displayName="Tabla_Tabulador_Premio_Promotor_Total_Gerencia" ref="A12:B17" totalsRowShown="0" headerRowDxfId="168" tableBorderDxfId="167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COLUMN(Tabla_Premios_Promotor[[#Headers],[0]])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la_Tabulador_Promotor" displayName="Tabla_Tabulador_Promotor" ref="A3:B4" totalsRowShown="0" headerRowDxfId="166" dataDxfId="165" tableBorderDxfId="164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63"/>
    <tableColumn id="2" xr3:uid="{70072444-3B0C-4F18-B27B-4FC876B6174F}" name="PAGO" dataDxfId="16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la_Tabulador_Coordinador" displayName="Tabla_Tabulador_Coordinador" ref="D3:F8" totalsRowShown="0" headerRowDxfId="161" dataDxfId="160" tableBorderDxfId="159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58"/>
    <tableColumn id="3" xr3:uid="{32B4B292-4525-4662-AD66-6005E8DBCE66}" name="MAX" dataDxfId="157"/>
    <tableColumn id="2" xr3:uid="{1D0B27CB-CCDF-4BB3-95C0-08040C389ED4}" name="PAGO" dataDxfId="156" dataCellStyle="Currency"/>
  </tableColumns>
  <tableStyleInfo name="TableStyleMedium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la_Tabulador_Gerente" displayName="Tabla_Tabulador_Gerente" ref="H3:J8" totalsRowShown="0" headerRowDxfId="155" dataDxfId="154" tableBorderDxfId="153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52"/>
    <tableColumn id="3" xr3:uid="{DB963CCE-7667-4B57-8C20-10A4A00B0919}" name="MAX" dataDxfId="151"/>
    <tableColumn id="2" xr3:uid="{C1C619F7-F64B-4052-A8CA-7DEBAE64B680}" name="PAGO" dataDxfId="150" dataCellStyle="Currency"/>
  </tableColumns>
  <tableStyleInfo name="TableStyleMedium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Tabla_Sueldo_Base_Por_Puesto" displayName="Tabla_Sueldo_Base_Por_Puesto" ref="L3:M6" totalsRowShown="0" headerRowDxfId="149" dataDxfId="148">
  <autoFilter ref="L3:M6" xr:uid="{CF9270D9-B009-4143-8D2B-9E1240DA6F10}"/>
  <tableColumns count="2">
    <tableColumn id="1" xr3:uid="{552B5163-6F1D-4FBD-A357-02C46236A87B}" name="PUESTO" dataDxfId="147"/>
    <tableColumn id="2" xr3:uid="{5711A27E-1EE4-46B1-A04E-5D03F5CEBB74}" name="SUELDO BASE" dataDxfId="146" dataCellStyle="Currency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Tabla_Sueldos_Base" displayName="Tabla_Sueldos_Base" ref="L10:P24" totalsRowShown="0" headerRowDxfId="145" dataDxfId="144">
  <autoFilter ref="L10:P24" xr:uid="{1147D880-06D1-4D7B-B657-F07A229C7E08}"/>
  <sortState xmlns:xlrd2="http://schemas.microsoft.com/office/spreadsheetml/2017/richdata2" ref="L11:P24">
    <sortCondition ref="P10:P24"/>
  </sortState>
  <tableColumns count="5">
    <tableColumn id="1" xr3:uid="{C2BD86FE-CD09-4E33-924A-D229ACE908E5}" name="COLABORADOR" dataDxfId="143"/>
    <tableColumn id="2" xr3:uid="{24553BA7-BE24-4460-AA82-33D1DCC84F4A}" name="SUELDO BASE" dataDxfId="142" dataCellStyle="Currency"/>
    <tableColumn id="5" xr3:uid="{6AE8BC63-6EC0-47FC-9DBB-DCE8AF4B89F8}" name="PUESTO" dataDxfId="141"/>
    <tableColumn id="3" xr3:uid="{EB4A0A70-B1F2-40A4-AC06-15BA77F108EE}" name="COORDINACION" dataDxfId="140"/>
    <tableColumn id="4" xr3:uid="{EDC6B3E8-8800-4CCF-9C64-C3873CF91EF2}" name="GERENCIA" dataDxfId="139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Tabla_Descuentos" displayName="Tabla_Descuentos" ref="R3:W4" totalsRowShown="0" headerRowDxfId="138" dataDxfId="137">
  <autoFilter ref="R3:W4" xr:uid="{968159DA-88A6-4E59-B876-F2A425C567A9}"/>
  <tableColumns count="6">
    <tableColumn id="1" xr3:uid="{6A4C6522-2E5C-4103-8B8C-B0A723293670}" name="COLABORADOR" dataDxfId="136"/>
    <tableColumn id="2" xr3:uid="{29E00D9E-BA5E-4284-871D-7C79414179C7}" name="DESCUENTO" dataDxfId="135" dataCellStyle="Currency">
      <calculatedColumnFormula>SUMIF(Tabla_Sueldos_Base[COORDINACION],Tabla_Descuentos[[#This Row],[COORDINACION]],Tabla_Sueldos_Base[SUELDO BASE])*0.3 * -1</calculatedColumnFormula>
    </tableColumn>
    <tableColumn id="6" xr3:uid="{FC42CF7F-86CC-4017-BD0A-792ED3EA4FAB}" name="CONCEPTO" dataDxfId="134" dataCellStyle="Currency"/>
    <tableColumn id="5" xr3:uid="{6D3C6C93-F493-4C8D-857F-155F5350958B}" name="PUESTO" dataDxfId="133"/>
    <tableColumn id="3" xr3:uid="{81E86445-B5A3-4E4E-93E5-A947F43CC839}" name="COORDINACION" dataDxfId="132"/>
    <tableColumn id="4" xr3:uid="{829B3219-00AE-46DB-8F5B-C4EFFEFCD5DB}" name="GERENCIA" dataDxfId="131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Tabla_Gerentes" displayName="Tabla_Gerentes" ref="A3:B6" totalsRowShown="0" headerRowDxfId="130" dataDxfId="129" tableBorderDxfId="128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27"/>
    <tableColumn id="2" xr3:uid="{00B08831-9CDB-4BD2-BC0F-DC47A6A4F354}" name="ALIAS" dataDxfId="126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Tabla_Coordinadores" displayName="Tabla_Coordinadores" ref="D3:F14" totalsRowShown="0" headerRowDxfId="125" dataDxfId="124" tableBorderDxfId="123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22"/>
    <tableColumn id="3" xr3:uid="{2DD1284D-DA80-4597-803E-F543BE29814B}" name="ALIAS"/>
    <tableColumn id="2" xr3:uid="{4267DC2B-70EF-4B96-85D9-390931974CA4}" name="GERENCIA" dataDxfId="121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Tabla_Promotores" displayName="Tabla_Promotores" ref="H3:K54" totalsRowShown="0" headerRowDxfId="120" dataDxfId="119" tableBorderDxfId="118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117"/>
    <tableColumn id="4" xr3:uid="{A184B911-0E2E-4D86-8830-CA03C708B065}" name="ALIAS" dataDxfId="116"/>
    <tableColumn id="2" xr3:uid="{104E3815-4B2A-4477-9382-D78944AFF843}" name="COORDINACION" dataDxfId="115"/>
    <tableColumn id="3" xr3:uid="{461A0A24-4F60-4FB0-A7D3-2D78DCB499E9}" name="GERENCIA" dataDxfId="114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Tabla_Coordinadores_Gerencia_Activa" displayName="Tabla_Coordinadores_Gerencia_Activa" ref="M3:M6" totalsRowShown="0">
  <autoFilter ref="M3:M6" xr:uid="{4FF295D1-C73B-3641-8328-F0CC3CD7679F}"/>
  <sortState xmlns:xlrd2="http://schemas.microsoft.com/office/spreadsheetml/2017/richdata2" ref="M4:M6">
    <sortCondition ref="M4:M6"/>
  </sortState>
  <tableColumns count="1">
    <tableColumn id="1" xr3:uid="{F23983CF-C7C1-2F41-A69F-0A142DBCD018}" name="COORDINADOR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5A9EF8-E9C8-5B4D-B155-288B1855B213}" name="Tabla_Planteles" displayName="Tabla_Planteles" ref="A3:B16" totalsRowShown="0" tableBorderDxfId="113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737F8B-6C3E-1045-A721-B3836355001C}" name="Tabla_Razones_Sociales" displayName="Tabla_Razones_Sociales" ref="D3:D9" totalsRowShown="0" headerRowDxfId="112" dataDxfId="110" headerRowBorderDxfId="111" tableBorderDxfId="109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108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27" totalsRowShown="0" tableBorderDxfId="107">
  <autoFilter ref="A3:A27" xr:uid="{4C1B75C1-203F-ED44-AD9D-3F71FCD5CB57}"/>
  <sortState xmlns:xlrd2="http://schemas.microsoft.com/office/spreadsheetml/2017/richdata2" ref="A4:A27">
    <sortCondition ref="A3:A27"/>
  </sortState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106" dataDxfId="105" totalsRowDxfId="103" tableBorderDxfId="104">
  <autoFilter ref="A8:K9" xr:uid="{9C0FA07F-0DE0-4099-9974-17C69221CC48}"/>
  <tableColumns count="11">
    <tableColumn id="1" xr3:uid="{19C5DD40-BE0D-4F37-942C-33F42CA8A26B}" name="PROMOTOR" totalsRowLabel="TOTAL COMISION" dataDxfId="102" totalsRowDxfId="101"/>
    <tableColumn id="3" xr3:uid="{5B23042C-BE2F-4E30-A41F-5DC03A9C6C4D}" name="CREDENCIAL" dataDxfId="100" totalsRowDxfId="99"/>
    <tableColumn id="4" xr3:uid="{9B4226F9-249A-4A0A-B259-362B9DB0BAF7}" name="NOMBRE DEL ALUMNO" dataDxfId="98" totalsRowDxfId="97"/>
    <tableColumn id="5" xr3:uid="{4A52831D-FAC8-4B99-B890-88CD1DD952B8}" name="COMISION" totalsRowFunction="sum" dataDxfId="96" totalsRowDxfId="95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calculatedColumnFormula>
    </tableColumn>
    <tableColumn id="6" xr3:uid="{98E6506C-CDC5-4BF4-B0EC-396314124A1E}" name="PLANTEL" dataDxfId="94" totalsRowDxfId="93"/>
    <tableColumn id="7" xr3:uid="{E2569798-5824-4510-854E-E7A571E0E564}" name="CURSO" dataDxfId="92" totalsRowDxfId="91"/>
    <tableColumn id="8" xr3:uid="{67FDCAF1-8329-4126-BC1C-00F4EAAF6E00}" name="GRUPO" dataDxfId="90" totalsRowDxfId="89"/>
    <tableColumn id="9" xr3:uid="{AC40ABEB-FD9B-4099-9F83-E129B1162F76}" name="PAGO" dataDxfId="88" totalsRowDxfId="87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86" totalsRowDxfId="85"/>
    <tableColumn id="12" xr3:uid="{DD2945A0-712B-4694-BEE8-E37BE99A65ED}" name="TS PLANTEL " dataDxfId="84" totalsRowDxfId="83"/>
    <tableColumn id="13" xr3:uid="{9F84B062-DFF3-455F-907E-2FFD77D79C98}" name="TS CREDENCIAL " dataDxfId="82" totalsRowDxfId="8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80" dataDxfId="79" totalsRowDxfId="77" tableBorderDxfId="78">
  <autoFilter ref="A8:K9" xr:uid="{C71DDCE0-811A-4D44-9CD0-772974577224}"/>
  <tableColumns count="11">
    <tableColumn id="1" xr3:uid="{A6779933-13F4-45D5-B0BE-0E76DC3825EC}" name="PROMOTOR" totalsRowLabel="TOTAL COMISION" dataDxfId="76" totalsRowDxfId="75"/>
    <tableColumn id="3" xr3:uid="{B062B3B6-A816-4FF4-94DB-3941B90A3AFB}" name="CREDENCIAL" dataDxfId="74" totalsRowDxfId="73"/>
    <tableColumn id="4" xr3:uid="{AC623468-4FBB-4F5F-B2C6-7CA181BD4972}" name="NOMBRE DEL ALUMNO " dataDxfId="72" totalsRowDxfId="71"/>
    <tableColumn id="5" xr3:uid="{1F089BDE-6469-4A0B-BAE3-84045AEC151E}" name="COMISION" totalsRowFunction="sum" dataDxfId="70" totalsRowDxfId="69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68" totalsRowDxfId="67"/>
    <tableColumn id="7" xr3:uid="{0B52D944-9BCE-465A-9E0A-16ACA93A916E}" name="CURSO" dataDxfId="66" totalsRowDxfId="65"/>
    <tableColumn id="8" xr3:uid="{6ED92993-524D-44AC-BCB5-42E120A94D27}" name="GRUPO" dataDxfId="64" totalsRowDxfId="63"/>
    <tableColumn id="9" xr3:uid="{2C6EF25D-446E-444A-B421-53BBA5381135}" name="PAGO" dataDxfId="62" totalsRowDxfId="61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60" totalsRowDxfId="59"/>
    <tableColumn id="12" xr3:uid="{2EB107FE-318E-48B7-A8DC-B15BE97A41DE}" name="TS PLANTEL " dataDxfId="58" totalsRowDxfId="57"/>
    <tableColumn id="13" xr3:uid="{4C94A03A-F424-4744-A7E6-CCB2193F2A8D}" name="TS CREDENCIAL " dataDxfId="56" totalsRowDxfId="55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M10" totalsRowCount="1" headerRowDxfId="54" dataDxfId="53" totalsRowDxfId="51" tableBorderDxfId="52">
  <autoFilter ref="A8:M9" xr:uid="{A305F6E2-D5D6-4EBD-8B3C-0D248B73A287}"/>
  <sortState xmlns:xlrd2="http://schemas.microsoft.com/office/spreadsheetml/2017/richdata2" ref="A9:M9">
    <sortCondition ref="B8:B10"/>
  </sortState>
  <tableColumns count="13">
    <tableColumn id="2" xr3:uid="{56E64E82-5E58-554C-A882-E35B493A1EDD}" name="0" totalsRowLabel="TOTAL COMISION" dataDxfId="50" totalsRowDxfId="37">
      <calculatedColumnFormula>_xlfn.IFNA(VLOOKUP(Nombre_Gerente,Tabla_Gerentes[],2,FALSE),"")</calculatedColumnFormula>
    </tableColumn>
    <tableColumn id="1" xr3:uid="{7448FB15-C3FC-46D5-9295-B52A380565C0}" name="COORDINADOR" dataDxfId="49" totalsRowDxfId="36"/>
    <tableColumn id="3" xr3:uid="{F7FE17D9-8003-43E0-96E2-9B972F359B57}" name="CREDENCIAL" dataDxfId="48" totalsRowDxfId="35"/>
    <tableColumn id="4" xr3:uid="{AC7EEA83-9F8E-44E3-B123-B0B53E6B8EC1}" name="NOMBRE DEL ALUMNO" dataDxfId="47" totalsRowDxfId="34"/>
    <tableColumn id="5" xr3:uid="{0692000D-513F-4924-BAA4-74F65B866529}" name="COMISION" totalsRowFunction="sum" dataDxfId="46" totalsRowDxfId="33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calculatedColumnFormula>
    </tableColumn>
    <tableColumn id="6" xr3:uid="{CA4978CE-10CF-48A8-948B-4C6B5BEB8BF5}" name="PLANTEL" dataDxfId="45" totalsRowDxfId="32"/>
    <tableColumn id="7" xr3:uid="{579CE2E3-347A-4C5C-82DC-98E153BDF40A}" name="CURSO" dataDxfId="44" totalsRowDxfId="31"/>
    <tableColumn id="8" xr3:uid="{0EBAAD61-5825-4628-90D2-2F35F3DA04C7}" name="GRUPO" dataDxfId="43" totalsRowDxfId="30"/>
    <tableColumn id="9" xr3:uid="{DA401AF7-4D16-49DC-8E7E-9B3EC63EABF5}" name="PAGO" dataDxfId="42" totalsRowDxfId="29" dataCellStyle="Currency"/>
    <tableColumn id="10" xr3:uid="{A2F8A34B-2DE7-44AF-8657-CBB70F6C2E5D}" name="FECHA" dataDxfId="41" totalsRowDxfId="28"/>
    <tableColumn id="11" xr3:uid="{9A6A3285-8D3A-4278-8063-F75D4C5AADAC}" name="PROMOTOR" dataDxfId="40" totalsRowDxfId="27"/>
    <tableColumn id="12" xr3:uid="{B6E9C414-52E7-489F-AE3D-3AE657C11D5F}" name="TS PLANTEL" dataDxfId="39" totalsRowDxfId="26"/>
    <tableColumn id="13" xr3:uid="{94FB8847-55A2-4AB1-892D-CC285D0C120B}" name="TS CREDENCIAL" dataDxfId="38" totalsRowDxfId="25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B41" sqref="B41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46</v>
      </c>
      <c r="C4" s="65" t="s">
        <v>45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43</v>
      </c>
      <c r="B12" s="66" t="s">
        <v>44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COLUMN(Tabla_Premios_Promotor[[#Headers],[0]])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COLUMN(Tabla_Premios_Promotor[[#Headers],[13]])</f>
        <v>3</v>
      </c>
    </row>
    <row r="15" spans="1:13" x14ac:dyDescent="0.2">
      <c r="A15">
        <v>15</v>
      </c>
      <c r="B15">
        <f>COLUMN(Tabla_Premios_Promotor[[#Headers],[15]])</f>
        <v>4</v>
      </c>
    </row>
    <row r="16" spans="1:13" x14ac:dyDescent="0.2">
      <c r="A16">
        <v>30</v>
      </c>
      <c r="B16">
        <f>COLUMN(Tabla_Premios_Promotor[[#Headers],[30]])</f>
        <v>5</v>
      </c>
    </row>
    <row r="17" spans="1:12" x14ac:dyDescent="0.2">
      <c r="A17">
        <v>40</v>
      </c>
      <c r="B17">
        <f>COLUMN(Tabla_Premios_Promotor[[#Headers],[40]])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B41" sqref="B41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105</v>
      </c>
      <c r="M1" s="58"/>
      <c r="N1" s="58"/>
      <c r="O1" s="58"/>
      <c r="P1" s="58"/>
      <c r="R1" s="59" t="s">
        <v>185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40</v>
      </c>
      <c r="B3" s="8" t="s">
        <v>1</v>
      </c>
      <c r="D3" s="4" t="s">
        <v>41</v>
      </c>
      <c r="E3" s="4" t="s">
        <v>42</v>
      </c>
      <c r="F3" s="8" t="s">
        <v>1</v>
      </c>
      <c r="G3" s="8"/>
      <c r="H3" s="4" t="s">
        <v>41</v>
      </c>
      <c r="I3" s="4" t="s">
        <v>42</v>
      </c>
      <c r="J3" s="9" t="s">
        <v>1</v>
      </c>
      <c r="L3" s="1" t="s">
        <v>103</v>
      </c>
      <c r="M3" s="1" t="s">
        <v>13</v>
      </c>
      <c r="N3" s="1"/>
      <c r="R3" s="1" t="s">
        <v>106</v>
      </c>
      <c r="S3" s="1" t="s">
        <v>107</v>
      </c>
      <c r="T3" s="1" t="s">
        <v>109</v>
      </c>
      <c r="U3" s="1" t="s">
        <v>103</v>
      </c>
      <c r="V3" s="1" t="s">
        <v>89</v>
      </c>
      <c r="W3" s="1" t="s">
        <v>88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104</v>
      </c>
      <c r="M4" s="69">
        <v>1000</v>
      </c>
      <c r="N4" s="1"/>
      <c r="R4" s="1" t="s">
        <v>69</v>
      </c>
      <c r="S4" s="69">
        <f>SUMIF(Tabla_Sueldos_Base[COORDINACION],Tabla_Descuentos[[#This Row],[COORDINACION]],Tabla_Sueldos_Base[SUELDO BASE])*0.3 * -1</f>
        <v>-630</v>
      </c>
      <c r="T4" s="69" t="s">
        <v>110</v>
      </c>
      <c r="U4" s="1" t="s">
        <v>6</v>
      </c>
      <c r="V4" s="1" t="s">
        <v>64</v>
      </c>
      <c r="W4" s="1" t="s">
        <v>57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51</v>
      </c>
      <c r="F8" s="5">
        <v>140</v>
      </c>
      <c r="G8" s="13"/>
      <c r="H8" s="62">
        <v>50</v>
      </c>
      <c r="I8" s="62" t="s">
        <v>51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17" t="s">
        <v>106</v>
      </c>
      <c r="M10" s="1" t="s">
        <v>13</v>
      </c>
      <c r="N10" s="1" t="s">
        <v>103</v>
      </c>
      <c r="O10" s="1" t="s">
        <v>89</v>
      </c>
      <c r="P10" s="1" t="s">
        <v>88</v>
      </c>
      <c r="S10" s="69"/>
      <c r="T10" s="69"/>
    </row>
    <row r="11" spans="1:23" x14ac:dyDescent="0.2">
      <c r="A11" s="13"/>
      <c r="B11" s="13"/>
      <c r="C11" s="13"/>
      <c r="D11" s="13"/>
      <c r="L11" s="1" t="s">
        <v>72</v>
      </c>
      <c r="M11" s="69">
        <v>700</v>
      </c>
      <c r="N11" s="1" t="s">
        <v>7</v>
      </c>
      <c r="O11" s="1" t="s">
        <v>64</v>
      </c>
      <c r="P11" s="1" t="s">
        <v>57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73</v>
      </c>
      <c r="M12" s="69">
        <v>700</v>
      </c>
      <c r="N12" s="1" t="s">
        <v>7</v>
      </c>
      <c r="O12" s="1" t="s">
        <v>64</v>
      </c>
      <c r="P12" s="1" t="s">
        <v>57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74</v>
      </c>
      <c r="M13" s="69">
        <v>700</v>
      </c>
      <c r="N13" s="1" t="s">
        <v>7</v>
      </c>
      <c r="O13" s="1" t="s">
        <v>64</v>
      </c>
      <c r="P13" s="1" t="s">
        <v>57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84</v>
      </c>
      <c r="M14" s="69">
        <v>1000</v>
      </c>
      <c r="N14" s="1" t="s">
        <v>7</v>
      </c>
      <c r="O14" s="1" t="s">
        <v>65</v>
      </c>
      <c r="P14" s="1" t="s">
        <v>57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83</v>
      </c>
      <c r="M15" s="69">
        <v>700</v>
      </c>
      <c r="N15" s="1" t="s">
        <v>7</v>
      </c>
      <c r="O15" s="1" t="s">
        <v>65</v>
      </c>
      <c r="P15" s="1" t="s">
        <v>57</v>
      </c>
    </row>
    <row r="16" spans="1:23" x14ac:dyDescent="0.2">
      <c r="B16" s="1"/>
      <c r="C16" s="1"/>
      <c r="L16" s="1" t="s">
        <v>82</v>
      </c>
      <c r="M16" s="69">
        <v>700</v>
      </c>
      <c r="N16" s="1" t="s">
        <v>7</v>
      </c>
      <c r="O16" s="1" t="s">
        <v>65</v>
      </c>
      <c r="P16" s="1" t="s">
        <v>57</v>
      </c>
    </row>
    <row r="17" spans="2:16" x14ac:dyDescent="0.2">
      <c r="B17" s="1"/>
      <c r="C17" s="1"/>
      <c r="L17" s="1" t="s">
        <v>85</v>
      </c>
      <c r="M17" s="69">
        <v>1000</v>
      </c>
      <c r="N17" s="1" t="s">
        <v>7</v>
      </c>
      <c r="O17" s="1" t="s">
        <v>65</v>
      </c>
      <c r="P17" s="1" t="s">
        <v>57</v>
      </c>
    </row>
    <row r="18" spans="2:16" x14ac:dyDescent="0.2">
      <c r="B18" s="1"/>
      <c r="C18" s="1"/>
      <c r="L18" s="1" t="s">
        <v>81</v>
      </c>
      <c r="M18" s="69">
        <v>1000</v>
      </c>
      <c r="N18" s="1" t="s">
        <v>7</v>
      </c>
      <c r="O18" s="1" t="s">
        <v>59</v>
      </c>
      <c r="P18" s="1" t="s">
        <v>57</v>
      </c>
    </row>
    <row r="19" spans="2:16" x14ac:dyDescent="0.2">
      <c r="B19" s="1"/>
      <c r="C19" s="1"/>
      <c r="L19" s="1" t="s">
        <v>79</v>
      </c>
      <c r="M19" s="69">
        <v>500</v>
      </c>
      <c r="N19" s="1" t="s">
        <v>7</v>
      </c>
      <c r="O19" s="1" t="s">
        <v>59</v>
      </c>
      <c r="P19" s="1" t="s">
        <v>57</v>
      </c>
    </row>
    <row r="20" spans="2:16" x14ac:dyDescent="0.2">
      <c r="B20" s="1"/>
      <c r="C20" s="1"/>
      <c r="L20" s="1" t="s">
        <v>128</v>
      </c>
      <c r="M20" s="69">
        <v>500</v>
      </c>
      <c r="N20" s="1" t="s">
        <v>7</v>
      </c>
      <c r="O20" s="1" t="s">
        <v>120</v>
      </c>
      <c r="P20" s="1" t="s">
        <v>116</v>
      </c>
    </row>
    <row r="21" spans="2:16" x14ac:dyDescent="0.2">
      <c r="B21" s="1"/>
      <c r="C21" s="1"/>
      <c r="L21" s="1" t="s">
        <v>129</v>
      </c>
      <c r="M21" s="69">
        <v>500</v>
      </c>
      <c r="N21" s="1" t="s">
        <v>7</v>
      </c>
      <c r="O21" s="1" t="s">
        <v>120</v>
      </c>
      <c r="P21" s="1" t="s">
        <v>116</v>
      </c>
    </row>
    <row r="22" spans="2:16" x14ac:dyDescent="0.2">
      <c r="L22" s="1" t="s">
        <v>178</v>
      </c>
      <c r="M22" s="69">
        <v>500</v>
      </c>
      <c r="N22" s="1" t="s">
        <v>7</v>
      </c>
      <c r="O22" s="1" t="s">
        <v>120</v>
      </c>
      <c r="P22" s="1" t="s">
        <v>116</v>
      </c>
    </row>
    <row r="23" spans="2:16" x14ac:dyDescent="0.2">
      <c r="L23" s="1" t="s">
        <v>126</v>
      </c>
      <c r="M23" s="69">
        <v>500</v>
      </c>
      <c r="N23" s="1" t="s">
        <v>7</v>
      </c>
      <c r="O23" s="1" t="s">
        <v>118</v>
      </c>
      <c r="P23" s="1" t="s">
        <v>116</v>
      </c>
    </row>
    <row r="24" spans="2:16" x14ac:dyDescent="0.2">
      <c r="L24" s="1" t="s">
        <v>127</v>
      </c>
      <c r="M24" s="69">
        <v>500</v>
      </c>
      <c r="N24" s="1" t="s">
        <v>7</v>
      </c>
      <c r="O24" s="1" t="s">
        <v>118</v>
      </c>
      <c r="P24" s="1" t="s">
        <v>116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4"/>
  <sheetViews>
    <sheetView workbookViewId="0">
      <selection activeCell="M4" sqref="M4:M6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22" width="8.83203125" customWidth="1"/>
    <col min="23" max="23" width="9" customWidth="1"/>
  </cols>
  <sheetData>
    <row r="1" spans="1:18" ht="21" thickBot="1" x14ac:dyDescent="0.3">
      <c r="A1" s="58" t="s">
        <v>49</v>
      </c>
      <c r="B1" s="58"/>
      <c r="D1" s="58" t="s">
        <v>48</v>
      </c>
      <c r="E1" s="58"/>
      <c r="F1" s="58"/>
      <c r="H1" s="58" t="s">
        <v>50</v>
      </c>
      <c r="I1" s="58"/>
      <c r="J1" s="58"/>
      <c r="K1" s="58"/>
      <c r="M1" s="58" t="s">
        <v>186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86</v>
      </c>
      <c r="B3" t="s">
        <v>87</v>
      </c>
      <c r="D3" t="s">
        <v>86</v>
      </c>
      <c r="E3" t="s">
        <v>87</v>
      </c>
      <c r="F3" t="s">
        <v>88</v>
      </c>
      <c r="H3" t="s">
        <v>86</v>
      </c>
      <c r="I3" t="s">
        <v>87</v>
      </c>
      <c r="J3" t="s">
        <v>89</v>
      </c>
      <c r="K3" t="s">
        <v>88</v>
      </c>
      <c r="M3" t="s">
        <v>6</v>
      </c>
    </row>
    <row r="4" spans="1:18" x14ac:dyDescent="0.2">
      <c r="A4" t="s">
        <v>66</v>
      </c>
      <c r="B4" t="s">
        <v>57</v>
      </c>
      <c r="D4" s="56" t="s">
        <v>66</v>
      </c>
      <c r="E4" s="56" t="s">
        <v>175</v>
      </c>
      <c r="F4" t="s">
        <v>57</v>
      </c>
      <c r="H4" s="95" t="s">
        <v>66</v>
      </c>
      <c r="I4" s="95" t="s">
        <v>102</v>
      </c>
      <c r="J4" s="95" t="s">
        <v>175</v>
      </c>
      <c r="K4" s="95" t="s">
        <v>57</v>
      </c>
      <c r="M4" t="s">
        <v>139</v>
      </c>
      <c r="N4" s="55"/>
      <c r="O4" s="55"/>
      <c r="Q4" s="55"/>
      <c r="R4" s="55"/>
    </row>
    <row r="5" spans="1:18" x14ac:dyDescent="0.2">
      <c r="A5" t="s">
        <v>115</v>
      </c>
      <c r="B5" t="s">
        <v>116</v>
      </c>
      <c r="D5" s="56" t="s">
        <v>69</v>
      </c>
      <c r="E5" s="56" t="s">
        <v>64</v>
      </c>
      <c r="F5" t="s">
        <v>57</v>
      </c>
      <c r="H5" s="95" t="s">
        <v>72</v>
      </c>
      <c r="I5" s="95" t="s">
        <v>92</v>
      </c>
      <c r="J5" s="95" t="s">
        <v>64</v>
      </c>
      <c r="K5" s="95" t="s">
        <v>57</v>
      </c>
      <c r="M5" t="s">
        <v>174</v>
      </c>
      <c r="N5" s="55"/>
    </row>
    <row r="6" spans="1:18" x14ac:dyDescent="0.2">
      <c r="A6" s="55" t="s">
        <v>137</v>
      </c>
      <c r="B6" s="55" t="s">
        <v>135</v>
      </c>
      <c r="C6" s="55"/>
      <c r="D6" t="s">
        <v>68</v>
      </c>
      <c r="E6" t="s">
        <v>65</v>
      </c>
      <c r="F6" t="s">
        <v>57</v>
      </c>
      <c r="G6" s="57"/>
      <c r="H6" s="95" t="s">
        <v>71</v>
      </c>
      <c r="I6" s="95" t="s">
        <v>62</v>
      </c>
      <c r="J6" s="95" t="s">
        <v>64</v>
      </c>
      <c r="K6" s="95" t="s">
        <v>57</v>
      </c>
      <c r="L6" s="55"/>
      <c r="M6" t="s">
        <v>136</v>
      </c>
    </row>
    <row r="7" spans="1:18" x14ac:dyDescent="0.2">
      <c r="A7" s="55"/>
      <c r="B7" s="55"/>
      <c r="C7" s="55"/>
      <c r="D7" t="s">
        <v>67</v>
      </c>
      <c r="E7" t="s">
        <v>59</v>
      </c>
      <c r="F7" t="s">
        <v>57</v>
      </c>
      <c r="G7" s="55"/>
      <c r="H7" s="95" t="s">
        <v>69</v>
      </c>
      <c r="I7" s="95" t="s">
        <v>101</v>
      </c>
      <c r="J7" s="95" t="s">
        <v>64</v>
      </c>
      <c r="K7" s="95" t="s">
        <v>57</v>
      </c>
      <c r="L7" s="55"/>
    </row>
    <row r="8" spans="1:18" x14ac:dyDescent="0.2">
      <c r="A8" s="55"/>
      <c r="B8" s="55"/>
      <c r="C8" s="55"/>
      <c r="D8" t="s">
        <v>70</v>
      </c>
      <c r="E8" t="s">
        <v>90</v>
      </c>
      <c r="F8" t="s">
        <v>57</v>
      </c>
      <c r="G8" s="55"/>
      <c r="H8" s="95" t="s">
        <v>75</v>
      </c>
      <c r="I8" s="95" t="s">
        <v>93</v>
      </c>
      <c r="J8" s="95" t="s">
        <v>64</v>
      </c>
      <c r="K8" s="95" t="s">
        <v>57</v>
      </c>
      <c r="L8" s="55"/>
    </row>
    <row r="9" spans="1:18" x14ac:dyDescent="0.2">
      <c r="A9" s="55"/>
      <c r="B9" s="55"/>
      <c r="C9" s="55"/>
      <c r="D9" s="56" t="s">
        <v>119</v>
      </c>
      <c r="E9" s="56" t="s">
        <v>120</v>
      </c>
      <c r="F9" t="s">
        <v>116</v>
      </c>
      <c r="G9" s="55"/>
      <c r="H9" s="95" t="s">
        <v>73</v>
      </c>
      <c r="I9" s="95" t="s">
        <v>54</v>
      </c>
      <c r="J9" s="95" t="s">
        <v>64</v>
      </c>
      <c r="K9" s="95" t="s">
        <v>57</v>
      </c>
      <c r="L9" s="55"/>
    </row>
    <row r="10" spans="1:18" x14ac:dyDescent="0.2">
      <c r="A10" s="55"/>
      <c r="B10" s="55"/>
      <c r="C10" s="55"/>
      <c r="D10" t="s">
        <v>117</v>
      </c>
      <c r="E10" t="s">
        <v>118</v>
      </c>
      <c r="F10" t="s">
        <v>116</v>
      </c>
      <c r="G10" s="55"/>
      <c r="H10" s="95" t="s">
        <v>74</v>
      </c>
      <c r="I10" s="95" t="s">
        <v>63</v>
      </c>
      <c r="J10" s="95" t="s">
        <v>64</v>
      </c>
      <c r="K10" s="95" t="s">
        <v>57</v>
      </c>
      <c r="L10" s="55"/>
    </row>
    <row r="11" spans="1:18" x14ac:dyDescent="0.2">
      <c r="A11" s="55"/>
      <c r="B11" s="55"/>
      <c r="D11" t="s">
        <v>115</v>
      </c>
      <c r="E11" t="s">
        <v>176</v>
      </c>
      <c r="F11" t="s">
        <v>116</v>
      </c>
      <c r="H11" s="95" t="s">
        <v>76</v>
      </c>
      <c r="I11" s="95" t="s">
        <v>61</v>
      </c>
      <c r="J11" s="95" t="s">
        <v>64</v>
      </c>
      <c r="K11" s="95" t="s">
        <v>57</v>
      </c>
    </row>
    <row r="12" spans="1:18" x14ac:dyDescent="0.2">
      <c r="A12" s="55"/>
      <c r="B12" s="55"/>
      <c r="D12" s="56" t="s">
        <v>138</v>
      </c>
      <c r="E12" s="56" t="s">
        <v>139</v>
      </c>
      <c r="F12" t="s">
        <v>135</v>
      </c>
      <c r="H12" s="95" t="s">
        <v>83</v>
      </c>
      <c r="I12" s="95" t="s">
        <v>56</v>
      </c>
      <c r="J12" s="95" t="s">
        <v>65</v>
      </c>
      <c r="K12" s="95" t="s">
        <v>57</v>
      </c>
    </row>
    <row r="13" spans="1:18" x14ac:dyDescent="0.2">
      <c r="A13" s="55"/>
      <c r="B13" s="55"/>
      <c r="D13" s="56" t="s">
        <v>134</v>
      </c>
      <c r="E13" s="56" t="s">
        <v>174</v>
      </c>
      <c r="F13" t="s">
        <v>135</v>
      </c>
      <c r="H13" s="95" t="s">
        <v>82</v>
      </c>
      <c r="I13" s="95" t="s">
        <v>96</v>
      </c>
      <c r="J13" s="95" t="s">
        <v>65</v>
      </c>
      <c r="K13" s="95" t="s">
        <v>57</v>
      </c>
    </row>
    <row r="14" spans="1:18" x14ac:dyDescent="0.2">
      <c r="A14" s="55"/>
      <c r="B14" s="55"/>
      <c r="D14" t="s">
        <v>158</v>
      </c>
      <c r="E14" t="s">
        <v>136</v>
      </c>
      <c r="F14" t="s">
        <v>135</v>
      </c>
      <c r="H14" s="95" t="s">
        <v>84</v>
      </c>
      <c r="I14" s="95" t="s">
        <v>173</v>
      </c>
      <c r="J14" s="95" t="s">
        <v>65</v>
      </c>
      <c r="K14" s="95" t="s">
        <v>57</v>
      </c>
    </row>
    <row r="15" spans="1:18" x14ac:dyDescent="0.2">
      <c r="A15" s="55"/>
      <c r="B15" s="55"/>
      <c r="H15" s="95" t="s">
        <v>85</v>
      </c>
      <c r="I15" s="95" t="s">
        <v>55</v>
      </c>
      <c r="J15" s="95" t="s">
        <v>65</v>
      </c>
      <c r="K15" s="95" t="s">
        <v>57</v>
      </c>
    </row>
    <row r="16" spans="1:18" x14ac:dyDescent="0.2">
      <c r="H16" s="95" t="s">
        <v>68</v>
      </c>
      <c r="I16" s="95" t="s">
        <v>98</v>
      </c>
      <c r="J16" s="95" t="s">
        <v>65</v>
      </c>
      <c r="K16" s="95" t="s">
        <v>57</v>
      </c>
    </row>
    <row r="17" spans="8:11" x14ac:dyDescent="0.2">
      <c r="H17" s="95" t="s">
        <v>80</v>
      </c>
      <c r="I17" s="95" t="s">
        <v>58</v>
      </c>
      <c r="J17" s="95" t="s">
        <v>59</v>
      </c>
      <c r="K17" s="95" t="s">
        <v>57</v>
      </c>
    </row>
    <row r="18" spans="8:11" x14ac:dyDescent="0.2">
      <c r="H18" s="95" t="s">
        <v>78</v>
      </c>
      <c r="I18" s="95" t="s">
        <v>60</v>
      </c>
      <c r="J18" s="95" t="s">
        <v>59</v>
      </c>
      <c r="K18" s="95" t="s">
        <v>57</v>
      </c>
    </row>
    <row r="19" spans="8:11" x14ac:dyDescent="0.2">
      <c r="H19" s="95" t="s">
        <v>67</v>
      </c>
      <c r="I19" s="95" t="s">
        <v>99</v>
      </c>
      <c r="J19" s="95" t="s">
        <v>59</v>
      </c>
      <c r="K19" s="95" t="s">
        <v>57</v>
      </c>
    </row>
    <row r="20" spans="8:11" x14ac:dyDescent="0.2">
      <c r="H20" s="95" t="s">
        <v>81</v>
      </c>
      <c r="I20" s="95" t="s">
        <v>94</v>
      </c>
      <c r="J20" s="95" t="s">
        <v>59</v>
      </c>
      <c r="K20" s="95" t="s">
        <v>57</v>
      </c>
    </row>
    <row r="21" spans="8:11" x14ac:dyDescent="0.2">
      <c r="H21" s="95" t="s">
        <v>79</v>
      </c>
      <c r="I21" s="95" t="s">
        <v>95</v>
      </c>
      <c r="J21" s="95" t="s">
        <v>59</v>
      </c>
      <c r="K21" s="95" t="s">
        <v>57</v>
      </c>
    </row>
    <row r="22" spans="8:11" x14ac:dyDescent="0.2">
      <c r="H22" s="95" t="s">
        <v>77</v>
      </c>
      <c r="I22" s="95" t="s">
        <v>91</v>
      </c>
      <c r="J22" s="95" t="s">
        <v>90</v>
      </c>
      <c r="K22" s="95" t="s">
        <v>57</v>
      </c>
    </row>
    <row r="23" spans="8:11" x14ac:dyDescent="0.2">
      <c r="H23" s="95" t="s">
        <v>70</v>
      </c>
      <c r="I23" s="95" t="s">
        <v>100</v>
      </c>
      <c r="J23" s="95" t="s">
        <v>90</v>
      </c>
      <c r="K23" s="95" t="s">
        <v>57</v>
      </c>
    </row>
    <row r="24" spans="8:11" x14ac:dyDescent="0.2">
      <c r="H24" s="95" t="s">
        <v>128</v>
      </c>
      <c r="I24" s="95" t="s">
        <v>177</v>
      </c>
      <c r="J24" s="95" t="s">
        <v>120</v>
      </c>
      <c r="K24" s="95" t="s">
        <v>116</v>
      </c>
    </row>
    <row r="25" spans="8:11" x14ac:dyDescent="0.2">
      <c r="H25" s="95" t="s">
        <v>130</v>
      </c>
      <c r="I25" s="95" t="s">
        <v>133</v>
      </c>
      <c r="J25" s="95" t="s">
        <v>120</v>
      </c>
      <c r="K25" s="95" t="s">
        <v>116</v>
      </c>
    </row>
    <row r="26" spans="8:11" x14ac:dyDescent="0.2">
      <c r="H26" s="95" t="s">
        <v>129</v>
      </c>
      <c r="I26" s="95" t="s">
        <v>180</v>
      </c>
      <c r="J26" s="95" t="s">
        <v>120</v>
      </c>
      <c r="K26" s="95" t="s">
        <v>116</v>
      </c>
    </row>
    <row r="27" spans="8:11" x14ac:dyDescent="0.2">
      <c r="H27" s="95" t="s">
        <v>119</v>
      </c>
      <c r="I27" s="95" t="s">
        <v>122</v>
      </c>
      <c r="J27" s="95" t="s">
        <v>120</v>
      </c>
      <c r="K27" s="95" t="s">
        <v>116</v>
      </c>
    </row>
    <row r="28" spans="8:11" x14ac:dyDescent="0.2">
      <c r="H28" s="95" t="s">
        <v>131</v>
      </c>
      <c r="I28" s="95" t="s">
        <v>132</v>
      </c>
      <c r="J28" s="95" t="s">
        <v>120</v>
      </c>
      <c r="K28" s="95" t="s">
        <v>116</v>
      </c>
    </row>
    <row r="29" spans="8:11" x14ac:dyDescent="0.2">
      <c r="H29" s="95" t="s">
        <v>126</v>
      </c>
      <c r="I29" s="95" t="s">
        <v>113</v>
      </c>
      <c r="J29" s="95" t="s">
        <v>118</v>
      </c>
      <c r="K29" s="95" t="s">
        <v>116</v>
      </c>
    </row>
    <row r="30" spans="8:11" x14ac:dyDescent="0.2">
      <c r="H30" s="95" t="s">
        <v>127</v>
      </c>
      <c r="I30" s="95" t="s">
        <v>114</v>
      </c>
      <c r="J30" s="95" t="s">
        <v>118</v>
      </c>
      <c r="K30" s="95" t="s">
        <v>116</v>
      </c>
    </row>
    <row r="31" spans="8:11" x14ac:dyDescent="0.2">
      <c r="H31" s="95" t="s">
        <v>124</v>
      </c>
      <c r="I31" s="95" t="s">
        <v>111</v>
      </c>
      <c r="J31" s="95" t="s">
        <v>118</v>
      </c>
      <c r="K31" s="95" t="s">
        <v>116</v>
      </c>
    </row>
    <row r="32" spans="8:11" x14ac:dyDescent="0.2">
      <c r="H32" s="95" t="s">
        <v>125</v>
      </c>
      <c r="I32" s="95" t="s">
        <v>112</v>
      </c>
      <c r="J32" s="95" t="s">
        <v>118</v>
      </c>
      <c r="K32" s="95" t="s">
        <v>116</v>
      </c>
    </row>
    <row r="33" spans="8:11" x14ac:dyDescent="0.2">
      <c r="H33" s="95" t="s">
        <v>117</v>
      </c>
      <c r="I33" s="95" t="s">
        <v>121</v>
      </c>
      <c r="J33" s="95" t="s">
        <v>118</v>
      </c>
      <c r="K33" s="95" t="s">
        <v>116</v>
      </c>
    </row>
    <row r="34" spans="8:11" x14ac:dyDescent="0.2">
      <c r="H34" s="95" t="s">
        <v>181</v>
      </c>
      <c r="I34" s="95" t="s">
        <v>179</v>
      </c>
      <c r="J34" s="95" t="s">
        <v>120</v>
      </c>
      <c r="K34" s="95" t="s">
        <v>116</v>
      </c>
    </row>
    <row r="35" spans="8:11" x14ac:dyDescent="0.2">
      <c r="H35" s="95" t="s">
        <v>178</v>
      </c>
      <c r="I35" s="95" t="s">
        <v>178</v>
      </c>
      <c r="J35" s="95" t="s">
        <v>120</v>
      </c>
      <c r="K35" s="95" t="s">
        <v>116</v>
      </c>
    </row>
    <row r="36" spans="8:11" x14ac:dyDescent="0.2">
      <c r="H36" s="95" t="s">
        <v>115</v>
      </c>
      <c r="I36" s="95" t="s">
        <v>123</v>
      </c>
      <c r="J36" s="95" t="s">
        <v>176</v>
      </c>
      <c r="K36" s="95" t="s">
        <v>116</v>
      </c>
    </row>
    <row r="37" spans="8:11" x14ac:dyDescent="0.2">
      <c r="H37" s="95" t="s">
        <v>167</v>
      </c>
      <c r="I37" s="95" t="s">
        <v>148</v>
      </c>
      <c r="J37" s="95" t="s">
        <v>139</v>
      </c>
      <c r="K37" s="95" t="s">
        <v>135</v>
      </c>
    </row>
    <row r="38" spans="8:11" x14ac:dyDescent="0.2">
      <c r="H38" s="95" t="s">
        <v>169</v>
      </c>
      <c r="I38" s="95" t="s">
        <v>156</v>
      </c>
      <c r="J38" s="95" t="s">
        <v>139</v>
      </c>
      <c r="K38" s="95" t="s">
        <v>135</v>
      </c>
    </row>
    <row r="39" spans="8:11" x14ac:dyDescent="0.2">
      <c r="H39" s="95" t="s">
        <v>138</v>
      </c>
      <c r="I39" s="95" t="s">
        <v>142</v>
      </c>
      <c r="J39" s="95" t="s">
        <v>139</v>
      </c>
      <c r="K39" s="95" t="s">
        <v>135</v>
      </c>
    </row>
    <row r="40" spans="8:11" x14ac:dyDescent="0.2">
      <c r="H40" s="95" t="s">
        <v>171</v>
      </c>
      <c r="I40" s="95" t="s">
        <v>151</v>
      </c>
      <c r="J40" s="95" t="s">
        <v>139</v>
      </c>
      <c r="K40" s="95" t="s">
        <v>135</v>
      </c>
    </row>
    <row r="41" spans="8:11" x14ac:dyDescent="0.2">
      <c r="H41" s="95" t="s">
        <v>170</v>
      </c>
      <c r="I41" s="95" t="s">
        <v>150</v>
      </c>
      <c r="J41" s="95" t="s">
        <v>139</v>
      </c>
      <c r="K41" s="95" t="s">
        <v>135</v>
      </c>
    </row>
    <row r="42" spans="8:11" x14ac:dyDescent="0.2">
      <c r="H42" s="95" t="s">
        <v>168</v>
      </c>
      <c r="I42" s="95" t="s">
        <v>149</v>
      </c>
      <c r="J42" s="95" t="s">
        <v>139</v>
      </c>
      <c r="K42" s="95" t="s">
        <v>135</v>
      </c>
    </row>
    <row r="43" spans="8:11" x14ac:dyDescent="0.2">
      <c r="H43" s="95" t="s">
        <v>152</v>
      </c>
      <c r="I43" s="95" t="s">
        <v>153</v>
      </c>
      <c r="J43" s="95" t="s">
        <v>139</v>
      </c>
      <c r="K43" s="95" t="s">
        <v>135</v>
      </c>
    </row>
    <row r="44" spans="8:11" x14ac:dyDescent="0.2">
      <c r="H44" s="95" t="s">
        <v>172</v>
      </c>
      <c r="I44" s="95" t="s">
        <v>157</v>
      </c>
      <c r="J44" s="95" t="s">
        <v>139</v>
      </c>
      <c r="K44" s="95" t="s">
        <v>135</v>
      </c>
    </row>
    <row r="45" spans="8:11" x14ac:dyDescent="0.2">
      <c r="H45" s="95" t="s">
        <v>134</v>
      </c>
      <c r="I45" s="95" t="s">
        <v>140</v>
      </c>
      <c r="J45" s="95" t="s">
        <v>174</v>
      </c>
      <c r="K45" s="95" t="s">
        <v>135</v>
      </c>
    </row>
    <row r="46" spans="8:11" x14ac:dyDescent="0.2">
      <c r="H46" s="95" t="s">
        <v>147</v>
      </c>
      <c r="I46" s="95" t="s">
        <v>147</v>
      </c>
      <c r="J46" s="95" t="s">
        <v>136</v>
      </c>
      <c r="K46" s="95" t="s">
        <v>135</v>
      </c>
    </row>
    <row r="47" spans="8:11" x14ac:dyDescent="0.2">
      <c r="H47" s="95" t="s">
        <v>159</v>
      </c>
      <c r="I47" s="95" t="s">
        <v>160</v>
      </c>
      <c r="J47" s="95" t="s">
        <v>136</v>
      </c>
      <c r="K47" s="95" t="s">
        <v>135</v>
      </c>
    </row>
    <row r="48" spans="8:11" x14ac:dyDescent="0.2">
      <c r="H48" s="95" t="s">
        <v>162</v>
      </c>
      <c r="I48" s="95" t="s">
        <v>155</v>
      </c>
      <c r="J48" s="95" t="s">
        <v>136</v>
      </c>
      <c r="K48" s="95" t="s">
        <v>135</v>
      </c>
    </row>
    <row r="49" spans="8:11" x14ac:dyDescent="0.2">
      <c r="H49" s="95" t="s">
        <v>164</v>
      </c>
      <c r="I49" s="95" t="s">
        <v>146</v>
      </c>
      <c r="J49" s="95" t="s">
        <v>136</v>
      </c>
      <c r="K49" s="95" t="s">
        <v>135</v>
      </c>
    </row>
    <row r="50" spans="8:11" x14ac:dyDescent="0.2">
      <c r="H50" s="95" t="s">
        <v>163</v>
      </c>
      <c r="I50" s="95" t="s">
        <v>145</v>
      </c>
      <c r="J50" s="95" t="s">
        <v>136</v>
      </c>
      <c r="K50" s="95" t="s">
        <v>135</v>
      </c>
    </row>
    <row r="51" spans="8:11" x14ac:dyDescent="0.2">
      <c r="H51" s="95" t="s">
        <v>161</v>
      </c>
      <c r="I51" s="95" t="s">
        <v>144</v>
      </c>
      <c r="J51" s="95" t="s">
        <v>136</v>
      </c>
      <c r="K51" s="95" t="s">
        <v>135</v>
      </c>
    </row>
    <row r="52" spans="8:11" x14ac:dyDescent="0.2">
      <c r="H52" s="95" t="s">
        <v>165</v>
      </c>
      <c r="I52" s="95" t="s">
        <v>166</v>
      </c>
      <c r="J52" s="95" t="s">
        <v>136</v>
      </c>
      <c r="K52" s="95" t="s">
        <v>135</v>
      </c>
    </row>
    <row r="53" spans="8:11" x14ac:dyDescent="0.2">
      <c r="H53" s="95" t="s">
        <v>143</v>
      </c>
      <c r="I53" s="95" t="s">
        <v>143</v>
      </c>
      <c r="J53" s="95" t="s">
        <v>136</v>
      </c>
      <c r="K53" s="95" t="s">
        <v>135</v>
      </c>
    </row>
    <row r="54" spans="8:11" x14ac:dyDescent="0.2">
      <c r="H54" s="95" t="s">
        <v>158</v>
      </c>
      <c r="I54" s="95" t="s">
        <v>141</v>
      </c>
      <c r="J54" s="95" t="s">
        <v>136</v>
      </c>
      <c r="K54" s="95" t="s">
        <v>135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I4:I54">
    <cfRule type="duplicateValues" dxfId="24" priority="1029"/>
  </conditionalFormatting>
  <dataValidations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3688-E5DE-7C4D-8D51-D75859389102}">
  <sheetPr codeName="Sheet5">
    <tabColor rgb="FF7030A0"/>
  </sheetPr>
  <dimension ref="A1:L26"/>
  <sheetViews>
    <sheetView workbookViewId="0">
      <selection activeCell="B41" sqref="B41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238</v>
      </c>
      <c r="B1" s="58"/>
      <c r="D1" s="58" t="s">
        <v>237</v>
      </c>
    </row>
    <row r="2" spans="1:4" ht="21" thickTop="1" x14ac:dyDescent="0.25">
      <c r="A2" s="60"/>
    </row>
    <row r="3" spans="1:4" ht="16" thickBot="1" x14ac:dyDescent="0.25">
      <c r="A3" t="s">
        <v>86</v>
      </c>
      <c r="B3" t="s">
        <v>30</v>
      </c>
      <c r="D3" s="119" t="s">
        <v>30</v>
      </c>
    </row>
    <row r="4" spans="1:4" x14ac:dyDescent="0.2">
      <c r="A4" t="s">
        <v>36</v>
      </c>
      <c r="B4" t="s">
        <v>234</v>
      </c>
      <c r="D4" t="s">
        <v>220</v>
      </c>
    </row>
    <row r="5" spans="1:4" x14ac:dyDescent="0.2">
      <c r="A5" t="s">
        <v>236</v>
      </c>
      <c r="B5" t="s">
        <v>193</v>
      </c>
      <c r="D5" t="s">
        <v>226</v>
      </c>
    </row>
    <row r="6" spans="1:4" x14ac:dyDescent="0.2">
      <c r="A6" t="s">
        <v>235</v>
      </c>
      <c r="B6" t="s">
        <v>226</v>
      </c>
      <c r="D6" t="s">
        <v>234</v>
      </c>
    </row>
    <row r="7" spans="1:4" x14ac:dyDescent="0.2">
      <c r="A7" t="s">
        <v>233</v>
      </c>
      <c r="B7" t="s">
        <v>226</v>
      </c>
      <c r="D7" t="s">
        <v>229</v>
      </c>
    </row>
    <row r="8" spans="1:4" x14ac:dyDescent="0.2">
      <c r="A8" t="s">
        <v>232</v>
      </c>
      <c r="B8" t="s">
        <v>222</v>
      </c>
      <c r="D8" t="s">
        <v>193</v>
      </c>
    </row>
    <row r="9" spans="1:4" x14ac:dyDescent="0.2">
      <c r="A9" t="s">
        <v>231</v>
      </c>
      <c r="B9" t="s">
        <v>226</v>
      </c>
      <c r="D9" t="s">
        <v>222</v>
      </c>
    </row>
    <row r="10" spans="1:4" ht="16" x14ac:dyDescent="0.2">
      <c r="A10" t="s">
        <v>230</v>
      </c>
      <c r="B10" t="s">
        <v>229</v>
      </c>
      <c r="D10" s="28"/>
    </row>
    <row r="11" spans="1:4" ht="16" x14ac:dyDescent="0.2">
      <c r="A11" t="s">
        <v>228</v>
      </c>
      <c r="B11" t="s">
        <v>193</v>
      </c>
      <c r="D11" s="13"/>
    </row>
    <row r="12" spans="1:4" ht="16" x14ac:dyDescent="0.2">
      <c r="A12" t="s">
        <v>227</v>
      </c>
      <c r="B12" t="s">
        <v>226</v>
      </c>
      <c r="D12" s="13"/>
    </row>
    <row r="13" spans="1:4" ht="16" x14ac:dyDescent="0.2">
      <c r="A13" t="s">
        <v>225</v>
      </c>
      <c r="B13" t="s">
        <v>222</v>
      </c>
      <c r="D13" s="13"/>
    </row>
    <row r="14" spans="1:4" ht="16" x14ac:dyDescent="0.2">
      <c r="A14" t="s">
        <v>224</v>
      </c>
      <c r="B14" t="s">
        <v>222</v>
      </c>
      <c r="D14" s="13"/>
    </row>
    <row r="15" spans="1:4" ht="16" x14ac:dyDescent="0.2">
      <c r="A15" t="s">
        <v>223</v>
      </c>
      <c r="B15" t="s">
        <v>222</v>
      </c>
      <c r="D15" s="13"/>
    </row>
    <row r="16" spans="1:4" x14ac:dyDescent="0.2">
      <c r="A16" t="s">
        <v>221</v>
      </c>
      <c r="B16" t="s">
        <v>220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27"/>
  <sheetViews>
    <sheetView workbookViewId="0">
      <selection activeCell="B41" sqref="B41"/>
    </sheetView>
  </sheetViews>
  <sheetFormatPr baseColWidth="10" defaultRowHeight="15" x14ac:dyDescent="0.2"/>
  <cols>
    <col min="1" max="1" width="16.6640625" bestFit="1" customWidth="1"/>
  </cols>
  <sheetData>
    <row r="1" spans="1:1" ht="21" thickBot="1" x14ac:dyDescent="0.3">
      <c r="A1" s="58" t="s">
        <v>194</v>
      </c>
    </row>
    <row r="2" spans="1:1" ht="16" thickTop="1" x14ac:dyDescent="0.2"/>
    <row r="3" spans="1:1" x14ac:dyDescent="0.2">
      <c r="A3" t="s">
        <v>206</v>
      </c>
    </row>
    <row r="4" spans="1:1" x14ac:dyDescent="0.2">
      <c r="A4" t="s">
        <v>239</v>
      </c>
    </row>
    <row r="5" spans="1:1" x14ac:dyDescent="0.2">
      <c r="A5" t="s">
        <v>198</v>
      </c>
    </row>
    <row r="6" spans="1:1" x14ac:dyDescent="0.2">
      <c r="A6" t="s">
        <v>216</v>
      </c>
    </row>
    <row r="7" spans="1:1" x14ac:dyDescent="0.2">
      <c r="A7" t="s">
        <v>215</v>
      </c>
    </row>
    <row r="8" spans="1:1" x14ac:dyDescent="0.2">
      <c r="A8" t="s">
        <v>243</v>
      </c>
    </row>
    <row r="9" spans="1:1" x14ac:dyDescent="0.2">
      <c r="A9" t="s">
        <v>199</v>
      </c>
    </row>
    <row r="10" spans="1:1" x14ac:dyDescent="0.2">
      <c r="A10" t="s">
        <v>200</v>
      </c>
    </row>
    <row r="11" spans="1:1" x14ac:dyDescent="0.2">
      <c r="A11" t="s">
        <v>202</v>
      </c>
    </row>
    <row r="12" spans="1:1" x14ac:dyDescent="0.2">
      <c r="A12" t="s">
        <v>242</v>
      </c>
    </row>
    <row r="13" spans="1:1" x14ac:dyDescent="0.2">
      <c r="A13" t="s">
        <v>195</v>
      </c>
    </row>
    <row r="14" spans="1:1" x14ac:dyDescent="0.2">
      <c r="A14" t="s">
        <v>205</v>
      </c>
    </row>
    <row r="15" spans="1:1" x14ac:dyDescent="0.2">
      <c r="A15" t="s">
        <v>245</v>
      </c>
    </row>
    <row r="16" spans="1:1" x14ac:dyDescent="0.2">
      <c r="A16" t="s">
        <v>214</v>
      </c>
    </row>
    <row r="17" spans="1:1" x14ac:dyDescent="0.2">
      <c r="A17" t="s">
        <v>217</v>
      </c>
    </row>
    <row r="18" spans="1:1" x14ac:dyDescent="0.2">
      <c r="A18" t="s">
        <v>219</v>
      </c>
    </row>
    <row r="19" spans="1:1" x14ac:dyDescent="0.2">
      <c r="A19" t="s">
        <v>204</v>
      </c>
    </row>
    <row r="20" spans="1:1" x14ac:dyDescent="0.2">
      <c r="A20" t="s">
        <v>203</v>
      </c>
    </row>
    <row r="21" spans="1:1" x14ac:dyDescent="0.2">
      <c r="A21" t="s">
        <v>240</v>
      </c>
    </row>
    <row r="22" spans="1:1" x14ac:dyDescent="0.2">
      <c r="A22" t="s">
        <v>201</v>
      </c>
    </row>
    <row r="23" spans="1:1" x14ac:dyDescent="0.2">
      <c r="A23" t="s">
        <v>244</v>
      </c>
    </row>
    <row r="24" spans="1:1" x14ac:dyDescent="0.2">
      <c r="A24" t="s">
        <v>241</v>
      </c>
    </row>
    <row r="25" spans="1:1" x14ac:dyDescent="0.2">
      <c r="A25" t="s">
        <v>218</v>
      </c>
    </row>
    <row r="26" spans="1:1" x14ac:dyDescent="0.2">
      <c r="A26" t="s">
        <v>197</v>
      </c>
    </row>
    <row r="27" spans="1:1" x14ac:dyDescent="0.2">
      <c r="A27" t="s">
        <v>196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O95"/>
  <sheetViews>
    <sheetView workbookViewId="0">
      <selection activeCell="B41" sqref="B41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6.83203125" bestFit="1" customWidth="1"/>
    <col min="4" max="4" width="14.83203125" bestFit="1" customWidth="1"/>
    <col min="5" max="5" width="17.1640625" bestFit="1" customWidth="1"/>
    <col min="6" max="6" width="12.83203125" bestFit="1" customWidth="1"/>
    <col min="7" max="7" width="13.83203125" bestFit="1" customWidth="1"/>
    <col min="8" max="8" width="13.33203125" bestFit="1" customWidth="1"/>
    <col min="9" max="9" width="15.1640625" bestFit="1" customWidth="1"/>
    <col min="10" max="10" width="11.33203125" bestFit="1" customWidth="1"/>
    <col min="11" max="11" width="17.1640625" bestFit="1" customWidth="1"/>
    <col min="12" max="12" width="10" bestFit="1" customWidth="1"/>
    <col min="13" max="13" width="14" bestFit="1" customWidth="1"/>
    <col min="14" max="14" width="10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5" ht="25" thickBot="1" x14ac:dyDescent="0.35">
      <c r="A1" s="115" t="s">
        <v>208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ht="16" thickTop="1" x14ac:dyDescent="0.2"/>
    <row r="3" spans="1:15" ht="20" thickBot="1" x14ac:dyDescent="0.3">
      <c r="A3" s="116" t="s">
        <v>213</v>
      </c>
    </row>
    <row r="4" spans="1:15" ht="16" thickTop="1" x14ac:dyDescent="0.2">
      <c r="A4" t="s">
        <v>213</v>
      </c>
    </row>
    <row r="5" spans="1:15" x14ac:dyDescent="0.2">
      <c r="A5" s="133">
        <v>1</v>
      </c>
    </row>
    <row r="8" spans="1:15" ht="20" thickBot="1" x14ac:dyDescent="0.3">
      <c r="A8" s="116" t="s">
        <v>189</v>
      </c>
    </row>
    <row r="9" spans="1:15" ht="16" thickTop="1" x14ac:dyDescent="0.2">
      <c r="B9" t="s">
        <v>246</v>
      </c>
      <c r="C9" t="s">
        <v>187</v>
      </c>
    </row>
    <row r="10" spans="1:15" x14ac:dyDescent="0.2">
      <c r="A10" t="s">
        <v>189</v>
      </c>
      <c r="B10" s="133">
        <v>1</v>
      </c>
      <c r="C10" s="133">
        <v>1</v>
      </c>
    </row>
    <row r="13" spans="1:15" ht="20" thickBot="1" x14ac:dyDescent="0.3">
      <c r="A13" s="116" t="s">
        <v>207</v>
      </c>
    </row>
    <row r="14" spans="1:15" ht="16" thickTop="1" x14ac:dyDescent="0.2">
      <c r="B14" t="s">
        <v>246</v>
      </c>
      <c r="C14" t="s">
        <v>187</v>
      </c>
    </row>
    <row r="15" spans="1:15" x14ac:dyDescent="0.2">
      <c r="A15" t="s">
        <v>207</v>
      </c>
      <c r="B15" s="133">
        <v>1</v>
      </c>
      <c r="C15" s="133">
        <v>1</v>
      </c>
    </row>
    <row r="18" spans="1:3" ht="20" thickBot="1" x14ac:dyDescent="0.3">
      <c r="A18" s="116" t="s">
        <v>209</v>
      </c>
    </row>
    <row r="19" spans="1:3" ht="16" thickTop="1" x14ac:dyDescent="0.2">
      <c r="B19" t="s">
        <v>246</v>
      </c>
      <c r="C19" t="s">
        <v>187</v>
      </c>
    </row>
    <row r="20" spans="1:3" x14ac:dyDescent="0.2">
      <c r="A20" t="s">
        <v>191</v>
      </c>
      <c r="B20" s="133">
        <v>1</v>
      </c>
      <c r="C20" s="133">
        <v>1</v>
      </c>
    </row>
    <row r="23" spans="1:3" ht="20" thickBot="1" x14ac:dyDescent="0.3">
      <c r="A23" s="116" t="s">
        <v>192</v>
      </c>
    </row>
    <row r="24" spans="1:3" ht="16" thickTop="1" x14ac:dyDescent="0.2">
      <c r="B24" t="s">
        <v>246</v>
      </c>
      <c r="C24" t="s">
        <v>187</v>
      </c>
    </row>
    <row r="25" spans="1:3" x14ac:dyDescent="0.2">
      <c r="A25" t="s">
        <v>192</v>
      </c>
      <c r="B25" s="133">
        <v>1</v>
      </c>
      <c r="C25" s="133">
        <v>1</v>
      </c>
    </row>
    <row r="28" spans="1:3" ht="20" thickBot="1" x14ac:dyDescent="0.3">
      <c r="A28" s="116" t="s">
        <v>210</v>
      </c>
    </row>
    <row r="29" spans="1:3" ht="16" thickTop="1" x14ac:dyDescent="0.2">
      <c r="A29" s="105" t="s">
        <v>210</v>
      </c>
    </row>
    <row r="30" spans="1:3" x14ac:dyDescent="0.2">
      <c r="B30" t="s">
        <v>246</v>
      </c>
      <c r="C30" t="s">
        <v>187</v>
      </c>
    </row>
    <row r="31" spans="1:3" x14ac:dyDescent="0.2">
      <c r="A31" s="106" t="s">
        <v>246</v>
      </c>
      <c r="B31" s="133">
        <v>1</v>
      </c>
      <c r="C31" s="133">
        <v>1</v>
      </c>
    </row>
    <row r="32" spans="1:3" x14ac:dyDescent="0.2">
      <c r="A32" s="106" t="s">
        <v>187</v>
      </c>
      <c r="B32" s="133">
        <v>1</v>
      </c>
      <c r="C32" s="133">
        <v>1</v>
      </c>
    </row>
    <row r="45" spans="1:3" ht="20" thickBot="1" x14ac:dyDescent="0.3">
      <c r="A45" s="116" t="s">
        <v>211</v>
      </c>
    </row>
    <row r="46" spans="1:3" ht="16" thickTop="1" x14ac:dyDescent="0.2">
      <c r="A46" s="105" t="s">
        <v>211</v>
      </c>
    </row>
    <row r="47" spans="1:3" x14ac:dyDescent="0.2">
      <c r="B47" t="s">
        <v>246</v>
      </c>
      <c r="C47" t="s">
        <v>187</v>
      </c>
    </row>
    <row r="48" spans="1:3" x14ac:dyDescent="0.2">
      <c r="A48" s="106" t="s">
        <v>246</v>
      </c>
      <c r="B48" s="133">
        <v>1</v>
      </c>
      <c r="C48" s="133">
        <v>1</v>
      </c>
    </row>
    <row r="49" spans="1:3" x14ac:dyDescent="0.2">
      <c r="A49" s="106" t="s">
        <v>187</v>
      </c>
      <c r="B49" s="133">
        <v>1</v>
      </c>
      <c r="C49" s="133">
        <v>1</v>
      </c>
    </row>
    <row r="70" spans="1:1" x14ac:dyDescent="0.2">
      <c r="A70" s="106"/>
    </row>
    <row r="71" spans="1:1" x14ac:dyDescent="0.2">
      <c r="A71" s="106"/>
    </row>
    <row r="72" spans="1:1" x14ac:dyDescent="0.2">
      <c r="A72" s="106"/>
    </row>
    <row r="73" spans="1:1" x14ac:dyDescent="0.2">
      <c r="A73" s="106"/>
    </row>
    <row r="74" spans="1:1" x14ac:dyDescent="0.2">
      <c r="A74" s="106"/>
    </row>
    <row r="75" spans="1:1" x14ac:dyDescent="0.2">
      <c r="A75" s="106"/>
    </row>
    <row r="76" spans="1:1" x14ac:dyDescent="0.2">
      <c r="A76" s="106"/>
    </row>
    <row r="77" spans="1:1" x14ac:dyDescent="0.2">
      <c r="A77" s="106"/>
    </row>
    <row r="78" spans="1:1" x14ac:dyDescent="0.2">
      <c r="A78" s="106"/>
    </row>
    <row r="79" spans="1:1" x14ac:dyDescent="0.2">
      <c r="A79" s="106"/>
    </row>
    <row r="80" spans="1:1" x14ac:dyDescent="0.2">
      <c r="A80" s="106"/>
    </row>
    <row r="81" spans="1:3" x14ac:dyDescent="0.2">
      <c r="A81" s="106"/>
    </row>
    <row r="82" spans="1:3" x14ac:dyDescent="0.2">
      <c r="A82" s="106"/>
    </row>
    <row r="83" spans="1:3" x14ac:dyDescent="0.2">
      <c r="A83" s="106"/>
    </row>
    <row r="84" spans="1:3" x14ac:dyDescent="0.2">
      <c r="A84" s="106"/>
    </row>
    <row r="85" spans="1:3" x14ac:dyDescent="0.2">
      <c r="A85" s="106"/>
    </row>
    <row r="86" spans="1:3" x14ac:dyDescent="0.2">
      <c r="A86" s="106"/>
    </row>
    <row r="87" spans="1:3" x14ac:dyDescent="0.2">
      <c r="A87" s="106"/>
    </row>
    <row r="88" spans="1:3" x14ac:dyDescent="0.2">
      <c r="A88" s="106"/>
    </row>
    <row r="89" spans="1:3" x14ac:dyDescent="0.2">
      <c r="A89" s="106"/>
    </row>
    <row r="91" spans="1:3" ht="20" thickBot="1" x14ac:dyDescent="0.3">
      <c r="A91" s="116" t="s">
        <v>212</v>
      </c>
    </row>
    <row r="92" spans="1:3" ht="16" thickTop="1" x14ac:dyDescent="0.2">
      <c r="A92" s="105" t="s">
        <v>190</v>
      </c>
    </row>
    <row r="93" spans="1:3" x14ac:dyDescent="0.2">
      <c r="B93" t="s">
        <v>246</v>
      </c>
      <c r="C93" t="s">
        <v>187</v>
      </c>
    </row>
    <row r="94" spans="1:3" x14ac:dyDescent="0.2">
      <c r="A94" s="106" t="s">
        <v>246</v>
      </c>
      <c r="B94" s="133">
        <v>0</v>
      </c>
      <c r="C94" s="133">
        <v>0</v>
      </c>
    </row>
    <row r="95" spans="1:3" x14ac:dyDescent="0.2">
      <c r="A95" s="106" t="s">
        <v>187</v>
      </c>
      <c r="B95" s="133">
        <v>0</v>
      </c>
      <c r="C95" s="133">
        <v>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topLeftCell="A2" zoomScaleNormal="100" zoomScaleSheetLayoutView="100" workbookViewId="0">
      <selection activeCell="B41" sqref="B41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3"/>
    </row>
  </sheetData>
  <pageMargins left="0.7" right="0.7" top="0.75" bottom="0.75" header="0.3" footer="0.3"/>
  <pageSetup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K29"/>
  <sheetViews>
    <sheetView workbookViewId="0">
      <selection activeCell="B41" sqref="B41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99"/>
      <c r="C3" s="44" t="s">
        <v>29</v>
      </c>
      <c r="D3" s="100"/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37</v>
      </c>
      <c r="J4" s="72">
        <v>0</v>
      </c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2"/>
      <c r="J9" s="19"/>
      <c r="K9" s="19"/>
    </row>
    <row r="10" spans="1:11" x14ac:dyDescent="0.2">
      <c r="A10" s="27" t="s">
        <v>39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1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1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IF(Total_Registros_Coordinador &gt;= Premios!H5,
    VLOOKUP(Total_Registros_Coordinador, Tabla_Premios_Coordinador[], 1, TRUE),
    0
)</f>
        <v>0</v>
      </c>
      <c r="C13" s="34"/>
      <c r="D13" s="36">
        <f>IF(Premio_Coordinador &gt; 0, VLOOKUP(Premio_Coordinador, Tabla_Premios_Coordinador[], 2, FALSE),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40">
        <f>_xlfn.IFNA(SUMIFS(Tabla_Descuentos[DESCUENTO], Tabla_Descuentos[COLABORADOR], Nombre_Coordinador, Tabla_Descuentos[PUESTO], Puesto_Coordinador), 0)</f>
        <v>0</v>
      </c>
      <c r="E15" s="16"/>
      <c r="F15" s="15"/>
      <c r="H15" s="15"/>
      <c r="J15" s="22"/>
      <c r="K15" s="22"/>
    </row>
    <row r="16" spans="1:11" ht="17" thickBot="1" x14ac:dyDescent="0.25">
      <c r="A16" s="37" t="s">
        <v>23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38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24</v>
      </c>
      <c r="D21" s="129" t="str" cm="1">
        <f t="array" ref="D21">NumeroATexto(Pago_Neto_Coordinador)</f>
        <v>CUATROCIENTOS SETENTA Y CINCO PESOS 00/100</v>
      </c>
      <c r="E21" s="129"/>
      <c r="F21" s="129"/>
      <c r="G21" s="129"/>
      <c r="H21" s="129"/>
      <c r="I21" s="129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25</v>
      </c>
      <c r="D24" s="130"/>
      <c r="E24" s="130"/>
      <c r="F24" s="130"/>
      <c r="G24" s="130"/>
      <c r="H24" s="130"/>
      <c r="I24" s="130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23" priority="8" operator="equal">
      <formula>0</formula>
    </cfRule>
    <cfRule type="cellIs" dxfId="22" priority="17" operator="equal">
      <formula>$G9=501</formula>
    </cfRule>
  </conditionalFormatting>
  <conditionalFormatting sqref="G9">
    <cfRule type="cellIs" dxfId="21" priority="2" operator="equal">
      <formula>505</formula>
    </cfRule>
    <cfRule type="cellIs" dxfId="20" priority="6" operator="equal">
      <formula>501</formula>
    </cfRule>
    <cfRule type="containsBlanks" dxfId="19" priority="9">
      <formula>LEN(TRIM(G9))=0</formula>
    </cfRule>
  </conditionalFormatting>
  <conditionalFormatting sqref="B9">
    <cfRule type="duplicateValues" dxfId="18" priority="25"/>
  </conditionalFormatting>
  <conditionalFormatting sqref="A9:K9">
    <cfRule type="expression" dxfId="17" priority="4">
      <formula>$G9 = 503</formula>
    </cfRule>
  </conditionalFormatting>
  <conditionalFormatting sqref="H9">
    <cfRule type="cellIs" dxfId="16" priority="1" stopIfTrue="1" operator="lessThan">
      <formula>299</formula>
    </cfRule>
  </conditionalFormatting>
  <dataValidations count="8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  <dataValidation type="list" allowBlank="1" showInputMessage="1" showErrorMessage="1" sqref="J9" xr:uid="{008451E6-0AF1-470E-84DE-BA92C470A910}">
      <formula1>#REF!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COUNTIF('RAMON TALA'!#REF!,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B41" sqref="B41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103"/>
      <c r="C3" s="44" t="s">
        <v>29</v>
      </c>
      <c r="D3" s="101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4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29" t="str" cm="1">
        <f t="array" ref="D20">NumeroATexto(Pago_Neto_Promotor)</f>
        <v>CERO PESOS 00/100</v>
      </c>
      <c r="E20" s="129"/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0"/>
      <c r="E23" s="130"/>
      <c r="F23" s="130"/>
      <c r="G23" s="130"/>
      <c r="H23" s="130"/>
      <c r="I23" s="130"/>
    </row>
  </sheetData>
  <mergeCells count="4">
    <mergeCell ref="B1:D1"/>
    <mergeCell ref="B2:D2"/>
    <mergeCell ref="D20:I20"/>
    <mergeCell ref="D23:I23"/>
  </mergeCells>
  <phoneticPr fontId="8" type="noConversion"/>
  <conditionalFormatting sqref="D9">
    <cfRule type="expression" dxfId="14" priority="3">
      <formula>$G9=501</formula>
    </cfRule>
    <cfRule type="cellIs" dxfId="13" priority="7" operator="equal">
      <formula>0</formula>
    </cfRule>
  </conditionalFormatting>
  <conditionalFormatting sqref="G9">
    <cfRule type="cellIs" dxfId="12" priority="4" operator="equal">
      <formula>503</formula>
    </cfRule>
    <cfRule type="cellIs" dxfId="11" priority="6" operator="equal">
      <formula>501</formula>
    </cfRule>
  </conditionalFormatting>
  <conditionalFormatting sqref="B9">
    <cfRule type="duplicateValues" dxfId="10" priority="27"/>
  </conditionalFormatting>
  <conditionalFormatting sqref="H9">
    <cfRule type="cellIs" dxfId="9" priority="1" operator="lessThan">
      <formula>299</formula>
    </cfRule>
  </conditionalFormatting>
  <dataValidations disablePrompts="1" count="7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  <dataValidation type="list" allowBlank="1" showInputMessage="1" showErrorMessage="1" sqref="J9" xr:uid="{13E0698A-06B6-4332-9CB4-35D696D672A5}">
      <formula1>#REF!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COUNTIF('RAMON TALA'!#REF!,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P23"/>
  <sheetViews>
    <sheetView tabSelected="1" zoomScaleNormal="100" workbookViewId="0">
      <selection activeCell="B1" sqref="B1:D1"/>
    </sheetView>
  </sheetViews>
  <sheetFormatPr baseColWidth="10" defaultColWidth="14.5" defaultRowHeight="16" x14ac:dyDescent="0.2"/>
  <cols>
    <col min="1" max="1" width="21.83203125" style="13" bestFit="1" customWidth="1"/>
    <col min="2" max="2" width="24.1640625" style="13" bestFit="1" customWidth="1"/>
    <col min="3" max="3" width="20.5" style="13" bestFit="1" customWidth="1"/>
    <col min="4" max="4" width="37.83203125" style="13" bestFit="1" customWidth="1"/>
    <col min="5" max="5" width="15.5" style="13" bestFit="1" customWidth="1"/>
    <col min="6" max="6" width="19.83203125" style="13" bestFit="1" customWidth="1"/>
    <col min="7" max="7" width="19" style="13" bestFit="1" customWidth="1"/>
    <col min="8" max="8" width="12.33203125" style="13" bestFit="1" customWidth="1"/>
    <col min="9" max="9" width="21" style="13" bestFit="1" customWidth="1"/>
    <col min="10" max="10" width="11.6640625" style="13" bestFit="1" customWidth="1"/>
    <col min="11" max="11" width="21.5" style="13" bestFit="1" customWidth="1"/>
    <col min="12" max="12" width="24.5" style="13" bestFit="1" customWidth="1"/>
    <col min="13" max="13" width="19" style="13" bestFit="1" customWidth="1"/>
    <col min="14" max="14" width="2.83203125" style="13" customWidth="1"/>
    <col min="15" max="16" width="12.5" style="13" customWidth="1"/>
    <col min="17" max="17" width="2.83203125" style="13" customWidth="1"/>
    <col min="18" max="24" width="10.6640625" style="13" customWidth="1"/>
    <col min="25" max="16384" width="14.5" style="13"/>
  </cols>
  <sheetData>
    <row r="1" spans="1:16" ht="17" thickBot="1" x14ac:dyDescent="0.25">
      <c r="A1" s="32" t="s">
        <v>27</v>
      </c>
      <c r="B1" s="131"/>
      <c r="C1" s="131"/>
      <c r="D1" s="131"/>
      <c r="F1" s="43" t="s">
        <v>103</v>
      </c>
      <c r="G1" s="45" t="s">
        <v>104</v>
      </c>
      <c r="I1" s="76" t="s">
        <v>154</v>
      </c>
      <c r="J1" s="78">
        <f>IFERROR(Total_De_La_Gerencia/Total_Registros_Gerente, 0)</f>
        <v>0</v>
      </c>
      <c r="O1" s="93"/>
      <c r="P1" s="93"/>
    </row>
    <row r="2" spans="1:16" ht="17" thickBot="1" x14ac:dyDescent="0.25">
      <c r="A2" s="43" t="s">
        <v>30</v>
      </c>
      <c r="B2" s="132"/>
      <c r="C2" s="132"/>
      <c r="D2" s="132"/>
      <c r="O2" s="93"/>
      <c r="P2" s="93"/>
    </row>
    <row r="3" spans="1:16" ht="17" thickBot="1" x14ac:dyDescent="0.25">
      <c r="A3" s="43" t="s">
        <v>28</v>
      </c>
      <c r="B3" s="96">
        <f>DATE(2025,1,1) + (Numero_de_semana-1)*7 - WEEKDAY(DATE(2025,1,1),2) + 4</f>
        <v>45659</v>
      </c>
      <c r="C3" s="44" t="s">
        <v>29</v>
      </c>
      <c r="D3" s="98">
        <f>DATE(2025,1,1) + (Numero_de_semana-1)*7 - WEEKDAY(DATE(2025,1,1),2) + 11</f>
        <v>45666</v>
      </c>
      <c r="F3" s="20"/>
      <c r="G3" s="21"/>
      <c r="O3" s="93"/>
      <c r="P3" s="93"/>
    </row>
    <row r="4" spans="1:16" s="21" customFormat="1" ht="18" thickBot="1" x14ac:dyDescent="0.25">
      <c r="A4" s="87" t="s">
        <v>17</v>
      </c>
      <c r="B4" s="8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0</v>
      </c>
      <c r="C4" s="88"/>
      <c r="F4" s="89"/>
      <c r="G4" s="89"/>
      <c r="H4" s="88"/>
      <c r="I4" s="90" t="s">
        <v>16</v>
      </c>
      <c r="J4" s="91">
        <v>0</v>
      </c>
      <c r="K4" s="92"/>
      <c r="O4" s="94"/>
      <c r="P4" s="94"/>
    </row>
    <row r="5" spans="1:16" ht="17" thickBot="1" x14ac:dyDescent="0.25">
      <c r="A5" s="43" t="s">
        <v>31</v>
      </c>
      <c r="B5" s="77">
        <v>1</v>
      </c>
      <c r="C5" s="86"/>
      <c r="E5" s="18"/>
      <c r="F5" s="18" t="s">
        <v>108</v>
      </c>
      <c r="G5" s="18"/>
      <c r="H5" s="17"/>
      <c r="K5" s="23"/>
    </row>
    <row r="6" spans="1:16" ht="17" thickBot="1" x14ac:dyDescent="0.25">
      <c r="A6" s="43" t="s">
        <v>26</v>
      </c>
      <c r="B6" s="97">
        <v>45658</v>
      </c>
      <c r="C6" s="17"/>
      <c r="E6" s="18"/>
      <c r="F6" s="18"/>
      <c r="G6" s="18"/>
      <c r="H6" s="17"/>
      <c r="J6" s="23"/>
      <c r="K6" s="23"/>
    </row>
    <row r="7" spans="1:16" x14ac:dyDescent="0.2">
      <c r="E7" s="13" t="s">
        <v>108</v>
      </c>
    </row>
    <row r="8" spans="1:16" x14ac:dyDescent="0.2">
      <c r="A8" s="108" t="s">
        <v>46</v>
      </c>
      <c r="B8" s="107" t="s">
        <v>6</v>
      </c>
      <c r="C8" s="108" t="s">
        <v>18</v>
      </c>
      <c r="D8" s="108" t="s">
        <v>97</v>
      </c>
      <c r="E8" s="109" t="s">
        <v>33</v>
      </c>
      <c r="F8" s="108" t="s">
        <v>32</v>
      </c>
      <c r="G8" s="108" t="s">
        <v>52</v>
      </c>
      <c r="H8" s="108" t="s">
        <v>20</v>
      </c>
      <c r="I8" s="109" t="s">
        <v>1</v>
      </c>
      <c r="J8" s="108" t="s">
        <v>53</v>
      </c>
      <c r="K8" s="108" t="s">
        <v>7</v>
      </c>
      <c r="L8" s="108" t="s">
        <v>183</v>
      </c>
      <c r="M8" s="108" t="s">
        <v>184</v>
      </c>
    </row>
    <row r="9" spans="1:16" x14ac:dyDescent="0.2">
      <c r="A9" s="19" t="str">
        <f>_xlfn.IFNA(VLOOKUP(Nombre_Gerente,Tabla_Gerentes[],2,FALSE),"")</f>
        <v/>
      </c>
      <c r="B9" s="120"/>
      <c r="C9" s="121"/>
      <c r="D9" s="122"/>
      <c r="E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9" s="123"/>
      <c r="G9" s="123"/>
      <c r="H9" s="124"/>
      <c r="I9" s="118"/>
      <c r="J9" s="125"/>
      <c r="K9" s="123"/>
      <c r="L9" s="126"/>
      <c r="M9" s="126"/>
    </row>
    <row r="10" spans="1:16" x14ac:dyDescent="0.2">
      <c r="A10" s="114" t="s">
        <v>39</v>
      </c>
      <c r="B10" s="80"/>
      <c r="C10" s="81"/>
      <c r="D10" s="82"/>
      <c r="E10" s="83">
        <f>SUBTOTAL(109,Tabla_Gerente[COMISION])</f>
        <v>0</v>
      </c>
      <c r="F10" s="81"/>
      <c r="G10" s="81"/>
      <c r="H10" s="81"/>
      <c r="I10" s="84"/>
      <c r="J10" s="81"/>
      <c r="K10" s="81"/>
      <c r="L10" s="79"/>
      <c r="M10" s="79"/>
    </row>
    <row r="11" spans="1:16" x14ac:dyDescent="0.2">
      <c r="A11" s="25" t="s">
        <v>13</v>
      </c>
      <c r="E11" s="39">
        <f>Sueldo_Base_Gerente</f>
        <v>1000</v>
      </c>
      <c r="F11" s="15"/>
      <c r="H11" s="15"/>
      <c r="J11" s="24"/>
    </row>
    <row r="12" spans="1:16" ht="17" thickBot="1" x14ac:dyDescent="0.25">
      <c r="A12" s="33" t="s">
        <v>34</v>
      </c>
      <c r="B12" s="38">
        <f>IF(Total_Registros_Gerente &gt;= Premios!K5,
    VLOOKUP(Total_Registros_Gerente, Tabla_Premios_Gerente[], 1, TRUE),
    0
)</f>
        <v>0</v>
      </c>
      <c r="C12" s="34"/>
      <c r="D12" s="34"/>
      <c r="E12" s="73">
        <f>IF(Premio_Gerente &gt; 0, VLOOKUP(Premio_Gerente, Tabla_Premios_Gerente[], 2, FALSE), 0)</f>
        <v>0</v>
      </c>
      <c r="F12" s="15"/>
      <c r="H12" s="15"/>
      <c r="J12" s="24" t="s">
        <v>188</v>
      </c>
    </row>
    <row r="13" spans="1:16" x14ac:dyDescent="0.2">
      <c r="A13" s="25" t="s">
        <v>35</v>
      </c>
      <c r="B13" s="18"/>
      <c r="E13" s="40">
        <f>Tabla_Gerente[[#Totals],[COMISION]] + Pago_Sueldo_Base_Gerente + Pago_Premio_Gerente</f>
        <v>1000</v>
      </c>
      <c r="F13" s="15"/>
      <c r="H13" s="15"/>
      <c r="J13" s="24"/>
    </row>
    <row r="14" spans="1:16" x14ac:dyDescent="0.2">
      <c r="A14" s="27" t="s">
        <v>182</v>
      </c>
      <c r="B14" s="18"/>
      <c r="C14" s="29"/>
      <c r="E14" s="39">
        <f>_xlfn.IFNA(SUMIFS(Tabla_Descuentos[DESCUENTO], Tabla_Descuentos[COLABORADOR], Nombre_Gerente, Tabla_Descuentos[PUESTO], Puesto_Gerente), 0)</f>
        <v>0</v>
      </c>
      <c r="F14" s="15"/>
      <c r="H14" s="15"/>
      <c r="I14" s="18"/>
      <c r="K14" s="22"/>
    </row>
    <row r="15" spans="1:16" ht="17" thickBot="1" x14ac:dyDescent="0.25">
      <c r="A15" s="33" t="s">
        <v>23</v>
      </c>
      <c r="B15" s="34"/>
      <c r="C15" s="34"/>
      <c r="D15" s="34"/>
      <c r="E15" s="74">
        <f>(Pago_Subtotal_Gerente * 0.05) * -1</f>
        <v>-50</v>
      </c>
      <c r="F15" s="15"/>
      <c r="H15" s="15"/>
    </row>
    <row r="16" spans="1:16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3" t="s">
        <v>38</v>
      </c>
      <c r="B17" s="34"/>
      <c r="C17" s="49"/>
      <c r="D17" s="49"/>
      <c r="E17" s="75">
        <f>Pago_Subtotal_Gerente + Descuento_Gerente + Deduccion_Gerente</f>
        <v>950</v>
      </c>
      <c r="F17" s="15"/>
    </row>
    <row r="18" spans="1:9" x14ac:dyDescent="0.2">
      <c r="A18" s="25"/>
      <c r="C18" s="54"/>
      <c r="D18" s="16"/>
      <c r="E18" s="16"/>
      <c r="F18" s="15"/>
    </row>
    <row r="19" spans="1:9" x14ac:dyDescent="0.2">
      <c r="C19" s="29"/>
      <c r="D19" s="28"/>
      <c r="E19" s="26"/>
      <c r="F19" s="26"/>
    </row>
    <row r="20" spans="1:9" ht="17" thickBot="1" x14ac:dyDescent="0.25">
      <c r="D20" s="37" t="s">
        <v>24</v>
      </c>
      <c r="E20" s="129" t="str" cm="1">
        <f t="array" ref="E20">NumeroATexto(Pago_Neto_Gerente)</f>
        <v>NOVECIENTOS CINCUENTA PESOS 00/100</v>
      </c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D23" s="33" t="s">
        <v>25</v>
      </c>
      <c r="E23" s="130"/>
      <c r="F23" s="130"/>
      <c r="G23" s="130"/>
      <c r="H23" s="130"/>
      <c r="I23" s="130"/>
    </row>
  </sheetData>
  <sheetProtection formatCells="0" formatColumns="0" formatRows="0" insertColumns="0" insertRows="0" insertHyperlinks="0" deleteColumns="0" deleteRows="0" sort="0" autoFilter="0"/>
  <mergeCells count="4">
    <mergeCell ref="E23:I23"/>
    <mergeCell ref="B1:D1"/>
    <mergeCell ref="B2:D2"/>
    <mergeCell ref="E20:I20"/>
  </mergeCells>
  <phoneticPr fontId="8" type="noConversion"/>
  <conditionalFormatting sqref="E9">
    <cfRule type="cellIs" dxfId="7" priority="11" operator="equal">
      <formula>0</formula>
    </cfRule>
  </conditionalFormatting>
  <conditionalFormatting sqref="H9">
    <cfRule type="cellIs" dxfId="6" priority="2" operator="equal">
      <formula>505</formula>
    </cfRule>
    <cfRule type="cellIs" dxfId="5" priority="5" operator="equal">
      <formula>501</formula>
    </cfRule>
    <cfRule type="containsBlanks" dxfId="4" priority="20">
      <formula>LEN(TRIM(H9))=0</formula>
    </cfRule>
  </conditionalFormatting>
  <conditionalFormatting sqref="I9">
    <cfRule type="cellIs" dxfId="3" priority="1" operator="lessThan">
      <formula>299</formula>
    </cfRule>
  </conditionalFormatting>
  <conditionalFormatting sqref="A9:B9 D9:M9">
    <cfRule type="expression" dxfId="2" priority="3021">
      <formula>$H9 = 503</formula>
    </cfRule>
  </conditionalFormatting>
  <conditionalFormatting sqref="C9">
    <cfRule type="expression" dxfId="1" priority="3227" stopIfTrue="1">
      <formula>$H9 = 503</formula>
    </cfRule>
  </conditionalFormatting>
  <conditionalFormatting sqref="C9">
    <cfRule type="duplicateValues" dxfId="0" priority="3400"/>
  </conditionalFormatting>
  <dataValidations count="10">
    <dataValidation type="date" errorStyle="warning" operator="greaterThan" allowBlank="1" showInputMessage="1" showErrorMessage="1" errorTitle="Fecha previa al periodo" error="La Fecha de Expediciond de la nomina es menor que el periodo seleccionado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showInputMessage="1" showErrorMessage="1" sqref="F9" xr:uid="{2077F9E4-A8C1-432D-9C47-2CA7B799A19A}">
      <formula1>Nombres_Planteles</formula1>
    </dataValidation>
    <dataValidation type="custom" allowBlank="1" showInputMessage="1" showErrorMessage="1" sqref="H9" xr:uid="{8FB231F2-0366-4A1F-88BC-7081A2D30338}">
      <formula1>H9&lt;&gt;500</formula1>
    </dataValidation>
    <dataValidation type="list" allowBlank="1" showInputMessage="1" showErrorMessage="1" sqref="G9" xr:uid="{FF4CD4D8-D6D0-5844-BCA0-2EB11EB5155F}">
      <formula1>Cursos</formula1>
    </dataValidation>
    <dataValidation type="list" showInputMessage="1" showErrorMessage="1" sqref="B9" xr:uid="{B11C5B97-822A-4ACE-8B21-BF74863453FD}">
      <formula1>Coordinadores_Activos</formula1>
    </dataValidation>
    <dataValidation type="list" allowBlank="1" showInputMessage="1" showErrorMessage="1" sqref="L9" xr:uid="{B14DE65F-DA6F-1543-8299-1F7AA13B1CCD}">
      <formula1>Nombres_Planteles</formula1>
    </dataValidation>
    <dataValidation type="list" showInputMessage="1" showErrorMessage="1" sqref="A9" xr:uid="{9EB656E2-D4E1-244E-B8F5-4156E978509D}">
      <formula1>Alias_Gerentes</formula1>
    </dataValidation>
    <dataValidation type="date" errorStyle="warning" allowBlank="1" showInputMessage="1" showErrorMessage="1" errorTitle="Fecha o Formato incorrecto" error="La fecha o el formato ingresado es incorrecto. (E.g. dd-mm-yyy)" sqref="J9" xr:uid="{0D936490-FAE7-0C4E-AC71-3516F0C3AC67}">
      <formula1>Periodo_de_pago_inicial</formula1>
      <formula2>Periodo_de_pago_final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14</xdr:col>
                    <xdr:colOff>152400</xdr:colOff>
                    <xdr:row>0</xdr:row>
                    <xdr:rowOff>63500</xdr:rowOff>
                  </from>
                  <to>
                    <xdr:col>15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57</vt:i4>
      </vt:variant>
    </vt:vector>
  </HeadingPairs>
  <TitlesOfParts>
    <vt:vector size="67" baseType="lpstr">
      <vt:lpstr>Premios</vt:lpstr>
      <vt:lpstr>Tabuladores</vt:lpstr>
      <vt:lpstr>Colaboradores</vt:lpstr>
      <vt:lpstr>Planteles</vt:lpstr>
      <vt:lpstr>Cursos</vt:lpstr>
      <vt:lpstr>Resultados</vt:lpstr>
      <vt:lpstr>Dashboard</vt:lpstr>
      <vt:lpstr>Coordinadores</vt:lpstr>
      <vt:lpstr>Promotores</vt:lpstr>
      <vt:lpstr>RAMON TALA</vt:lpstr>
      <vt:lpstr>Alias_Coordinadores</vt:lpstr>
      <vt:lpstr>Alias_Gerentes</vt:lpstr>
      <vt:lpstr>Alias_Lookup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Cursos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Planteles!Nombres_Planteles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Premio_Coordinador</vt:lpstr>
      <vt:lpstr>Premio_Gerente</vt:lpstr>
      <vt:lpstr>Premio_Promotor</vt:lpstr>
      <vt:lpstr>Puesto_Coordinador</vt:lpstr>
      <vt:lpstr>Puesto_Gerente</vt:lpstr>
      <vt:lpstr>Puesto_Promotor</vt:lpstr>
      <vt:lpstr>Puestos</vt:lpstr>
      <vt:lpstr>Razon_Social</vt:lpstr>
      <vt:lpstr>Planteles!Razones_Sociales</vt:lpstr>
      <vt:lpstr>Razones_Sociales</vt:lpstr>
      <vt:lpstr>Sueldo_Base_Coordinador</vt:lpstr>
      <vt:lpstr>Sueldo_Base_Gerente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2025-04-20T05:09:49Z</dcterms:modified>
</cp:coreProperties>
</file>