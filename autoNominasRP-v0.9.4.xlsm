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 codeName="{6A26FB3C-EA34-E94E-B44F-155022A03E1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juanpablogarciamurillo/Code/Excel CorpW/Excel File/"/>
    </mc:Choice>
  </mc:AlternateContent>
  <xr:revisionPtr revIDLastSave="0" documentId="13_ncr:1_{47ED7C41-8A24-174F-8125-89DB19857970}" xr6:coauthVersionLast="47" xr6:coauthVersionMax="47" xr10:uidLastSave="{00000000-0000-0000-0000-000000000000}"/>
  <bookViews>
    <workbookView xWindow="44540" yWindow="5500" windowWidth="45860" windowHeight="28300" tabRatio="926" activeTab="9" xr2:uid="{00000000-000D-0000-FFFF-FFFF00000000}"/>
  </bookViews>
  <sheets>
    <sheet name="Premios" sheetId="3" state="hidden" r:id="rId1"/>
    <sheet name="Tabuladores" sheetId="1" state="hidden" r:id="rId2"/>
    <sheet name="Colaboradores" sheetId="11" state="hidden" r:id="rId3"/>
    <sheet name="Planteles" sheetId="492" state="hidden" r:id="rId4"/>
    <sheet name="Cursos" sheetId="443" state="hidden" r:id="rId5"/>
    <sheet name="Resultados" sheetId="464" r:id="rId6"/>
    <sheet name="Dashboard" sheetId="396" r:id="rId7"/>
    <sheet name="Coordinadores" sheetId="7" state="hidden" r:id="rId8"/>
    <sheet name="Promotores" sheetId="8" state="hidden" r:id="rId9"/>
    <sheet name="GERENTE" sheetId="5" r:id="rId10"/>
  </sheets>
  <functionGroups builtInGroupCount="19"/>
  <externalReferences>
    <externalReference r:id="rId11"/>
  </externalReferences>
  <definedNames>
    <definedName name="_xlnm._FilterDatabase" localSheetId="9" hidden="1">GERENTE!$A$7:$L$7</definedName>
    <definedName name="Alias_Coordinadores">Tabla_Coordinadores[ALIAS]</definedName>
    <definedName name="Alias_Gerentes">Tabla_Gerentes[ALIAS]</definedName>
    <definedName name="Alias_Lookup">Tabla_Promotores[[ALIAS]:[COORDINACION]]</definedName>
    <definedName name="Alias_Promotores">Tabla_Promotores[ALIAS]</definedName>
    <definedName name="Cantidad_Con_Letra_Coordinador">Coordinadores!$D$20</definedName>
    <definedName name="Cantidad_Con_Letra_Gerente">GERENTE!$E$20</definedName>
    <definedName name="Cantidad_Con_Letra_Promotor">Promotores!$D$19</definedName>
    <definedName name="Coordinadores_Activos">Tabla_Coordinadores_Gerencia_Activa[COORDINADOR]</definedName>
    <definedName name="Cursos">Tabla_Cursos[CURSOS]</definedName>
    <definedName name="Deduccion_Coordinador">Coordinadores!$D$16</definedName>
    <definedName name="Deduccion_Gerente">GERENTE!$E$15</definedName>
    <definedName name="Descuento_Coordinador">Coordinadores!$D$15</definedName>
    <definedName name="Descuento_Gerente">GERENTE!$E$14</definedName>
    <definedName name="Descuento_Promotor">Promotores!$D$15</definedName>
    <definedName name="Fecha_de_expedicion">GERENTE!$B$6</definedName>
    <definedName name="FilteredPromotores">OFFSET([1]Sheet1!$Z$9, 0, 0, COUNTA([1]Sheet1!$Z:$Z), 1)</definedName>
    <definedName name="Gerencia_de_Coordinadores">Tabla_Coordinadores[GERENCIA]</definedName>
    <definedName name="Nombre_Coordinador">Coordinadores!$B$1</definedName>
    <definedName name="Nombre_Gerente">GERENTE!$B$1</definedName>
    <definedName name="Nombre_Promotor">Promotores!$B$1</definedName>
    <definedName name="Nombres_Coordinadores">Tabla_Coordinadores[NOMBRE]</definedName>
    <definedName name="Nombres_Gerentes">Tabla_Gerentes[NOMBRE]</definedName>
    <definedName name="Nombres_Planteles" localSheetId="3">Tabla_Planteles[NOMBRE]</definedName>
    <definedName name="Nombres_Planteles">Tabla_Planteles[NOMBRE]</definedName>
    <definedName name="Nombres_Promotores">Tabla_Promotores[NOMBRE]</definedName>
    <definedName name="Numero_de_semana">GERENTE!$B$5</definedName>
    <definedName name="Pago_Neto_Coordinador">Coordinadores!$D$18</definedName>
    <definedName name="Pago_Neto_Gerente">GERENTE!$E$17</definedName>
    <definedName name="Pago_Neto_Promotor">Promotores!$D$17</definedName>
    <definedName name="Pago_Premio_Coordinador">Coordinadores!$D$13</definedName>
    <definedName name="Pago_Premio_Gerente">GERENTE!$E$12</definedName>
    <definedName name="Pago_Premio_Promotor">Promotores!$D$13</definedName>
    <definedName name="Pago_Subtotal_Coordinador">Coordinadores!$D$14</definedName>
    <definedName name="Pago_Subtotal_Gerente">GERENTE!$E$13</definedName>
    <definedName name="Pago_Subtotal_Promotor">Promotores!$D$14</definedName>
    <definedName name="Pago_Sueldo_Base_Coordinador">Coordinadores!$D$12</definedName>
    <definedName name="Pago_Sueldo_Base_Gerente">GERENTE!$E$11</definedName>
    <definedName name="Pago_Sueldo_Base_Promotor">Promotores!$D$12</definedName>
    <definedName name="Periodo_de_pago_final">GERENTE!$D$3</definedName>
    <definedName name="Periodo_De_Pago_Final_Gerente">GERENTE!$D$3</definedName>
    <definedName name="Periodo_de_pago_inicial">GERENTE!$B$3</definedName>
    <definedName name="Periodo_De_Pago_Inicial_Gerente">GERENTE!$B$3</definedName>
    <definedName name="Premio_Coordinador">Coordinadores!$B$13</definedName>
    <definedName name="Premio_Gerente">GERENTE!$B$12</definedName>
    <definedName name="Premio_Promotor">Promotores!$B$13</definedName>
    <definedName name="Promotores_Activos">#REF!</definedName>
    <definedName name="Puesto_Coordinador">Coordinadores!$G$1</definedName>
    <definedName name="Puesto_Gerente">GERENTE!$G$1</definedName>
    <definedName name="Puesto_Promotor">Promotores!$G$1</definedName>
    <definedName name="Puestos">Tabla_Sueldo_Base_Por_Puesto[PUESTO]</definedName>
    <definedName name="Razon_Social">GERENTE!$B$2</definedName>
    <definedName name="Razones_Sociales" localSheetId="3">Tabla_Razones_Sociales[RAZON SOCIAL]</definedName>
    <definedName name="Razones_Sociales">Tabla_Razones_Sociales[RAZON SOCIAL]</definedName>
    <definedName name="Sueldo_Base_Coordinador">Tabuladores!$M$5</definedName>
    <definedName name="Sueldo_Base_Gerente">Tabuladores!$M$4</definedName>
    <definedName name="Total_De_La_Gerencia">GERENTE!$J$4</definedName>
    <definedName name="Total_Registros_Coordinador">Coordinadores!$B$4</definedName>
    <definedName name="Total_Registros_Gerente">GERENTE!$B$4</definedName>
    <definedName name="Total_Registros_Promotor">Promotores!$B$4</definedName>
  </definedNames>
  <calcPr calcId="191029"/>
  <pivotCaches>
    <pivotCache cacheId="1182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5" l="1"/>
  <c r="B4" i="5" a="1"/>
  <c r="B4" i="5" s="1"/>
  <c r="B4" i="8" l="1"/>
  <c r="E14" i="5"/>
  <c r="D15" i="7" l="1"/>
  <c r="B4" i="7" a="1"/>
  <c r="B4" i="7" s="1"/>
  <c r="D9" i="8"/>
  <c r="H9" i="8"/>
  <c r="E9" i="5" l="1"/>
  <c r="J1" i="5"/>
  <c r="H9" i="7"/>
  <c r="D9" i="7" s="1"/>
  <c r="B3" i="5"/>
  <c r="D3" i="5"/>
  <c r="E11" i="5"/>
  <c r="D15" i="8"/>
  <c r="D12" i="8"/>
  <c r="D10" i="8"/>
  <c r="B5" i="8"/>
  <c r="B13" i="8"/>
  <c r="D13" i="8" s="1"/>
  <c r="D12" i="7"/>
  <c r="B5" i="7"/>
  <c r="B13" i="7"/>
  <c r="D13" i="7" s="1"/>
  <c r="S4" i="1"/>
  <c r="B17" i="3"/>
  <c r="B16" i="3"/>
  <c r="B15" i="3"/>
  <c r="B14" i="3"/>
  <c r="B13" i="3"/>
  <c r="E10" i="5" l="1"/>
  <c r="D10" i="7"/>
  <c r="D14" i="7" s="1"/>
  <c r="D14" i="8"/>
  <c r="D17" i="8" s="1"/>
  <c r="B12" i="5"/>
  <c r="E12" i="5" s="1"/>
  <c r="J1" i="8"/>
  <c r="J1" i="7"/>
  <c r="D20" i="8" a="1"/>
  <c r="D20" i="8" l="1"/>
  <c r="E13" i="5"/>
  <c r="D16" i="7"/>
  <c r="D18" i="7" s="1"/>
  <c r="D21" i="7" a="1"/>
  <c r="D21" i="7" l="1"/>
  <c r="E15" i="5"/>
  <c r="E17" i="5" s="1"/>
  <c r="E20" i="5" a="1"/>
  <c r="E20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<sst xmlns="http://schemas.openxmlformats.org/spreadsheetml/2006/main" count="565" uniqueCount="247">
  <si>
    <t>PROMOTORES</t>
  </si>
  <si>
    <t>PAGO</t>
  </si>
  <si>
    <t xml:space="preserve">REGISTROS </t>
  </si>
  <si>
    <t>GERENTES</t>
  </si>
  <si>
    <t xml:space="preserve">TOTAL DE LA GERENCIA </t>
  </si>
  <si>
    <t>REGISTROS</t>
  </si>
  <si>
    <t>COORDINADOR</t>
  </si>
  <si>
    <t>PROMOTOR</t>
  </si>
  <si>
    <t>Promotor</t>
  </si>
  <si>
    <t>COORDINADORES</t>
  </si>
  <si>
    <t>15</t>
  </si>
  <si>
    <t>30</t>
  </si>
  <si>
    <t>40</t>
  </si>
  <si>
    <t>SUELDO BASE</t>
  </si>
  <si>
    <t>Coordinador</t>
  </si>
  <si>
    <t>Gerente</t>
  </si>
  <si>
    <t>TOTAL DE LA GERENCIA</t>
  </si>
  <si>
    <t>TOTAL DE REGISTROS:</t>
  </si>
  <si>
    <t>CREDENCIAL</t>
  </si>
  <si>
    <t xml:space="preserve">NOMBRE DEL ALUMNO </t>
  </si>
  <si>
    <t>GRUPO</t>
  </si>
  <si>
    <t xml:space="preserve">TS PLANTEL </t>
  </si>
  <si>
    <t xml:space="preserve">TS CREDENCIAL </t>
  </si>
  <si>
    <t>DEDUCCION</t>
  </si>
  <si>
    <t>CANTIDAD CON LETRA:</t>
  </si>
  <si>
    <t>NOMBRE Y FIRMA:</t>
  </si>
  <si>
    <t>FECHA DE EXPEDICION:</t>
  </si>
  <si>
    <t>EMPLEADO</t>
  </si>
  <si>
    <t>PERIODO DEL PAGO DEL</t>
  </si>
  <si>
    <t>AL</t>
  </si>
  <si>
    <t>RAZON SOCIAL</t>
  </si>
  <si>
    <t>NUMERO DE SEMANA</t>
  </si>
  <si>
    <t>PLANTEL</t>
  </si>
  <si>
    <t>COMISION</t>
  </si>
  <si>
    <t>PREMIO</t>
  </si>
  <si>
    <t>SUBTOTAL</t>
  </si>
  <si>
    <t>AWL LEON</t>
  </si>
  <si>
    <t>TOTAL DE LA COORDINACION</t>
  </si>
  <si>
    <t>PAGO NETO</t>
  </si>
  <si>
    <t>TOTAL COMISION</t>
  </si>
  <si>
    <t>INSCRIPCION</t>
  </si>
  <si>
    <t>MIN</t>
  </si>
  <si>
    <t>MAX</t>
  </si>
  <si>
    <t>TOTAL GERENCIA</t>
  </si>
  <si>
    <t>COLUMNA</t>
  </si>
  <si>
    <t>13</t>
  </si>
  <si>
    <t>0</t>
  </si>
  <si>
    <t>TOTAL REGISTROS GERENCIA</t>
  </si>
  <si>
    <t>Coordinadores</t>
  </si>
  <si>
    <t>Gerentes</t>
  </si>
  <si>
    <t>Promotores</t>
  </si>
  <si>
    <t>&gt;</t>
  </si>
  <si>
    <t>CURSO</t>
  </si>
  <si>
    <t>FECHA</t>
  </si>
  <si>
    <t>JOSUE SIERRA</t>
  </si>
  <si>
    <t>JONATHAN MARTINEZ</t>
  </si>
  <si>
    <t>BETZANIA MUÑOZ</t>
  </si>
  <si>
    <t>FERNANDO VILLALVAZO</t>
  </si>
  <si>
    <t>EVELYN VELAZQUEZ</t>
  </si>
  <si>
    <t>MICHELLE APARICIO</t>
  </si>
  <si>
    <t>FRIDA RIVERA</t>
  </si>
  <si>
    <t>MIRIAM TADEO</t>
  </si>
  <si>
    <t>DAVID HERNANDEZ</t>
  </si>
  <si>
    <t>MARIANA SANCHEZ</t>
  </si>
  <si>
    <t>ISAAC GARCIA</t>
  </si>
  <si>
    <t>JOSUE ALVAREZ</t>
  </si>
  <si>
    <t>FERNANDO VILLALVAZO HINOJOSA</t>
  </si>
  <si>
    <t>DIANA MICHELLE APARICIO PÉREZ</t>
  </si>
  <si>
    <t>JOSUE OMAR ALVAREZ MATA</t>
  </si>
  <si>
    <t>GERARDO ISAAC GARCIA DE LA CRUZ</t>
  </si>
  <si>
    <t xml:space="preserve">YANELY HERNADEZ VEGA </t>
  </si>
  <si>
    <t>DAVID EMILIANO HERNANDEZ GARCIA</t>
  </si>
  <si>
    <t>BRYAN JATHZIEL CAMPOS VALENCIA</t>
  </si>
  <si>
    <t>JOSUE OSVALDO SIORDIA SIERRA</t>
  </si>
  <si>
    <t>MARIANA GUTIERREZ SANCHEZ</t>
  </si>
  <si>
    <t>JORGE ALBERTO RODRIGUEZ TORRES</t>
  </si>
  <si>
    <t>MIRIAM SARAHI TADEO SANCHEZ</t>
  </si>
  <si>
    <t>JOSE GABRIEL FERNÁNDEZ GOCHE</t>
  </si>
  <si>
    <t>FRIDA BERENICE CHACON RIVERA</t>
  </si>
  <si>
    <t>YADIRA HERNANDEZ VEGA</t>
  </si>
  <si>
    <t>EVELYN CAROLINA VELAZQUEZ RAMOS</t>
  </si>
  <si>
    <t>MINA CAREY APARICIO PÉREZ</t>
  </si>
  <si>
    <t>DANIELA ALEJANDRA MARTINEZ LOZANO</t>
  </si>
  <si>
    <t>BETZANIA GUADALUPE MUÑOZ MARQUEZ</t>
  </si>
  <si>
    <t>ANA FERNANADA ORNELAS DEL REAL</t>
  </si>
  <si>
    <t>JONATHAN FRANCISCO LOPEZ MARTINEZ</t>
  </si>
  <si>
    <t>NOMBRE</t>
  </si>
  <si>
    <t>ALIAS</t>
  </si>
  <si>
    <t>GERENCIA</t>
  </si>
  <si>
    <t>COORDINACION</t>
  </si>
  <si>
    <t>YANELY HERNADEZ</t>
  </si>
  <si>
    <t>JOSE FERNÁNDEZ</t>
  </si>
  <si>
    <t>BRYAN CAMPOS</t>
  </si>
  <si>
    <t>JORGE RODRIGUEZ</t>
  </si>
  <si>
    <t>MINA APARICIO</t>
  </si>
  <si>
    <t>YADIRA VEGA</t>
  </si>
  <si>
    <t>DANIELA LOZANO</t>
  </si>
  <si>
    <t>NOMBRE DEL ALUMNO</t>
  </si>
  <si>
    <t>JOSUE ALVAREZ (P)</t>
  </si>
  <si>
    <t>MICHELLE APARICIO (P)</t>
  </si>
  <si>
    <t>YANELY HERNADEZ (P)</t>
  </si>
  <si>
    <t>ISAAC GARCIA (P)</t>
  </si>
  <si>
    <t>FERNANDO VILLALVAZO (P)</t>
  </si>
  <si>
    <t>PUESTO</t>
  </si>
  <si>
    <t>GERENTE</t>
  </si>
  <si>
    <t>Sueldos Base</t>
  </si>
  <si>
    <t>COLABORADOR</t>
  </si>
  <si>
    <t>DESCUENTO</t>
  </si>
  <si>
    <t xml:space="preserve"> </t>
  </si>
  <si>
    <t>CONCEPTO</t>
  </si>
  <si>
    <t>PAGO SUELDOS BASE COORDINACION</t>
  </si>
  <si>
    <t>ENRIQUE OJEDA</t>
  </si>
  <si>
    <t>HUGO PACHECO</t>
  </si>
  <si>
    <t>DAMIAN BRAVO</t>
  </si>
  <si>
    <t>EFRAIN CORTES</t>
  </si>
  <si>
    <t>PEDRO MORA HERNANDEZ</t>
  </si>
  <si>
    <t>PEDRO MORA</t>
  </si>
  <si>
    <t>OLIVIA PACHECO GUTIERREZ</t>
  </si>
  <si>
    <t>OLIVIA PACHECO</t>
  </si>
  <si>
    <t xml:space="preserve">MARIANA PACHECO GUTIERREZ </t>
  </si>
  <si>
    <t>MARIANA PACHECO</t>
  </si>
  <si>
    <t>OLIVIA PACHECO (P)</t>
  </si>
  <si>
    <t>MARIANA PACHECO (P)</t>
  </si>
  <si>
    <t>PEDRO MORA (P)</t>
  </si>
  <si>
    <t>JUAN ENRIQUE OJEDA RAZO</t>
  </si>
  <si>
    <t>HUGO PACHECO GUTIERREZ</t>
  </si>
  <si>
    <t>DAMIAN BRAVO GUERRERO</t>
  </si>
  <si>
    <t>EFRAIN CORTES RANGEL</t>
  </si>
  <si>
    <t>EUNICE RAMOS MORALES</t>
  </si>
  <si>
    <t>LIZBETH RAMOS MORALES</t>
  </si>
  <si>
    <t xml:space="preserve">FATIMA HERNANDEZ </t>
  </si>
  <si>
    <t xml:space="preserve">MIGUEL RODRIGUEZ </t>
  </si>
  <si>
    <t>MIGUEL RODRIGUEZ</t>
  </si>
  <si>
    <t>FATIMA HERNANDEZ</t>
  </si>
  <si>
    <t xml:space="preserve">RAMON MORENO ESQUIVEL </t>
  </si>
  <si>
    <t>RAMON TALA</t>
  </si>
  <si>
    <t>VERONICA CHAVEZ</t>
  </si>
  <si>
    <t>RAMON MORENO ESQUIVEL</t>
  </si>
  <si>
    <t>DANIELA MURILLO DE ANDA</t>
  </si>
  <si>
    <t>DANIELA MURILLO</t>
  </si>
  <si>
    <t>RAMON TALA (P)</t>
  </si>
  <si>
    <t>VERONICA CHAVEZ (P)</t>
  </si>
  <si>
    <t>DANIELA MURILLO (P)</t>
  </si>
  <si>
    <t>MICHELLE ANSELXO</t>
  </si>
  <si>
    <t>JOSE NAVARRO</t>
  </si>
  <si>
    <t>JORGE ORTEGA</t>
  </si>
  <si>
    <t>DANIELA JAUREGUI</t>
  </si>
  <si>
    <t>ABRIL LOPEZ</t>
  </si>
  <si>
    <t>ANDREA ESQUEDA</t>
  </si>
  <si>
    <t>JANETH CORONA</t>
  </si>
  <si>
    <t>IRVING ARAUJO</t>
  </si>
  <si>
    <t>GUIDO MURILLO</t>
  </si>
  <si>
    <t>JORGE GARCIA ESTRADA</t>
  </si>
  <si>
    <t>JORGE GARCIA</t>
  </si>
  <si>
    <t>COSTO POR REGISTRO</t>
  </si>
  <si>
    <t>ANTONIO ORTEGA</t>
  </si>
  <si>
    <t>ARNULFO MACIAS</t>
  </si>
  <si>
    <t>JUAN ESTRADA</t>
  </si>
  <si>
    <t>VERONICA CHAVEZ ACOSTA</t>
  </si>
  <si>
    <t>ALEXA MICHELLE ANZALDO MEZA</t>
  </si>
  <si>
    <t>ALEXA ANZALDO</t>
  </si>
  <si>
    <t>JOSE ALFONSO NAVARRO CUEVAS</t>
  </si>
  <si>
    <t>JOSE ANTONIO ORTEGA HARO</t>
  </si>
  <si>
    <t>JORGE ARTURO ORTEGA HARO</t>
  </si>
  <si>
    <t>DANIELA MONSERRAT JÁUREGUI NEAVE</t>
  </si>
  <si>
    <t>MARTHA PATRICIA LOPEZ JIMENEZ</t>
  </si>
  <si>
    <t>MARTHA LOPEZ</t>
  </si>
  <si>
    <t>ANDREA PRISCILIA ESQUEDA ALANIZ</t>
  </si>
  <si>
    <t>JANETH CORONA AGUILAR</t>
  </si>
  <si>
    <t>ARNULFO ADAIR MACIAS CABRAL</t>
  </si>
  <si>
    <t>IRVING GILBERTO ARAUJO RAMIREZ</t>
  </si>
  <si>
    <t>GUIDO RENE MURILLO CORDOVA</t>
  </si>
  <si>
    <t>JUAN PABLO ESTRADA SANTIAGO</t>
  </si>
  <si>
    <t>FERNANDA ORNELAS</t>
  </si>
  <si>
    <t>RAMON TALA (C)</t>
  </si>
  <si>
    <t>FERNANDO VILLALVAZO (C)</t>
  </si>
  <si>
    <t>PEDRO MORA (C)</t>
  </si>
  <si>
    <t>EUNICE MORALES</t>
  </si>
  <si>
    <t>YANISSE TORRES</t>
  </si>
  <si>
    <t>PEDRO GUTIERREZ</t>
  </si>
  <si>
    <t>LIZBETH MORALES</t>
  </si>
  <si>
    <t>PEDRO MORA GUTIERREZ</t>
  </si>
  <si>
    <t>AJUSTES</t>
  </si>
  <si>
    <t>TS PLANTEL</t>
  </si>
  <si>
    <t>TS CREDENCIAL</t>
  </si>
  <si>
    <t>Ajustes</t>
  </si>
  <si>
    <t>Tablas de apoyo</t>
  </si>
  <si>
    <t>Grand Total</t>
  </si>
  <si>
    <t>.</t>
  </si>
  <si>
    <t>Ventas por Coordinacion</t>
  </si>
  <si>
    <t>Ventas de Coordiacion por Plantel</t>
  </si>
  <si>
    <t>Ventas Por Plantel</t>
  </si>
  <si>
    <t>Ventas por Curso</t>
  </si>
  <si>
    <t>TECNOLOGIA EN ACCION SC</t>
  </si>
  <si>
    <t>Cursos</t>
  </si>
  <si>
    <t>INGLES</t>
  </si>
  <si>
    <t>UNIVERSIDAD</t>
  </si>
  <si>
    <t>SECUNDARIA</t>
  </si>
  <si>
    <t>COLBACH</t>
  </si>
  <si>
    <t>EXCEL</t>
  </si>
  <si>
    <t>EXU</t>
  </si>
  <si>
    <t>PREPA</t>
  </si>
  <si>
    <t>EXU LINEA</t>
  </si>
  <si>
    <t>MARKETING</t>
  </si>
  <si>
    <t>INICIO</t>
  </si>
  <si>
    <t>INGLES AVANZADO</t>
  </si>
  <si>
    <t>CURSOS</t>
  </si>
  <si>
    <t>Ventas por Promotor</t>
  </si>
  <si>
    <t>Resultados</t>
  </si>
  <si>
    <t>Ventas por Plantel</t>
  </si>
  <si>
    <t>Ventas por Plantel por Curso</t>
  </si>
  <si>
    <t>Ventas de Cursos por Plantel</t>
  </si>
  <si>
    <t>Ventas de Coordinacion por Plantel</t>
  </si>
  <si>
    <t>Ventas por Gerente</t>
  </si>
  <si>
    <t>INGLES KIDS</t>
  </si>
  <si>
    <t>CONTABILIDAD</t>
  </si>
  <si>
    <t>COMPUTACION</t>
  </si>
  <si>
    <t>INGLES KINDER</t>
  </si>
  <si>
    <t>REP DE CELULARES</t>
  </si>
  <si>
    <t>INGLES TEENS</t>
  </si>
  <si>
    <t>CENTRO DE EDUCACION DE CALIDAD TOTAL SC</t>
  </si>
  <si>
    <t>VIRTUAL</t>
  </si>
  <si>
    <t>VANGUARDIA EN EDUCACION E INFORMATICA SC</t>
  </si>
  <si>
    <t>UI PARIAN</t>
  </si>
  <si>
    <t>UI MARIANO OTERO</t>
  </si>
  <si>
    <t>UI 16 DE SEPTIEMBRE</t>
  </si>
  <si>
    <t>CENTRO EDUCATIVO Y MEDIOS ACADEMICOS SC</t>
  </si>
  <si>
    <t>UDN TONALA</t>
  </si>
  <si>
    <t>UDN TLAQUEPAQUE</t>
  </si>
  <si>
    <t>EDUCACION ACADEMICA Y VANGUARDISTA SC</t>
  </si>
  <si>
    <t>TRANSITO</t>
  </si>
  <si>
    <t>ONLINE</t>
  </si>
  <si>
    <t>OBLATOS</t>
  </si>
  <si>
    <t>INDEPENDENCIA</t>
  </si>
  <si>
    <t>CENTRO TECNOLOGICO Y LENGUAS EXTRANJERAS</t>
  </si>
  <si>
    <t>AWL TONALA</t>
  </si>
  <si>
    <t>AWL TLAQUEPAQUE</t>
  </si>
  <si>
    <t>Razones Sociales</t>
  </si>
  <si>
    <t>Planteles</t>
  </si>
  <si>
    <t>AUX DE ENFERMERIA</t>
  </si>
  <si>
    <t>PARAMEDICO</t>
  </si>
  <si>
    <t>PRIMARIA</t>
  </si>
  <si>
    <t>GERIATRIA</t>
  </si>
  <si>
    <t>DERECHO FISCAL</t>
  </si>
  <si>
    <t>PREPA INTENSIVA</t>
  </si>
  <si>
    <t>INGLES INTENSIVO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</si>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</sst>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&quot;$&quot;#,##0;[Red]\-&quot;$&quot;#,##0"/>
    <numFmt numFmtId="165" formatCode="_-&quot;$&quot;* #,##0.00_-;\-&quot;$&quot;* #,##0.00_-;_-&quot;$&quot;* &quot;-&quot;??_-;_-@_-"/>
    <numFmt numFmtId="166" formatCode="_-&quot;$&quot;* #,##0.00_-;\-&quot;$&quot;* #,##0.00_-;_-&quot;$&quot;* &quot;-&quot;??_-;_-@"/>
    <numFmt numFmtId="167" formatCode="_-[$$-80A]* #,##0.00_-;\-[$$-80A]* #,##0.00_-;_-[$$-80A]* &quot;-&quot;??_-;_-@"/>
    <numFmt numFmtId="168" formatCode="[$-1540A]dd\-mmm\-yy"/>
    <numFmt numFmtId="169" formatCode="[$-F800]dddd\,\ mmmm\ dd\,\ yyyy"/>
    <numFmt numFmtId="170" formatCode="[$]dddd\,\ d\ mmmm\ yyyy;@" x16r2:formatCode16="[$-en-MX,1]dddd\,\ d\ mmmm\ yyyy;@"/>
  </numFmts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8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1"/>
      </bottom>
      <diagonal/>
    </border>
  </borders>
  <cellStyleXfs count="4">
    <xf numFmtId="0" fontId="0" fillId="0" borderId="0"/>
    <xf numFmtId="165" fontId="3" fillId="0" borderId="0" applyFont="0" applyFill="0" applyBorder="0" applyAlignment="0" applyProtection="0"/>
    <xf numFmtId="0" fontId="9" fillId="0" borderId="4" applyNumberFormat="0" applyFill="0" applyAlignment="0" applyProtection="0"/>
    <xf numFmtId="0" fontId="16" fillId="0" borderId="5" applyNumberFormat="0" applyFill="0" applyAlignment="0" applyProtection="0"/>
  </cellStyleXfs>
  <cellXfs count="134">
    <xf numFmtId="0" fontId="0" fillId="0" borderId="0" xfId="0"/>
    <xf numFmtId="0" fontId="4" fillId="0" borderId="0" xfId="0" applyFont="1"/>
    <xf numFmtId="165" fontId="4" fillId="0" borderId="0" xfId="1" applyFont="1" applyFill="1" applyBorder="1"/>
    <xf numFmtId="165" fontId="5" fillId="0" borderId="0" xfId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165" fontId="4" fillId="0" borderId="0" xfId="1" applyFont="1" applyFill="1" applyBorder="1" applyAlignment="1"/>
    <xf numFmtId="0" fontId="5" fillId="0" borderId="0" xfId="0" applyFont="1"/>
    <xf numFmtId="0" fontId="5" fillId="0" borderId="0" xfId="0" applyFont="1" applyAlignment="1">
      <alignment vertical="center"/>
    </xf>
    <xf numFmtId="165" fontId="5" fillId="0" borderId="0" xfId="1" applyFont="1" applyFill="1" applyBorder="1" applyAlignment="1"/>
    <xf numFmtId="165" fontId="5" fillId="0" borderId="0" xfId="1" applyFont="1" applyFill="1" applyBorder="1" applyAlignment="1">
      <alignment vertical="center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center" wrapText="1"/>
    </xf>
    <xf numFmtId="164" fontId="4" fillId="0" borderId="0" xfId="0" applyNumberFormat="1" applyFont="1"/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14" fontId="6" fillId="0" borderId="0" xfId="0" applyNumberFormat="1" applyFont="1" applyAlignment="1">
      <alignment vertical="center"/>
    </xf>
    <xf numFmtId="0" fontId="6" fillId="0" borderId="0" xfId="0" applyFont="1" applyAlignment="1">
      <alignment wrapText="1"/>
    </xf>
    <xf numFmtId="166" fontId="6" fillId="0" borderId="0" xfId="0" applyNumberFormat="1" applyFont="1"/>
    <xf numFmtId="166" fontId="6" fillId="0" borderId="0" xfId="0" applyNumberFormat="1" applyFont="1" applyAlignment="1">
      <alignment vertical="center"/>
    </xf>
    <xf numFmtId="168" fontId="6" fillId="0" borderId="0" xfId="0" applyNumberFormat="1" applyFont="1"/>
    <xf numFmtId="0" fontId="7" fillId="0" borderId="0" xfId="0" applyFont="1" applyAlignment="1">
      <alignment horizontal="right"/>
    </xf>
    <xf numFmtId="166" fontId="7" fillId="0" borderId="0" xfId="0" applyNumberFormat="1" applyFont="1" applyAlignment="1">
      <alignment vertical="center"/>
    </xf>
    <xf numFmtId="0" fontId="7" fillId="0" borderId="0" xfId="0" applyFont="1" applyAlignment="1">
      <alignment horizontal="right" vertical="center"/>
    </xf>
    <xf numFmtId="166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vertical="center"/>
    </xf>
    <xf numFmtId="166" fontId="7" fillId="2" borderId="1" xfId="0" applyNumberFormat="1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2" xfId="0" applyFont="1" applyBorder="1"/>
    <xf numFmtId="0" fontId="7" fillId="0" borderId="2" xfId="0" applyFont="1" applyBorder="1" applyAlignment="1">
      <alignment horizontal="right"/>
    </xf>
    <xf numFmtId="0" fontId="6" fillId="0" borderId="2" xfId="0" applyFont="1" applyBorder="1"/>
    <xf numFmtId="0" fontId="6" fillId="0" borderId="0" xfId="0" applyFont="1" applyAlignment="1">
      <alignment horizontal="right"/>
    </xf>
    <xf numFmtId="166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right" vertical="center"/>
    </xf>
    <xf numFmtId="0" fontId="6" fillId="0" borderId="2" xfId="0" applyFont="1" applyBorder="1" applyAlignment="1">
      <alignment horizontal="center"/>
    </xf>
    <xf numFmtId="44" fontId="7" fillId="0" borderId="0" xfId="0" applyNumberFormat="1" applyFont="1" applyAlignment="1">
      <alignment vertical="center"/>
    </xf>
    <xf numFmtId="44" fontId="7" fillId="0" borderId="0" xfId="0" applyNumberFormat="1" applyFont="1" applyAlignment="1">
      <alignment horizontal="center" vertical="center"/>
    </xf>
    <xf numFmtId="165" fontId="0" fillId="0" borderId="0" xfId="1" applyFont="1"/>
    <xf numFmtId="0" fontId="6" fillId="0" borderId="0" xfId="0" applyFont="1" applyAlignment="1">
      <alignment horizontal="right" vertical="center"/>
    </xf>
    <xf numFmtId="0" fontId="7" fillId="0" borderId="3" xfId="0" applyFont="1" applyBorder="1"/>
    <xf numFmtId="0" fontId="7" fillId="0" borderId="3" xfId="0" applyFont="1" applyBorder="1" applyAlignment="1">
      <alignment horizontal="center" vertical="center"/>
    </xf>
    <xf numFmtId="14" fontId="6" fillId="0" borderId="3" xfId="0" applyNumberFormat="1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0" borderId="3" xfId="0" applyFont="1" applyBorder="1" applyAlignment="1">
      <alignment horizontal="right"/>
    </xf>
    <xf numFmtId="44" fontId="7" fillId="0" borderId="2" xfId="1" applyNumberFormat="1" applyFont="1" applyBorder="1" applyAlignment="1">
      <alignment horizontal="center" vertical="center"/>
    </xf>
    <xf numFmtId="164" fontId="7" fillId="0" borderId="2" xfId="0" applyNumberFormat="1" applyFont="1" applyBorder="1" applyAlignment="1">
      <alignment vertical="center"/>
    </xf>
    <xf numFmtId="167" fontId="6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center"/>
    </xf>
    <xf numFmtId="167" fontId="7" fillId="0" borderId="0" xfId="0" applyNumberFormat="1" applyFont="1" applyAlignment="1">
      <alignment horizontal="center"/>
    </xf>
    <xf numFmtId="166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vertical="center"/>
    </xf>
    <xf numFmtId="0" fontId="10" fillId="0" borderId="0" xfId="0" applyFont="1"/>
    <xf numFmtId="0" fontId="10" fillId="0" borderId="0" xfId="0" applyFont="1" applyAlignment="1">
      <alignment vertical="center"/>
    </xf>
    <xf numFmtId="166" fontId="11" fillId="0" borderId="0" xfId="0" applyNumberFormat="1" applyFont="1" applyAlignment="1">
      <alignment horizontal="center" vertical="center"/>
    </xf>
    <xf numFmtId="0" fontId="9" fillId="0" borderId="4" xfId="2"/>
    <xf numFmtId="0" fontId="9" fillId="0" borderId="4" xfId="2" applyAlignment="1">
      <alignment horizontal="center"/>
    </xf>
    <xf numFmtId="0" fontId="9" fillId="0" borderId="0" xfId="2" applyBorder="1"/>
    <xf numFmtId="164" fontId="5" fillId="0" borderId="0" xfId="0" applyNumberFormat="1" applyFont="1" applyAlignment="1">
      <alignment vertical="center"/>
    </xf>
    <xf numFmtId="0" fontId="4" fillId="0" borderId="0" xfId="0" applyFont="1" applyAlignment="1">
      <alignment horizontal="center"/>
    </xf>
    <xf numFmtId="0" fontId="9" fillId="0" borderId="4" xfId="2" applyAlignment="1">
      <alignment vertical="center"/>
    </xf>
    <xf numFmtId="0" fontId="5" fillId="0" borderId="0" xfId="0" applyFont="1" applyAlignment="1">
      <alignment horizontal="center" vertical="center"/>
    </xf>
    <xf numFmtId="49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/>
    </xf>
    <xf numFmtId="165" fontId="6" fillId="0" borderId="0" xfId="1" applyFont="1" applyAlignment="1">
      <alignment horizontal="center"/>
    </xf>
    <xf numFmtId="44" fontId="7" fillId="0" borderId="0" xfId="1" applyNumberFormat="1" applyFont="1" applyAlignment="1">
      <alignment vertical="center"/>
    </xf>
    <xf numFmtId="165" fontId="4" fillId="0" borderId="0" xfId="1" applyFont="1"/>
    <xf numFmtId="0" fontId="12" fillId="0" borderId="0" xfId="2" applyFont="1" applyBorder="1"/>
    <xf numFmtId="0" fontId="12" fillId="0" borderId="0" xfId="2" applyFont="1" applyBorder="1" applyAlignment="1">
      <alignment horizontal="center"/>
    </xf>
    <xf numFmtId="165" fontId="6" fillId="0" borderId="2" xfId="1" applyFont="1" applyBorder="1" applyAlignment="1">
      <alignment horizontal="center" vertical="center"/>
    </xf>
    <xf numFmtId="44" fontId="7" fillId="0" borderId="2" xfId="0" applyNumberFormat="1" applyFont="1" applyBorder="1" applyAlignment="1">
      <alignment horizontal="center" vertical="center"/>
    </xf>
    <xf numFmtId="44" fontId="7" fillId="0" borderId="2" xfId="1" applyNumberFormat="1" applyFont="1" applyBorder="1" applyAlignment="1" applyProtection="1">
      <alignment horizontal="center" vertical="center"/>
    </xf>
    <xf numFmtId="44" fontId="7" fillId="2" borderId="1" xfId="1" applyNumberFormat="1" applyFont="1" applyFill="1" applyBorder="1" applyAlignment="1" applyProtection="1">
      <alignment horizontal="center" vertical="center"/>
    </xf>
    <xf numFmtId="0" fontId="7" fillId="0" borderId="2" xfId="0" applyFont="1" applyBorder="1" applyAlignment="1">
      <alignment horizontal="center"/>
    </xf>
    <xf numFmtId="0" fontId="6" fillId="0" borderId="3" xfId="0" applyFont="1" applyBorder="1" applyAlignment="1" applyProtection="1">
      <alignment vertical="center"/>
      <protection locked="0"/>
    </xf>
    <xf numFmtId="165" fontId="6" fillId="0" borderId="2" xfId="1" applyFont="1" applyBorder="1" applyProtection="1"/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44" fontId="7" fillId="0" borderId="0" xfId="0" applyNumberFormat="1" applyFont="1" applyAlignment="1" applyProtection="1">
      <alignment horizontal="center"/>
      <protection locked="0"/>
    </xf>
    <xf numFmtId="166" fontId="7" fillId="0" borderId="0" xfId="0" applyNumberFormat="1" applyFont="1" applyAlignment="1" applyProtection="1">
      <alignment horizontal="center"/>
      <protection locked="0"/>
    </xf>
    <xf numFmtId="0" fontId="6" fillId="0" borderId="3" xfId="0" applyFont="1" applyBorder="1" applyAlignment="1">
      <alignment horizontal="right" wrapText="1"/>
    </xf>
    <xf numFmtId="49" fontId="6" fillId="0" borderId="0" xfId="0" applyNumberFormat="1" applyFont="1" applyAlignment="1">
      <alignment vertical="center"/>
    </xf>
    <xf numFmtId="0" fontId="7" fillId="0" borderId="3" xfId="0" applyFont="1" applyBorder="1" applyAlignment="1">
      <alignment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horizontal="center" wrapText="1"/>
    </xf>
    <xf numFmtId="0" fontId="7" fillId="0" borderId="2" xfId="0" applyFont="1" applyBorder="1" applyAlignment="1">
      <alignment horizontal="center" wrapText="1"/>
    </xf>
    <xf numFmtId="165" fontId="6" fillId="0" borderId="2" xfId="1" applyFont="1" applyBorder="1" applyAlignment="1" applyProtection="1">
      <alignment wrapText="1"/>
    </xf>
    <xf numFmtId="0" fontId="6" fillId="0" borderId="0" xfId="0" applyFont="1" applyAlignment="1">
      <alignment horizontal="center" vertical="center" wrapText="1"/>
    </xf>
    <xf numFmtId="0" fontId="6" fillId="3" borderId="0" xfId="0" applyFont="1" applyFill="1"/>
    <xf numFmtId="0" fontId="6" fillId="3" borderId="0" xfId="0" applyFont="1" applyFill="1" applyAlignment="1">
      <alignment wrapText="1"/>
    </xf>
    <xf numFmtId="49" fontId="0" fillId="0" borderId="0" xfId="0" applyNumberFormat="1" applyAlignment="1">
      <alignment horizontal="left"/>
    </xf>
    <xf numFmtId="169" fontId="6" fillId="0" borderId="3" xfId="0" applyNumberFormat="1" applyFont="1" applyBorder="1"/>
    <xf numFmtId="169" fontId="6" fillId="0" borderId="3" xfId="0" applyNumberFormat="1" applyFont="1" applyBorder="1" applyAlignment="1" applyProtection="1">
      <alignment vertical="center"/>
      <protection locked="0"/>
    </xf>
    <xf numFmtId="169" fontId="6" fillId="0" borderId="3" xfId="0" applyNumberFormat="1" applyFont="1" applyBorder="1" applyAlignment="1">
      <alignment vertical="center"/>
    </xf>
    <xf numFmtId="170" fontId="6" fillId="0" borderId="3" xfId="0" applyNumberFormat="1" applyFont="1" applyBorder="1" applyProtection="1">
      <protection locked="0"/>
    </xf>
    <xf numFmtId="170" fontId="6" fillId="0" borderId="3" xfId="0" applyNumberFormat="1" applyFont="1" applyBorder="1" applyAlignment="1" applyProtection="1">
      <alignment vertical="center"/>
      <protection locked="0"/>
    </xf>
    <xf numFmtId="170" fontId="6" fillId="0" borderId="3" xfId="0" applyNumberFormat="1" applyFont="1" applyBorder="1" applyAlignment="1">
      <alignment vertical="center"/>
    </xf>
    <xf numFmtId="170" fontId="6" fillId="0" borderId="0" xfId="0" applyNumberFormat="1" applyFont="1" applyAlignment="1">
      <alignment horizontal="center" vertical="center"/>
    </xf>
    <xf numFmtId="170" fontId="6" fillId="0" borderId="3" xfId="0" applyNumberFormat="1" applyFont="1" applyBorder="1"/>
    <xf numFmtId="170" fontId="6" fillId="0" borderId="0" xfId="0" applyNumberFormat="1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166" fontId="5" fillId="0" borderId="0" xfId="0" applyNumberFormat="1" applyFont="1" applyAlignment="1" applyProtection="1">
      <alignment horizontal="center" vertical="center"/>
      <protection locked="0"/>
    </xf>
    <xf numFmtId="0" fontId="13" fillId="0" borderId="0" xfId="0" applyFont="1" applyAlignment="1">
      <alignment horizontal="center" vertical="center"/>
    </xf>
    <xf numFmtId="166" fontId="13" fillId="0" borderId="0" xfId="0" applyNumberFormat="1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0" fontId="15" fillId="0" borderId="0" xfId="0" applyFont="1"/>
    <xf numFmtId="0" fontId="14" fillId="0" borderId="0" xfId="0" applyFont="1" applyProtection="1">
      <protection locked="0"/>
    </xf>
    <xf numFmtId="0" fontId="17" fillId="0" borderId="4" xfId="2" applyFont="1"/>
    <xf numFmtId="0" fontId="18" fillId="0" borderId="5" xfId="3" applyFont="1"/>
    <xf numFmtId="0" fontId="1" fillId="0" borderId="0" xfId="0" applyFont="1"/>
    <xf numFmtId="44" fontId="6" fillId="0" borderId="0" xfId="1" applyNumberFormat="1" applyFont="1" applyFill="1" applyAlignment="1" applyProtection="1">
      <alignment horizontal="right"/>
      <protection locked="0"/>
    </xf>
    <xf numFmtId="0" fontId="19" fillId="0" borderId="6" xfId="0" applyFont="1" applyBorder="1"/>
    <xf numFmtId="49" fontId="6" fillId="0" borderId="0" xfId="0" applyNumberFormat="1" applyFont="1" applyAlignment="1" applyProtection="1">
      <alignment horizontal="center" vertical="center"/>
      <protection locked="0"/>
    </xf>
    <xf numFmtId="49" fontId="6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center"/>
      <protection locked="0"/>
    </xf>
    <xf numFmtId="1" fontId="6" fillId="0" borderId="0" xfId="0" applyNumberFormat="1" applyFont="1" applyAlignment="1" applyProtection="1">
      <alignment vertical="center"/>
      <protection locked="0"/>
    </xf>
    <xf numFmtId="14" fontId="6" fillId="0" borderId="0" xfId="0" applyNumberFormat="1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66" fontId="7" fillId="0" borderId="2" xfId="0" applyNumberFormat="1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6" fillId="0" borderId="2" xfId="0" applyFont="1" applyBorder="1" applyAlignment="1" applyProtection="1">
      <alignment horizontal="center"/>
      <protection locked="0"/>
    </xf>
    <xf numFmtId="0" fontId="6" fillId="0" borderId="3" xfId="0" applyFont="1" applyBorder="1" applyAlignment="1" applyProtection="1">
      <alignment horizontal="center"/>
      <protection locked="0"/>
    </xf>
    <xf numFmtId="0" fontId="0" fillId="0" borderId="0" xfId="0" applyNumberFormat="1"/>
  </cellXfs>
  <cellStyles count="4">
    <cellStyle name="Currency" xfId="1" builtinId="4"/>
    <cellStyle name="Heading 1" xfId="2" builtinId="16"/>
    <cellStyle name="Heading 2" xfId="3" builtinId="17"/>
    <cellStyle name="Normal" xfId="0" builtinId="0"/>
  </cellStyles>
  <dxfs count="186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family val="2"/>
      </font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ck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C99FF"/>
      <color rgb="FFCCCCFF"/>
      <color rgb="FFDAFA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[autoNominasRP-v0.9.3.xlsm]Resultados!Ventas por Coordinacion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Coordinacion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>
              <a:lumMod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Resultados!$B$9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B89F-7548-ABBA-1AED5ED1B55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Resultados!$B$10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89F-7548-ABBA-1AED5ED1B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4488400"/>
        <c:axId val="1234490112"/>
      </c:barChart>
      <c:catAx>
        <c:axId val="12344884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4490112"/>
        <c:crosses val="autoZero"/>
        <c:auto val="1"/>
        <c:lblAlgn val="ctr"/>
        <c:lblOffset val="100"/>
        <c:noMultiLvlLbl val="0"/>
      </c:catAx>
      <c:valAx>
        <c:axId val="123449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234488400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[autoNominasRP-v0.9.3.xlsm]Resultados!Ventas de Coordinacion por Plantel</c:name>
    <c:fmtId val="0"/>
  </c:pivotSource>
  <c:chart>
    <c:title>
      <c:tx>
        <c:strRef>
          <c:f>Resultados!$A$92</c:f>
          <c:strCache>
            <c:ptCount val="1"/>
            <c:pt idx="0">
              <c:v>Ventas de Coordiacion por Plantel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Resultados!$A$92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Resultados!$A$92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Resultados!$A$92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50-9A4A-8F69-989565970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4821776"/>
        <c:axId val="1234805568"/>
      </c:barChart>
      <c:catAx>
        <c:axId val="123482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234805568"/>
        <c:crosses val="autoZero"/>
        <c:auto val="1"/>
        <c:lblAlgn val="ctr"/>
        <c:lblOffset val="100"/>
        <c:noMultiLvlLbl val="0"/>
      </c:catAx>
      <c:valAx>
        <c:axId val="12348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234821776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[autoNominasRP-v0.9.3.xlsm]Resultados!Ventas por Plante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Plantel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2"/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5">
              <a:lumMod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6">
              <a:lumMod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Resultados!$B$19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6113-8642-BF50-6F34DD538634}"/>
              </c:ext>
            </c:extLst>
          </c:dPt>
          <c:cat>
            <c:strRef>
              <c:f>Resultados!$A$20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Resultados!$B$20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E-EA4A-B82E-70AFE99D6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90484080"/>
        <c:axId val="1590485792"/>
      </c:barChart>
      <c:valAx>
        <c:axId val="159048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590484080"/>
        <c:crosses val="autoZero"/>
        <c:crossBetween val="between"/>
        <c:majorUnit val="2"/>
      </c:valAx>
      <c:catAx>
        <c:axId val="15904840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5904857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[autoNominasRP-v0.9.3.xlsm]Resultados!Ventas por Curso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Curso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1"/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Resultados!$B$24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DD6E-A44C-BF9C-EFF288FDEE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Resultados!$A$25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Resultados!$B$25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6E-A44C-BF9C-EFF288FDEE9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93186064"/>
        <c:axId val="1893187776"/>
      </c:barChart>
      <c:catAx>
        <c:axId val="189318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893187776"/>
        <c:crosses val="autoZero"/>
        <c:auto val="1"/>
        <c:lblAlgn val="ctr"/>
        <c:lblOffset val="100"/>
        <c:noMultiLvlLbl val="0"/>
      </c:catAx>
      <c:valAx>
        <c:axId val="189318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Ventas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893186064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[autoNominasRP-v0.9.3.xlsm]Resultados!Venta de Cursos por Plantel</c:name>
    <c:fmtId val="0"/>
  </c:pivotSource>
  <c:chart>
    <c:title>
      <c:tx>
        <c:strRef>
          <c:f>Resultados!$A$46</c:f>
          <c:strCache>
            <c:ptCount val="1"/>
            <c:pt idx="0">
              <c:v>Ventas de Cursos por Plantel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Resultados!$A$46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Resultados!$A$46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Resultados!$A$46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17-734E-A66E-12B8F4F6B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4784096"/>
        <c:axId val="1234785808"/>
      </c:barChart>
      <c:catAx>
        <c:axId val="123478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234785808"/>
        <c:crosses val="autoZero"/>
        <c:auto val="1"/>
        <c:lblAlgn val="ctr"/>
        <c:lblOffset val="100"/>
        <c:noMultiLvlLbl val="0"/>
      </c:catAx>
      <c:valAx>
        <c:axId val="123478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23478409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[autoNominasRP-v0.9.3.xlsm]Resultados!Venta_por_Plantel_por_Curso</c:name>
    <c:fmtId val="0"/>
  </c:pivotSource>
  <c:chart>
    <c:title>
      <c:tx>
        <c:strRef>
          <c:f>Resultados!$A$29</c:f>
          <c:strCache>
            <c:ptCount val="1"/>
            <c:pt idx="0">
              <c:v>Ventas por Plantel por Curso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Resultados!$A$29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Resultados!$A$29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Resultados!$A$29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AE-6F46-B8AF-6597B5C70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2894512"/>
        <c:axId val="1893344112"/>
      </c:barChart>
      <c:catAx>
        <c:axId val="1892894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893344112"/>
        <c:crosses val="autoZero"/>
        <c:auto val="1"/>
        <c:lblAlgn val="ctr"/>
        <c:lblOffset val="100"/>
        <c:noMultiLvlLbl val="0"/>
      </c:catAx>
      <c:valAx>
        <c:axId val="189334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89289451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[autoNominasRP-v0.9.3.xlsm]Resultados!Ventas_por_Promotor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Promotor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Resultados!$B$14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Resultados!$B$15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97-1D4F-AE2F-85A4FC22E6EE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82541088"/>
        <c:axId val="1882542800"/>
      </c:barChart>
      <c:catAx>
        <c:axId val="188254108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882542800"/>
        <c:crosses val="autoZero"/>
        <c:auto val="1"/>
        <c:lblAlgn val="ctr"/>
        <c:lblOffset val="100"/>
        <c:noMultiLvlLbl val="0"/>
      </c:catAx>
      <c:valAx>
        <c:axId val="1882542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88254108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[autoNominasRP-v0.9.3.xlsm]Resultados!PivotTable5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  <a:r>
              <a:rPr lang="en-US" baseline="0"/>
              <a:t> Por Gerente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ctr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Resultados!$A$4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Resultados!$A$5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73-CD49-A2C8-80C1C982146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5852591"/>
        <c:axId val="55716991"/>
      </c:barChart>
      <c:catAx>
        <c:axId val="5585259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5716991"/>
        <c:crosses val="autoZero"/>
        <c:auto val="1"/>
        <c:lblAlgn val="ctr"/>
        <c:lblOffset val="100"/>
        <c:noMultiLvlLbl val="0"/>
      </c:catAx>
      <c:valAx>
        <c:axId val="5571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55852591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457200</xdr:colOff>
      <xdr:row>0</xdr:row>
      <xdr:rowOff>38100</xdr:rowOff>
    </xdr:from>
    <xdr:to>
      <xdr:col>22</xdr:col>
      <xdr:colOff>723900</xdr:colOff>
      <xdr:row>33</xdr:row>
      <xdr:rowOff>152400</xdr:rowOff>
    </xdr:to>
    <xdr:graphicFrame macro="">
      <xdr:nvGraphicFramePr>
        <xdr:cNvPr id="2" name="Ventas_Por_Coordinacion">
          <a:extLst>
            <a:ext uri="{FF2B5EF4-FFF2-40B4-BE49-F238E27FC236}">
              <a16:creationId xmlns:a16="http://schemas.microsoft.com/office/drawing/2014/main" id="{5E8B6FE2-2343-BF81-64A4-C7EA44A998B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457200</xdr:colOff>
      <xdr:row>101</xdr:row>
      <xdr:rowOff>0</xdr:rowOff>
    </xdr:from>
    <xdr:to>
      <xdr:col>22</xdr:col>
      <xdr:colOff>723900</xdr:colOff>
      <xdr:row>134</xdr:row>
      <xdr:rowOff>114300</xdr:rowOff>
    </xdr:to>
    <xdr:graphicFrame macro="">
      <xdr:nvGraphicFramePr>
        <xdr:cNvPr id="3" name="Ventas_de_Coordinacion_por_Plantel">
          <a:extLst>
            <a:ext uri="{FF2B5EF4-FFF2-40B4-BE49-F238E27FC236}">
              <a16:creationId xmlns:a16="http://schemas.microsoft.com/office/drawing/2014/main" id="{5C04774A-8888-8B91-5A6A-13C6C70B986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63500</xdr:colOff>
      <xdr:row>33</xdr:row>
      <xdr:rowOff>152400</xdr:rowOff>
    </xdr:from>
    <xdr:to>
      <xdr:col>9</xdr:col>
      <xdr:colOff>457200</xdr:colOff>
      <xdr:row>67</xdr:row>
      <xdr:rowOff>76200</xdr:rowOff>
    </xdr:to>
    <xdr:graphicFrame macro="">
      <xdr:nvGraphicFramePr>
        <xdr:cNvPr id="4" name="Ventas_por_Plantel">
          <a:extLst>
            <a:ext uri="{FF2B5EF4-FFF2-40B4-BE49-F238E27FC236}">
              <a16:creationId xmlns:a16="http://schemas.microsoft.com/office/drawing/2014/main" id="{D16C9625-011C-436F-1581-E19739B4D99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455676</xdr:colOff>
      <xdr:row>33</xdr:row>
      <xdr:rowOff>152400</xdr:rowOff>
    </xdr:from>
    <xdr:to>
      <xdr:col>22</xdr:col>
      <xdr:colOff>722376</xdr:colOff>
      <xdr:row>67</xdr:row>
      <xdr:rowOff>76200</xdr:rowOff>
    </xdr:to>
    <xdr:graphicFrame macro="">
      <xdr:nvGraphicFramePr>
        <xdr:cNvPr id="5" name="Ventas_por_Curso">
          <a:extLst>
            <a:ext uri="{FF2B5EF4-FFF2-40B4-BE49-F238E27FC236}">
              <a16:creationId xmlns:a16="http://schemas.microsoft.com/office/drawing/2014/main" id="{085FBEF0-B2D3-1716-BCD5-3B6E03ECC4A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455676</xdr:colOff>
      <xdr:row>67</xdr:row>
      <xdr:rowOff>76200</xdr:rowOff>
    </xdr:from>
    <xdr:to>
      <xdr:col>22</xdr:col>
      <xdr:colOff>722376</xdr:colOff>
      <xdr:row>101</xdr:row>
      <xdr:rowOff>0</xdr:rowOff>
    </xdr:to>
    <xdr:graphicFrame macro="">
      <xdr:nvGraphicFramePr>
        <xdr:cNvPr id="6" name="Ventas de Cursos por Plantel">
          <a:extLst>
            <a:ext uri="{FF2B5EF4-FFF2-40B4-BE49-F238E27FC236}">
              <a16:creationId xmlns:a16="http://schemas.microsoft.com/office/drawing/2014/main" id="{F8626F73-B196-C849-91A5-44F10277CF5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63500</xdr:colOff>
      <xdr:row>67</xdr:row>
      <xdr:rowOff>76200</xdr:rowOff>
    </xdr:from>
    <xdr:to>
      <xdr:col>9</xdr:col>
      <xdr:colOff>457200</xdr:colOff>
      <xdr:row>101</xdr:row>
      <xdr:rowOff>0</xdr:rowOff>
    </xdr:to>
    <xdr:graphicFrame macro="">
      <xdr:nvGraphicFramePr>
        <xdr:cNvPr id="7" name="Ventas_por_Plantel_por_Cursos">
          <a:extLst>
            <a:ext uri="{FF2B5EF4-FFF2-40B4-BE49-F238E27FC236}">
              <a16:creationId xmlns:a16="http://schemas.microsoft.com/office/drawing/2014/main" id="{91FCD43F-49FE-709E-EA1D-94F09612E4C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723900</xdr:colOff>
      <xdr:row>0</xdr:row>
      <xdr:rowOff>38100</xdr:rowOff>
    </xdr:from>
    <xdr:to>
      <xdr:col>38</xdr:col>
      <xdr:colOff>317500</xdr:colOff>
      <xdr:row>33</xdr:row>
      <xdr:rowOff>152400</xdr:rowOff>
    </xdr:to>
    <xdr:graphicFrame macro="">
      <xdr:nvGraphicFramePr>
        <xdr:cNvPr id="9" name="Ventas_por_Promotor">
          <a:extLst>
            <a:ext uri="{FF2B5EF4-FFF2-40B4-BE49-F238E27FC236}">
              <a16:creationId xmlns:a16="http://schemas.microsoft.com/office/drawing/2014/main" id="{A4FC9D3A-AA27-59B6-7E96-783424AD0EF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61976</xdr:colOff>
      <xdr:row>0</xdr:row>
      <xdr:rowOff>38100</xdr:rowOff>
    </xdr:from>
    <xdr:to>
      <xdr:col>9</xdr:col>
      <xdr:colOff>455676</xdr:colOff>
      <xdr:row>33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6B0846B-D785-A944-89EE-5BAB7781BF4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0</xdr:row>
          <xdr:rowOff>63500</xdr:rowOff>
        </xdr:from>
        <xdr:to>
          <xdr:col>15</xdr:col>
          <xdr:colOff>787400</xdr:colOff>
          <xdr:row>3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Generar Nominas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Pablo Garcia Murillo" refreshedDate="45777.635560995368" createdVersion="8" refreshedVersion="8" minRefreshableVersion="3" recordCount="1" xr:uid="{F9213207-D78F-6147-84A9-A17CD048246F}">
  <cacheSource type="worksheet">
    <worksheetSource name="Tabla_Gerente"/>
  </cacheSource>
  <cacheFields count="13">
    <cacheField name="GERENTE" numFmtId="0">
      <sharedItems/>
    </cacheField>
    <cacheField name="COORDINADOR" numFmtId="49">
      <sharedItems containsNonDate="0" containsString="0" containsBlank="1" containsNumber="1" containsInteger="1" minValue="4150" maxValue="66168" count="91">
        <m/>
        <n v="8860" u="1"/>
        <n v="8861" u="1"/>
        <n v="12636" u="1"/>
        <n v="12634" u="1"/>
        <n v="12746" u="1"/>
        <n v="12742" u="1"/>
        <n v="12747" u="1"/>
        <n v="8901" u="1"/>
        <n v="66153" u="1"/>
        <n v="12640" u="1"/>
        <n v="66117" u="1"/>
        <n v="66157" u="1"/>
        <n v="66160" u="1"/>
        <n v="66093" u="1"/>
        <n v="66147" u="1"/>
        <n v="66155" u="1"/>
        <n v="66154" u="1"/>
        <n v="8896" u="1"/>
        <n v="8898" u="1"/>
        <n v="8899" u="1"/>
        <n v="8886" u="1"/>
        <n v="8865" u="1"/>
        <n v="8866" u="1"/>
        <n v="8876" u="1"/>
        <n v="8874" u="1"/>
        <n v="8877" u="1"/>
        <n v="8889" u="1"/>
        <n v="8891" u="1"/>
        <n v="8894" u="1"/>
        <n v="8893" u="1"/>
        <n v="8897" u="1"/>
        <n v="8885" u="1"/>
        <n v="8900" u="1"/>
        <n v="8890" u="1"/>
        <n v="8892" u="1"/>
        <n v="4150" u="1"/>
        <n v="66105" u="1"/>
        <n v="8862" u="1"/>
        <n v="12735" u="1"/>
        <n v="66107" u="1"/>
        <n v="66127" u="1"/>
        <n v="66139" u="1"/>
        <n v="12757" u="1"/>
        <n v="12638" u="1"/>
        <n v="8878" u="1"/>
        <n v="66126" u="1"/>
        <n v="12641" u="1"/>
        <n v="66098" u="1"/>
        <n v="4157" u="1"/>
        <n v="12748" u="1"/>
        <n v="12753" u="1"/>
        <n v="66152" u="1"/>
        <n v="66099" u="1"/>
        <n v="66143" u="1"/>
        <n v="66168" u="1"/>
        <n v="12743" u="1"/>
        <n v="12763" u="1"/>
        <n v="12760" u="1"/>
        <n v="12755" u="1"/>
        <n v="12737" u="1"/>
        <n v="12765" u="1"/>
        <n v="12766" u="1"/>
        <n v="12767" u="1"/>
        <n v="12733" u="1"/>
        <n v="12750" u="1"/>
        <n v="8868" u="1"/>
        <n v="12770" u="1"/>
        <n v="12736" u="1"/>
        <n v="12744" u="1"/>
        <n v="12745" u="1"/>
        <n v="12749" u="1"/>
        <n v="12756" u="1"/>
        <n v="12761" u="1"/>
        <n v="12752" u="1"/>
        <n v="12643" u="1"/>
        <n v="12639" u="1"/>
        <n v="12635" u="1"/>
        <n v="12637" u="1"/>
        <n v="12762" u="1"/>
        <n v="5965" u="1"/>
        <n v="5966" u="1"/>
        <n v="12738" u="1"/>
        <n v="12642" u="1"/>
        <n v="12769" u="1"/>
        <n v="7488" u="1"/>
        <n v="7525" u="1"/>
        <n v="5972" u="1"/>
        <n v="5992" u="1"/>
        <n v="5970" u="1"/>
        <n v="5969" u="1"/>
      </sharedItems>
    </cacheField>
    <cacheField name="CREDENCIAL" numFmtId="49">
      <sharedItems containsNonDate="0" containsString="0" containsBlank="1"/>
    </cacheField>
    <cacheField name="NOMBRE DEL ALUMNO" numFmtId="0">
      <sharedItems containsNonDate="0" containsString="0" containsBlank="1"/>
    </cacheField>
    <cacheField name="COMISION" numFmtId="166">
      <sharedItems containsSemiMixedTypes="0" containsString="0" containsNumber="1" containsInteger="1" minValue="0" maxValue="0"/>
    </cacheField>
    <cacheField name="PLANTEL" numFmtId="0">
      <sharedItems containsNonDate="0" containsBlank="1" count="20">
        <m/>
        <s v="AWL LEON" u="1"/>
        <s v="UI 16 DE SEPTIEMBRE" u="1"/>
        <s v="UDN TLAQUEPAQUE" u="1"/>
        <s v="INDEPENDENCIA" u="1"/>
        <s v="UI PARIAN" u="1"/>
        <s v="UI MARIANO OTERO" u="1"/>
        <s v="VIRTUAL" u="1"/>
        <s v="UI MAR OTERO" u="1"/>
        <s v="21-AWL VIRTUAL " u="1"/>
        <s v="2-UDN TLAQUEPAQUE" u="1"/>
        <s v="19-UI PARIAN" u="1"/>
        <s v="15-16 DE SEPTIEMBRE" u="1"/>
        <s v="14-AWL INDEPDENCIA" u="1"/>
        <s v="AWL TLAQUEPAQUE" u="1"/>
        <s v="AWL TONALA" u="1"/>
        <s v="OBLATOS" u="1"/>
        <s v="ONLINE" u="1"/>
        <s v="TRANSITO" u="1"/>
        <s v="UDN TONALA" u="1"/>
      </sharedItems>
    </cacheField>
    <cacheField name="CURSO" numFmtId="0">
      <sharedItems containsNonDate="0" containsBlank="1" count="56">
        <m/>
        <s v="AUX DE ENFERMERIA" u="1"/>
        <s v="COLBACH" u="1"/>
        <s v="COMPUTACION" u="1"/>
        <s v="CONTABILIDAD" u="1"/>
        <s v="INGLES" u="1"/>
        <s v="INGLES KIDS" u="1"/>
        <s v="INGLES KINDER" u="1"/>
        <s v="PREPA" u="1"/>
        <s v="INGLES TEENS" u="1"/>
        <s v="INGLES INTENSIVO" u="1"/>
        <s v="PREPA INTENSIVA" u="1"/>
        <s v="REP DE CELULARES" u="1"/>
        <s v="PREPA INTENSIVO" u="1"/>
        <s v="TEENS" u="1"/>
        <s v="INGLÉS" u="1"/>
        <s v="CONTABLE" u="1"/>
        <s v="COMPUTACIÓN" u="1"/>
        <s v="COMP" u="1"/>
        <s v="AUX DE ENFERMERÍA" u="1"/>
        <s v="AUX. ENFERMERÌA" u="1"/>
        <s v="AUX ENFER" u="1"/>
        <s v="DERECHO FISCAL" u="1"/>
        <s v="PARAMEDICO" u="1"/>
        <s v="GERIATRIA" u="1"/>
        <s v="EXU" u="1"/>
        <s v="SECUNDARIA" u="1"/>
        <s v="PRIMARIA" u="1"/>
        <s v="EXU LINEA" u="1"/>
        <s v="EXCEL" u="1"/>
        <s v="D.FISCAL " u="1"/>
        <s v="REP CEL" u="1"/>
        <s v="PARAMÉDICO" u="1"/>
        <s v="FISCAL" u="1"/>
        <s v="ENF AUX " u="1"/>
        <s v="ENF AUXILIAR" u="1"/>
        <s v="ENFERMERIA" u="1"/>
        <s v="Derecho Fiscal Virtual" u="1"/>
        <s v="COLBACH " u="1"/>
        <s v="COLBACH." u="1"/>
        <s v="EXU 3M" u="1"/>
        <s v="ENF AUX" u="1"/>
        <s v="EXCEL " u="1"/>
        <s v="REP. CELULARES" u="1"/>
        <s v="AUX. ENFERMERÍA" u="1"/>
        <s v="AUX EN ENFERMERÍA" u="1"/>
        <s v="INICIO" u="1"/>
        <s v="MARKETING" u="1"/>
        <s v="UNIVERSIDAD" u="1"/>
        <s v="INGLES AVANZADO" u="1"/>
        <s v="Curso 1" u="1"/>
        <s v="Curso 2" u="1"/>
        <s v="Curso 3" u="1"/>
        <s v="Curso 4" u="1"/>
        <s v="Curso 5" u="1"/>
        <s v="Curso 6" u="1"/>
      </sharedItems>
    </cacheField>
    <cacheField name="GRUPO" numFmtId="1">
      <sharedItems containsNonDate="0" containsString="0" containsBlank="1"/>
    </cacheField>
    <cacheField name="PAGO" numFmtId="44">
      <sharedItems containsNonDate="0" containsString="0" containsBlank="1"/>
    </cacheField>
    <cacheField name="FECHA" numFmtId="14">
      <sharedItems containsNonDate="0" containsString="0" containsBlank="1"/>
    </cacheField>
    <cacheField name="PROMOTOR" numFmtId="0">
      <sharedItems containsNonDate="0" containsBlank="1" count="51">
        <m/>
        <s v="MARIANA PACHECO (P)" u="1"/>
        <s v="OLIVIA PACHECO (P)" u="1"/>
        <s v="PEDRO MORA (P)" u="1"/>
        <s v="EFRAIN CORTES" u="1"/>
        <s v="FATIMA HERNANDEZ" u="1"/>
        <s v="EUNICE MORALES" u="1"/>
        <s v="LIZBETH MORALES" u="1"/>
        <s v="PEDRO GUTIERREZ" u="1"/>
        <s v="DAMIAN BRAVO" u="1"/>
        <s v="ENRIQUE OJEDA" u="1"/>
        <s v="HUGO PACHECO" u="1"/>
        <s v="FATIMA" u="1"/>
        <s v="PEDRO" u="1"/>
        <s v="LIZBETH" u="1"/>
        <s v="EUNICE" u="1"/>
        <s v="JOSUE SIERRA" u="1"/>
        <s v="JONATHAN MARTINEZ" u="1"/>
        <s v="JOSE FERNÁNDEZ" u="1"/>
        <s v="FERNANDA ORNELAS" u="1"/>
        <s v="BETZANIA MUÑOZ" u="1"/>
        <s v="MINA APARICIO" u="1"/>
        <s v="YADIRA VEGA" u="1"/>
        <s v="DAVID HERNANDEZ" u="1"/>
        <s v="EVELYN VELAZQUEZ" u="1"/>
        <s v="MINA APARICIO " u="1"/>
        <s v="MARIANA SANCHEZ" u="1"/>
        <s v="JORGE RODRIGUEZ" u="1"/>
        <s v="MIRIAM TADEO" u="1"/>
        <s v="FRIDA RIVERA" u="1"/>
        <s v="YANELY HERNADEZ (P)" u="1"/>
        <s v="MICHELLE APARICIO (P)" u="1"/>
        <s v="JOSUE ALVAREZ (P)" u="1"/>
        <s v="ISAAC GARCIA (P)" u="1"/>
        <s v="FERNANDO VILLALVAZO" u="1"/>
        <s v="YANELY VEGA" u="1"/>
        <s v="JOSE FERNANDEZ" u="1"/>
        <s v="ISAAC DE LA CRUZ" u="1"/>
        <s v="DAVID RAMIREZ" u="1"/>
        <s v="JORGE ALBERTO" u="1"/>
        <s v="MICHELLE APARICIO" u="1"/>
        <s v="YADIRA HERNANDEZ" u="1"/>
        <s v="JOSUE ALVAREZ " u="1"/>
        <s v="YANISSE TORRES" u="1"/>
        <s v="RAMON TALA (P)" u="1"/>
        <s v="VERONICA CHAVEZ (P)" u="1"/>
        <s v="DANIELA MURILLO (P)" u="1"/>
        <s v="ANDREA ESQUEDA" u="1"/>
        <s v="FERNANDO VILLALVAZO (P)" u="1"/>
        <s v="BRYAN CAMPOS" u="1"/>
        <s v="DANIELA LOZANO" u="1"/>
      </sharedItems>
    </cacheField>
    <cacheField name="TS PLANTEL" numFmtId="0">
      <sharedItems containsNonDate="0" containsString="0" containsBlank="1"/>
    </cacheField>
    <cacheField name="TS CREDENCIAL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s v=""/>
    <x v="0"/>
    <m/>
    <m/>
    <n v="0"/>
    <x v="0"/>
    <x v="0"/>
    <m/>
    <m/>
    <m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EE9AE1-A1E1-D141-8596-575A32A3D713}" name="Venta de Cursos por Plantel" cacheId="1182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showHeaders="0" multipleFieldFilters="0" chartFormat="7" colHeaderCaption="Filtrar Planteles">
  <location ref="A46:C49" firstHeaderRow="1" firstDataRow="2" firstDataCol="1"/>
  <pivotFields count="13">
    <pivotField showAll="0"/>
    <pivotField showAll="0"/>
    <pivotField showAll="0"/>
    <pivotField showAll="0"/>
    <pivotField dataField="1" numFmtId="166" showAll="0"/>
    <pivotField axis="axisCol" showAll="0">
      <items count="21">
        <item m="1" x="14"/>
        <item m="1" x="15"/>
        <item m="1" x="4"/>
        <item m="1" x="16"/>
        <item m="1" x="17"/>
        <item m="1" x="18"/>
        <item m="1" x="3"/>
        <item m="1" x="19"/>
        <item m="1" x="2"/>
        <item m="1" x="6"/>
        <item m="1" x="5"/>
        <item m="1" x="7"/>
        <item m="1" x="1"/>
        <item x="0"/>
        <item m="1" x="11"/>
        <item m="1" x="12"/>
        <item m="1" x="10"/>
        <item m="1" x="8"/>
        <item m="1" x="9"/>
        <item m="1" x="13"/>
        <item t="default"/>
      </items>
    </pivotField>
    <pivotField axis="axisRow" showAll="0">
      <items count="57">
        <item m="1" x="50"/>
        <item m="1" x="51"/>
        <item m="1" x="52"/>
        <item m="1" x="53"/>
        <item m="1" x="54"/>
        <item m="1" x="55"/>
        <item m="1" x="5"/>
        <item m="1" x="48"/>
        <item m="1" x="26"/>
        <item m="1" x="2"/>
        <item m="1" x="41"/>
        <item m="1" x="29"/>
        <item m="1" x="25"/>
        <item m="1" x="8"/>
        <item m="1" x="28"/>
        <item m="1" x="49"/>
        <item m="1" x="47"/>
        <item m="1" x="46"/>
        <item x="0"/>
        <item m="1" x="14"/>
        <item m="1" x="6"/>
        <item m="1" x="43"/>
        <item m="1" x="4"/>
        <item m="1" x="3"/>
        <item m="1" x="7"/>
        <item m="1" x="44"/>
        <item m="1" x="15"/>
        <item m="1" x="12"/>
        <item m="1" x="17"/>
        <item m="1" x="19"/>
        <item m="1" x="9"/>
        <item m="1" x="45"/>
        <item m="1" x="1"/>
        <item m="1" x="23"/>
        <item m="1" x="30"/>
        <item m="1" x="35"/>
        <item m="1" x="33"/>
        <item m="1" x="37"/>
        <item m="1" x="39"/>
        <item m="1" x="31"/>
        <item m="1" x="32"/>
        <item m="1" x="36"/>
        <item m="1" x="27"/>
        <item m="1" x="24"/>
        <item m="1" x="34"/>
        <item m="1" x="38"/>
        <item m="1" x="40"/>
        <item m="1" x="42"/>
        <item m="1" x="22"/>
        <item m="1" x="11"/>
        <item m="1" x="10"/>
        <item m="1" x="13"/>
        <item m="1" x="20"/>
        <item m="1" x="16"/>
        <item m="1" x="18"/>
        <item m="1" x="21"/>
        <item t="default"/>
      </items>
    </pivotField>
    <pivotField showAll="0"/>
    <pivotField numFmtId="166" showAll="0"/>
    <pivotField numFmtId="14" showAll="0"/>
    <pivotField showAll="0"/>
    <pivotField showAll="0"/>
    <pivotField showAll="0"/>
  </pivotFields>
  <rowFields count="1">
    <field x="6"/>
  </rowFields>
  <rowItems count="2">
    <i>
      <x v="18"/>
    </i>
    <i t="grand">
      <x/>
    </i>
  </rowItems>
  <colFields count="1">
    <field x="5"/>
  </colFields>
  <colItems count="2">
    <i>
      <x v="13"/>
    </i>
    <i t="grand">
      <x/>
    </i>
  </colItems>
  <dataFields count="1">
    <dataField name="Ventas de Cursos por Plantel" fld="4" subtotal="count" baseField="0" baseItem="0"/>
  </dataFields>
  <chartFormats count="38">
    <chartFormat chart="0" format="39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0" format="40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0" format="41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0" format="42" series="1">
      <pivotArea type="data" outline="0" fieldPosition="0">
        <references count="1">
          <reference field="6" count="1" selected="0">
            <x v="4"/>
          </reference>
        </references>
      </pivotArea>
    </chartFormat>
    <chartFormat chart="0" format="43" series="1">
      <pivotArea type="data" outline="0" fieldPosition="0">
        <references count="1">
          <reference field="6" count="1" selected="0">
            <x v="5"/>
          </reference>
        </references>
      </pivotArea>
    </chartFormat>
    <chartFormat chart="0" format="44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0" format="63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0"/>
          </reference>
        </references>
      </pivotArea>
    </chartFormat>
    <chartFormat chart="0" format="64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1"/>
          </reference>
        </references>
      </pivotArea>
    </chartFormat>
    <chartFormat chart="0" format="65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2"/>
          </reference>
        </references>
      </pivotArea>
    </chartFormat>
    <chartFormat chart="0" format="66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3"/>
          </reference>
        </references>
      </pivotArea>
    </chartFormat>
    <chartFormat chart="0" format="67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4"/>
          </reference>
        </references>
      </pivotArea>
    </chartFormat>
    <chartFormat chart="0" format="68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5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5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6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7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8"/>
          </reference>
        </references>
      </pivotArea>
    </chartFormat>
    <chartFormat chart="0" format="7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9"/>
          </reference>
        </references>
      </pivotArea>
    </chartFormat>
    <chartFormat chart="0" format="7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4"/>
          </reference>
        </references>
      </pivotArea>
    </chartFormat>
  </chart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F6BF5F-5343-F04B-ABCB-4EB18C35767D}" name="PivotTable5" cacheId="1182" applyNumberFormats="0" applyBorderFormats="0" applyFontFormats="0" applyPatternFormats="0" applyAlignmentFormats="0" applyWidthHeightFormats="1" dataCaption="Values" updatedVersion="8" minRefreshableVersion="3" itemPrintTitles="1" createdVersion="8" indent="0" showHeaders="0" multipleFieldFilters="0" chartFormat="11" colHeaderCaption="Filtrar Gerente">
  <location ref="A4:A5" firstHeaderRow="1" firstDataRow="1" firstDataCol="0"/>
  <pivotFields count="13">
    <pivotField showAll="0"/>
    <pivotField showAll="0"/>
    <pivotField showAll="0"/>
    <pivotField showAll="0"/>
    <pivotField dataField="1" numFmtId="166" showAll="0"/>
    <pivotField showAll="0"/>
    <pivotField showAll="0"/>
    <pivotField showAll="0"/>
    <pivotField numFmtId="166" showAll="0"/>
    <pivotField numFmtId="14" showAll="0"/>
    <pivotField showAll="0"/>
    <pivotField showAll="0"/>
    <pivotField showAll="0"/>
  </pivotFields>
  <rowItems count="1">
    <i/>
  </rowItems>
  <colItems count="1">
    <i/>
  </colItems>
  <dataFields count="1">
    <dataField name="Ventas por Gerente" fld="4" subtotal="count" baseField="0" baseItem="0"/>
  </dataFields>
  <chartFormats count="1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78582B-9DAE-AF40-9B4E-E9B45AE15BFF}" name="Ventas por Coordinacion" cacheId="1182" applyNumberFormats="0" applyBorderFormats="0" applyFontFormats="0" applyPatternFormats="0" applyAlignmentFormats="0" applyWidthHeightFormats="1" dataCaption="Values" missingCaption="0" updatedVersion="8" minRefreshableVersion="3" showDrill="0" itemPrintTitles="1" createdVersion="8" indent="0" showHeaders="0" multipleFieldFilters="0" chartFormat="21" colHeaderCaption="Filtrar Coordinadores">
  <location ref="A9:C10" firstHeaderRow="0" firstDataRow="1" firstDataCol="1"/>
  <pivotFields count="13">
    <pivotField showAll="0"/>
    <pivotField axis="axisCol" showAll="0">
      <items count="92"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x="0"/>
        <item t="default"/>
      </items>
    </pivotField>
    <pivotField showAll="0"/>
    <pivotField showAll="0"/>
    <pivotField dataField="1" numFmtId="166" showAll="0"/>
    <pivotField showAll="0"/>
    <pivotField showAll="0"/>
    <pivotField showAll="0"/>
    <pivotField numFmtId="166" showAll="0"/>
    <pivotField numFmtId="14" showAll="0"/>
    <pivotField showAll="0"/>
    <pivotField showAll="0"/>
    <pivotField showAll="0"/>
  </pivotFields>
  <rowItems count="1">
    <i/>
  </rowItems>
  <colFields count="1">
    <field x="1"/>
  </colFields>
  <colItems count="2">
    <i>
      <x v="90"/>
    </i>
    <i t="grand">
      <x/>
    </i>
  </colItems>
  <dataFields count="1">
    <dataField name="Ventas por Coordinacion" fld="4" subtotal="count" baseField="0" baseItem="0"/>
  </dataFields>
  <chartFormats count="90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0" format="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1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1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1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1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1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577C62-A946-3C4E-A6FC-06B111AA8AD0}" name="Ventas por Plante" cacheId="1182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showHeaders="0" multipleFieldFilters="0" chartFormat="18" colHeaderCaption="Filtrar Planteles">
  <location ref="A19:C20" firstHeaderRow="0" firstDataRow="1" firstDataCol="1"/>
  <pivotFields count="13">
    <pivotField showAll="0"/>
    <pivotField showAll="0"/>
    <pivotField showAll="0"/>
    <pivotField showAll="0"/>
    <pivotField dataField="1" numFmtId="166" showAll="0"/>
    <pivotField axis="axisCol" showAll="0">
      <items count="21">
        <item m="1" x="14"/>
        <item m="1" x="15"/>
        <item m="1" x="4"/>
        <item m="1" x="16"/>
        <item m="1" x="17"/>
        <item m="1" x="18"/>
        <item m="1" x="3"/>
        <item m="1" x="19"/>
        <item m="1" x="2"/>
        <item m="1" x="6"/>
        <item m="1" x="5"/>
        <item m="1" x="7"/>
        <item m="1" x="1"/>
        <item x="0"/>
        <item m="1" x="11"/>
        <item m="1" x="12"/>
        <item m="1" x="10"/>
        <item m="1" x="8"/>
        <item m="1" x="9"/>
        <item m="1" x="13"/>
        <item t="default"/>
      </items>
    </pivotField>
    <pivotField showAll="0"/>
    <pivotField showAll="0"/>
    <pivotField numFmtId="166" showAll="0"/>
    <pivotField numFmtId="14" showAll="0"/>
    <pivotField showAll="0"/>
    <pivotField showAll="0"/>
    <pivotField showAll="0"/>
  </pivotFields>
  <rowItems count="1">
    <i/>
  </rowItems>
  <colFields count="1">
    <field x="5"/>
  </colFields>
  <colItems count="2">
    <i>
      <x v="13"/>
    </i>
    <i t="grand">
      <x/>
    </i>
  </colItems>
  <dataFields count="1">
    <dataField name="Ventas Por Plantel" fld="4" subtotal="count" baseField="0" baseItem="0"/>
  </dataFields>
  <chartFormats count="44">
    <chartFormat chart="0" format="12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3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14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15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16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0" format="17" series="1">
      <pivotArea type="data" outline="0" fieldPosition="0">
        <references count="1">
          <reference field="5" count="1" selected="0">
            <x v="5"/>
          </reference>
        </references>
      </pivotArea>
    </chartFormat>
    <chartFormat chart="0" format="18" series="1">
      <pivotArea type="data" outline="0" fieldPosition="0">
        <references count="1">
          <reference field="5" count="1" selected="0">
            <x v="6"/>
          </reference>
        </references>
      </pivotArea>
    </chartFormat>
    <chartFormat chart="0" format="19" series="1">
      <pivotArea type="data" outline="0" fieldPosition="0">
        <references count="1">
          <reference field="5" count="1" selected="0">
            <x v="7"/>
          </reference>
        </references>
      </pivotArea>
    </chartFormat>
    <chartFormat chart="0" format="20" series="1">
      <pivotArea type="data" outline="0" fieldPosition="0">
        <references count="1">
          <reference field="5" count="1" selected="0">
            <x v="8"/>
          </reference>
        </references>
      </pivotArea>
    </chartFormat>
    <chartFormat chart="0" format="21" series="1">
      <pivotArea type="data" outline="0" fieldPosition="0">
        <references count="1">
          <reference field="5" count="1" selected="0">
            <x v="9"/>
          </reference>
        </references>
      </pivotArea>
    </chartFormat>
    <chartFormat chart="0" format="22" series="1">
      <pivotArea type="data" outline="0" fieldPosition="0">
        <references count="1">
          <reference field="5" count="1" selected="0">
            <x v="10"/>
          </reference>
        </references>
      </pivotArea>
    </chartFormat>
    <chartFormat chart="0" format="23" series="1">
      <pivotArea type="data" outline="0" fieldPosition="0">
        <references count="1">
          <reference field="5" count="1" selected="0">
            <x v="11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0" format="36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37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8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9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0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4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42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43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44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45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46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0" format="47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0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5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6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7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8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9"/>
          </reference>
        </references>
      </pivotArea>
    </chartFormat>
  </chartFormats>
  <pivotTableStyleInfo name="PivotStyleMedium1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26E798-751B-7645-B002-F6BB46E2849D}" name="Ventas por Curso" cacheId="1182" applyNumberFormats="0" applyBorderFormats="0" applyFontFormats="0" applyPatternFormats="0" applyAlignmentFormats="0" applyWidthHeightFormats="1" dataCaption="Values" updatedVersion="8" minRefreshableVersion="3" itemPrintTitles="1" createdVersion="8" indent="0" showHeaders="0" multipleFieldFilters="0" chartFormat="10" colHeaderCaption="Filtrar Cursos">
  <location ref="A24:C25" firstHeaderRow="0" firstDataRow="1" firstDataCol="1"/>
  <pivotFields count="13">
    <pivotField showAll="0"/>
    <pivotField showAll="0"/>
    <pivotField showAll="0"/>
    <pivotField showAll="0"/>
    <pivotField dataField="1" numFmtId="166" showAll="0"/>
    <pivotField showAll="0"/>
    <pivotField axis="axisCol" showAll="0">
      <items count="57">
        <item m="1" x="50"/>
        <item m="1" x="51"/>
        <item m="1" x="52"/>
        <item m="1" x="53"/>
        <item m="1" x="54"/>
        <item m="1" x="55"/>
        <item m="1" x="5"/>
        <item m="1" x="48"/>
        <item m="1" x="26"/>
        <item m="1" x="2"/>
        <item m="1" x="41"/>
        <item m="1" x="29"/>
        <item m="1" x="25"/>
        <item m="1" x="8"/>
        <item m="1" x="28"/>
        <item m="1" x="49"/>
        <item m="1" x="47"/>
        <item m="1" x="46"/>
        <item x="0"/>
        <item m="1" x="14"/>
        <item m="1" x="6"/>
        <item m="1" x="43"/>
        <item m="1" x="4"/>
        <item m="1" x="3"/>
        <item m="1" x="7"/>
        <item m="1" x="44"/>
        <item m="1" x="15"/>
        <item m="1" x="12"/>
        <item m="1" x="17"/>
        <item m="1" x="19"/>
        <item m="1" x="9"/>
        <item m="1" x="45"/>
        <item m="1" x="1"/>
        <item m="1" x="23"/>
        <item m="1" x="30"/>
        <item m="1" x="35"/>
        <item m="1" x="33"/>
        <item m="1" x="37"/>
        <item m="1" x="39"/>
        <item m="1" x="31"/>
        <item m="1" x="32"/>
        <item m="1" x="36"/>
        <item m="1" x="27"/>
        <item m="1" x="24"/>
        <item m="1" x="34"/>
        <item m="1" x="38"/>
        <item m="1" x="40"/>
        <item m="1" x="42"/>
        <item m="1" x="22"/>
        <item m="1" x="11"/>
        <item m="1" x="10"/>
        <item m="1" x="13"/>
        <item m="1" x="20"/>
        <item m="1" x="16"/>
        <item m="1" x="18"/>
        <item m="1" x="21"/>
        <item t="default"/>
      </items>
    </pivotField>
    <pivotField showAll="0"/>
    <pivotField numFmtId="166" showAll="0"/>
    <pivotField numFmtId="14" showAll="0"/>
    <pivotField showAll="0"/>
    <pivotField showAll="0"/>
    <pivotField showAll="0"/>
  </pivotFields>
  <rowItems count="1">
    <i/>
  </rowItems>
  <colFields count="1">
    <field x="6"/>
  </colFields>
  <colItems count="2">
    <i>
      <x v="18"/>
    </i>
    <i t="grand">
      <x/>
    </i>
  </colItems>
  <dataFields count="1">
    <dataField name="Ventas por Curso" fld="4" subtotal="count" baseField="0" baseItem="0"/>
  </dataFields>
  <chartFormats count="7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0" format="27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0" format="28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0" format="29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0" format="30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0" format="31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0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0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5"/>
          </reference>
        </references>
      </pivotArea>
    </chartFormat>
    <chartFormat chart="0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16"/>
          </reference>
        </references>
      </pivotArea>
    </chartFormat>
    <chartFormat chart="0" format="35">
      <pivotArea type="data" outline="0" fieldPosition="0">
        <references count="2">
          <reference field="4294967294" count="1" selected="0">
            <x v="0"/>
          </reference>
          <reference field="6" count="1" selected="0">
            <x v="17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8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9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1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3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4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5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6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7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8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9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0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1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2"/>
          </reference>
        </references>
      </pivotArea>
    </chartFormat>
    <chartFormat chart="0" format="51">
      <pivotArea type="data" outline="0" fieldPosition="0">
        <references count="2">
          <reference field="4294967294" count="1" selected="0">
            <x v="0"/>
          </reference>
          <reference field="6" count="1" selected="0">
            <x v="20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3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4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5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6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7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8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9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0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1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2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3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4"/>
          </reference>
        </references>
      </pivotArea>
    </chartFormat>
    <chartFormat chart="0" format="6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5"/>
          </reference>
        </references>
      </pivotArea>
    </chartFormat>
    <chartFormat chart="0" format="6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6"/>
          </reference>
        </references>
      </pivotArea>
    </chartFormat>
    <chartFormat chart="0" format="6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7"/>
          </reference>
        </references>
      </pivotArea>
    </chartFormat>
    <chartFormat chart="0" format="6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8"/>
          </reference>
        </references>
      </pivotArea>
    </chartFormat>
    <chartFormat chart="0" format="6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9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0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1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2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3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4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5"/>
          </reference>
        </references>
      </pivotArea>
    </chartFormat>
  </chart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69DD47-D69C-2C48-A799-DEADF1F27C50}" name="Venta_por_Plantel_por_Curso" cacheId="1182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showHeaders="0" multipleFieldFilters="0" chartFormat="16" colHeaderCaption="Filtrar Cursos">
  <location ref="A29:C32" firstHeaderRow="1" firstDataRow="2" firstDataCol="1"/>
  <pivotFields count="13">
    <pivotField showAll="0"/>
    <pivotField showAll="0"/>
    <pivotField showAll="0"/>
    <pivotField showAll="0"/>
    <pivotField dataField="1" numFmtId="166" showAll="0"/>
    <pivotField axis="axisRow" showAll="0">
      <items count="21">
        <item m="1" x="14"/>
        <item m="1" x="15"/>
        <item m="1" x="4"/>
        <item m="1" x="16"/>
        <item m="1" x="17"/>
        <item m="1" x="18"/>
        <item m="1" x="3"/>
        <item m="1" x="19"/>
        <item m="1" x="2"/>
        <item m="1" x="6"/>
        <item m="1" x="5"/>
        <item m="1" x="7"/>
        <item m="1" x="1"/>
        <item x="0"/>
        <item m="1" x="11"/>
        <item m="1" x="12"/>
        <item m="1" x="10"/>
        <item m="1" x="8"/>
        <item m="1" x="9"/>
        <item m="1" x="13"/>
        <item t="default"/>
      </items>
    </pivotField>
    <pivotField axis="axisCol" showAll="0">
      <items count="57">
        <item m="1" x="50"/>
        <item m="1" x="51"/>
        <item m="1" x="52"/>
        <item m="1" x="53"/>
        <item m="1" x="54"/>
        <item m="1" x="55"/>
        <item m="1" x="5"/>
        <item m="1" x="48"/>
        <item m="1" x="26"/>
        <item m="1" x="2"/>
        <item m="1" x="41"/>
        <item m="1" x="29"/>
        <item m="1" x="25"/>
        <item m="1" x="8"/>
        <item m="1" x="28"/>
        <item m="1" x="49"/>
        <item m="1" x="47"/>
        <item m="1" x="46"/>
        <item x="0"/>
        <item m="1" x="14"/>
        <item m="1" x="6"/>
        <item m="1" x="43"/>
        <item m="1" x="4"/>
        <item m="1" x="3"/>
        <item m="1" x="7"/>
        <item m="1" x="44"/>
        <item m="1" x="15"/>
        <item m="1" x="12"/>
        <item m="1" x="17"/>
        <item m="1" x="19"/>
        <item m="1" x="9"/>
        <item m="1" x="45"/>
        <item m="1" x="1"/>
        <item m="1" x="23"/>
        <item m="1" x="30"/>
        <item m="1" x="35"/>
        <item m="1" x="33"/>
        <item m="1" x="37"/>
        <item m="1" x="39"/>
        <item m="1" x="31"/>
        <item m="1" x="32"/>
        <item m="1" x="36"/>
        <item m="1" x="27"/>
        <item m="1" x="24"/>
        <item m="1" x="34"/>
        <item m="1" x="38"/>
        <item m="1" x="40"/>
        <item m="1" x="42"/>
        <item m="1" x="22"/>
        <item m="1" x="11"/>
        <item m="1" x="10"/>
        <item m="1" x="13"/>
        <item m="1" x="20"/>
        <item m="1" x="16"/>
        <item m="1" x="18"/>
        <item m="1" x="21"/>
        <item t="default"/>
      </items>
    </pivotField>
    <pivotField showAll="0"/>
    <pivotField numFmtId="166" showAll="0"/>
    <pivotField numFmtId="14" showAll="0"/>
    <pivotField showAll="0"/>
    <pivotField showAll="0"/>
    <pivotField showAll="0"/>
  </pivotFields>
  <rowFields count="1">
    <field x="5"/>
  </rowFields>
  <rowItems count="2">
    <i>
      <x v="13"/>
    </i>
    <i t="grand">
      <x/>
    </i>
  </rowItems>
  <colFields count="1">
    <field x="6"/>
  </colFields>
  <colItems count="2">
    <i>
      <x v="18"/>
    </i>
    <i t="grand">
      <x/>
    </i>
  </colItems>
  <dataFields count="1">
    <dataField name="Ventas por Plantel por Curso" fld="4" subtotal="count" baseField="0" baseItem="0"/>
  </dataFields>
  <chartFormats count="6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0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1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2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3"/>
          </reference>
        </references>
      </pivotArea>
    </chartFormat>
    <chartFormat chart="0" format="10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4"/>
          </reference>
        </references>
      </pivotArea>
    </chartFormat>
    <chartFormat chart="0" format="11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5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8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9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0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1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2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3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4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5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7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9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1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2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3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4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5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6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7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8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9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0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1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3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5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6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7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8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9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0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1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2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3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4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5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7D8554-002D-404E-ACBD-70AB15512CDD}" name="Ventas_por_Promotor" cacheId="1182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showHeaders="0" multipleFieldFilters="0" chartFormat="24" colHeaderCaption="Filtrar Promotores">
  <location ref="A14:C15" firstHeaderRow="0" firstDataRow="1" firstDataCol="1"/>
  <pivotFields count="13">
    <pivotField showAll="0"/>
    <pivotField showAll="0"/>
    <pivotField showAll="0"/>
    <pivotField showAll="0"/>
    <pivotField dataField="1" numFmtId="166" showAll="0"/>
    <pivotField showAll="0"/>
    <pivotField showAll="0"/>
    <pivotField showAll="0"/>
    <pivotField numFmtId="166" showAll="0"/>
    <pivotField numFmtId="14" showAll="0"/>
    <pivotField axis="axisCol" showAll="0">
      <items count="52">
        <item m="1" x="20"/>
        <item m="1" x="49"/>
        <item m="1" x="50"/>
        <item m="1" x="23"/>
        <item m="1" x="24"/>
        <item m="1" x="19"/>
        <item m="1" x="29"/>
        <item m="1" x="17"/>
        <item m="1" x="27"/>
        <item m="1" x="18"/>
        <item m="1" x="16"/>
        <item m="1" x="26"/>
        <item m="1" x="21"/>
        <item m="1" x="28"/>
        <item m="1" x="22"/>
        <item m="1" x="1"/>
        <item m="1" x="2"/>
        <item m="1" x="3"/>
        <item m="1" x="48"/>
        <item m="1" x="33"/>
        <item m="1" x="32"/>
        <item m="1" x="31"/>
        <item m="1" x="30"/>
        <item m="1" x="46"/>
        <item m="1" x="44"/>
        <item m="1" x="45"/>
        <item m="1" x="47"/>
        <item m="1" x="5"/>
        <item m="1" x="6"/>
        <item m="1" x="43"/>
        <item m="1" x="8"/>
        <item m="1" x="7"/>
        <item m="1" x="11"/>
        <item m="1" x="4"/>
        <item m="1" x="9"/>
        <item m="1" x="10"/>
        <item x="0"/>
        <item m="1" x="42"/>
        <item m="1" x="34"/>
        <item m="1" x="25"/>
        <item m="1" x="41"/>
        <item m="1" x="40"/>
        <item m="1" x="37"/>
        <item m="1" x="39"/>
        <item m="1" x="38"/>
        <item m="1" x="35"/>
        <item m="1" x="36"/>
        <item m="1" x="15"/>
        <item m="1" x="14"/>
        <item m="1" x="13"/>
        <item m="1" x="12"/>
        <item t="default"/>
      </items>
    </pivotField>
    <pivotField showAll="0"/>
    <pivotField showAll="0"/>
  </pivotFields>
  <rowItems count="1">
    <i/>
  </rowItems>
  <colFields count="1">
    <field x="10"/>
  </colFields>
  <colItems count="2">
    <i>
      <x v="36"/>
    </i>
    <i t="grand">
      <x/>
    </i>
  </colItems>
  <dataFields count="1">
    <dataField name="Ventas por Promotor" fld="4" subtotal="count" baseField="0" baseItem="0"/>
  </dataFields>
  <chartFormats count="6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0" format="16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0" format="17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0" format="18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0" format="19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0" format="20">
      <pivotArea type="data" outline="0" fieldPosition="0">
        <references count="2">
          <reference field="4294967294" count="1" selected="0">
            <x v="0"/>
          </reference>
          <reference field="10" count="1" selected="0">
            <x v="4"/>
          </reference>
        </references>
      </pivotArea>
    </chartFormat>
    <chartFormat chart="0" format="21">
      <pivotArea type="data" outline="0" fieldPosition="0">
        <references count="2">
          <reference field="4294967294" count="1" selected="0">
            <x v="0"/>
          </reference>
          <reference field="10" count="1" selected="0">
            <x v="5"/>
          </reference>
        </references>
      </pivotArea>
    </chartFormat>
    <chartFormat chart="0" format="22">
      <pivotArea type="data" outline="0" fieldPosition="0">
        <references count="2">
          <reference field="4294967294" count="1" selected="0">
            <x v="0"/>
          </reference>
          <reference field="10" count="1" selected="0">
            <x v="6"/>
          </reference>
        </references>
      </pivotArea>
    </chartFormat>
    <chartFormat chart="0" format="23">
      <pivotArea type="data" outline="0" fieldPosition="0">
        <references count="2">
          <reference field="4294967294" count="1" selected="0">
            <x v="0"/>
          </reference>
          <reference field="10" count="1" selected="0">
            <x v="7"/>
          </reference>
        </references>
      </pivotArea>
    </chartFormat>
    <chartFormat chart="0" format="24">
      <pivotArea type="data" outline="0" fieldPosition="0">
        <references count="2">
          <reference field="4294967294" count="1" selected="0">
            <x v="0"/>
          </reference>
          <reference field="10" count="1" selected="0">
            <x v="8"/>
          </reference>
        </references>
      </pivotArea>
    </chartFormat>
    <chartFormat chart="0" format="25">
      <pivotArea type="data" outline="0" fieldPosition="0">
        <references count="2">
          <reference field="4294967294" count="1" selected="0">
            <x v="0"/>
          </reference>
          <reference field="10" count="1" selected="0">
            <x v="9"/>
          </reference>
        </references>
      </pivotArea>
    </chartFormat>
    <chartFormat chart="0" format="26">
      <pivotArea type="data" outline="0" fieldPosition="0">
        <references count="2">
          <reference field="4294967294" count="1" selected="0">
            <x v="0"/>
          </reference>
          <reference field="10" count="1" selected="0">
            <x v="10"/>
          </reference>
        </references>
      </pivotArea>
    </chartFormat>
    <chartFormat chart="0" format="27">
      <pivotArea type="data" outline="0" fieldPosition="0">
        <references count="2">
          <reference field="4294967294" count="1" selected="0">
            <x v="0"/>
          </reference>
          <reference field="10" count="1" selected="0">
            <x v="11"/>
          </reference>
        </references>
      </pivotArea>
    </chartFormat>
    <chartFormat chart="0" format="28">
      <pivotArea type="data" outline="0" fieldPosition="0">
        <references count="2">
          <reference field="4294967294" count="1" selected="0">
            <x v="0"/>
          </reference>
          <reference field="10" count="1" selected="0">
            <x v="12"/>
          </reference>
        </references>
      </pivotArea>
    </chartFormat>
    <chartFormat chart="0" format="29">
      <pivotArea type="data" outline="0" fieldPosition="0">
        <references count="2">
          <reference field="4294967294" count="1" selected="0">
            <x v="0"/>
          </reference>
          <reference field="10" count="1" selected="0">
            <x v="13"/>
          </reference>
        </references>
      </pivotArea>
    </chartFormat>
    <chartFormat chart="0" format="30">
      <pivotArea type="data" outline="0" fieldPosition="0">
        <references count="2">
          <reference field="4294967294" count="1" selected="0">
            <x v="0"/>
          </reference>
          <reference field="10" count="1" selected="0">
            <x v="14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0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1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2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3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4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5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5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6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7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8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9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2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6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8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9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0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1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2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3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4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5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6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7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8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9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50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7"/>
          </reference>
        </references>
      </pivotArea>
    </chartFormat>
  </chart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EE380F-C175-B449-BC2E-0AB6C92FF62C}" name="Ventas de Coordinacion por Plantel" cacheId="1182" applyNumberFormats="0" applyBorderFormats="0" applyFontFormats="0" applyPatternFormats="0" applyAlignmentFormats="0" applyWidthHeightFormats="1" dataCaption="Values" missingCaption="0" updatedVersion="8" minRefreshableVersion="3" showDrill="0" itemPrintTitles="1" createdVersion="8" indent="0" showHeaders="0" multipleFieldFilters="0" chartFormat="11" colHeaderCaption="Filtrar Planteles">
  <location ref="A92:C95" firstHeaderRow="1" firstDataRow="2" firstDataCol="1"/>
  <pivotFields count="13">
    <pivotField showAll="0"/>
    <pivotField axis="axisRow" showAll="0">
      <items count="92"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x="0"/>
        <item t="default"/>
      </items>
    </pivotField>
    <pivotField showAll="0"/>
    <pivotField showAll="0"/>
    <pivotField numFmtId="166" showAll="0"/>
    <pivotField axis="axisCol" dataField="1" showAll="0">
      <items count="21">
        <item m="1" x="14"/>
        <item m="1" x="15"/>
        <item m="1" x="4"/>
        <item m="1" x="16"/>
        <item m="1" x="17"/>
        <item m="1" x="18"/>
        <item m="1" x="3"/>
        <item m="1" x="19"/>
        <item m="1" x="2"/>
        <item m="1" x="6"/>
        <item m="1" x="5"/>
        <item m="1" x="7"/>
        <item m="1" x="1"/>
        <item x="0"/>
        <item m="1" x="11"/>
        <item m="1" x="12"/>
        <item m="1" x="10"/>
        <item m="1" x="8"/>
        <item m="1" x="9"/>
        <item m="1" x="13"/>
        <item t="default"/>
      </items>
    </pivotField>
    <pivotField showAll="0"/>
    <pivotField showAll="0"/>
    <pivotField numFmtId="166" showAll="0"/>
    <pivotField numFmtId="14" showAll="0"/>
    <pivotField showAll="0"/>
    <pivotField showAll="0"/>
    <pivotField showAll="0"/>
  </pivotFields>
  <rowFields count="1">
    <field x="1"/>
  </rowFields>
  <rowItems count="2">
    <i>
      <x v="90"/>
    </i>
    <i t="grand">
      <x/>
    </i>
  </rowItems>
  <colFields count="1">
    <field x="5"/>
  </colFields>
  <colItems count="2">
    <i>
      <x v="13"/>
    </i>
    <i t="grand">
      <x/>
    </i>
  </colItems>
  <dataFields count="1">
    <dataField name="Ventas de Coordiacion por Plantel" fld="5" subtotal="count" baseField="0" baseItem="0"/>
  </dataFields>
  <chartFormats count="2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5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6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7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8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9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4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CBEDCC-84CA-4F68-A1BF-882DF7EB9AAD}" name="Tabla_Premios_Promotor" displayName="Tabla_Premios_Promotor" ref="A4:F10" totalsRowShown="0" headerRowDxfId="185" dataDxfId="184" tableBorderDxfId="183" dataCellStyle="Currency">
  <autoFilter ref="A4:F10" xr:uid="{1DCBEDCC-84CA-4F68-A1BF-882DF7EB9AAD}"/>
  <tableColumns count="6">
    <tableColumn id="1" xr3:uid="{52B2CFAB-87CE-4CB9-8B44-7C63B5BB8779}" name="REGISTROS " dataDxfId="182"/>
    <tableColumn id="2" xr3:uid="{1F936614-3024-45E4-8B47-3E2669DC32FC}" name="0" dataDxfId="181" dataCellStyle="Currency"/>
    <tableColumn id="5" xr3:uid="{004B43FE-1D3B-4EE3-8961-771A3156DE8D}" name="13" dataDxfId="180" dataCellStyle="Currency"/>
    <tableColumn id="6" xr3:uid="{113128A4-9C84-4D65-ACBE-D34F68404358}" name="15" dataDxfId="179" dataCellStyle="Currency"/>
    <tableColumn id="3" xr3:uid="{4E945F5C-29A5-409D-9741-D02FDD95409D}" name="30" dataDxfId="178" dataCellStyle="Currency"/>
    <tableColumn id="4" xr3:uid="{F54F9DBA-BB7E-4D93-B316-DDF4038A6BBE}" name="40" dataDxfId="177" dataCellStyle="Currency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D8FF99-7FBD-4770-86D4-916903E3362B}" name="Tabla_Premios_Coordinador" displayName="Tabla_Premios_Coordinador" ref="H4:I11" totalsRowShown="0" headerRowDxfId="176" tableBorderDxfId="175">
  <autoFilter ref="H4:I11" xr:uid="{F9D8FF99-7FBD-4770-86D4-916903E3362B}"/>
  <tableColumns count="2">
    <tableColumn id="1" xr3:uid="{0E6771B9-BC03-4485-BDA4-FEEA8045374D}" name="REGISTROS" dataDxfId="174"/>
    <tableColumn id="2" xr3:uid="{4295DB49-D0F8-4407-9A7E-ED849FC12761}" name="PAGO" dataDxfId="173" dataCellStyle="Currency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2E832C-499C-406E-AFE6-A5C76665B594}" name="Tabla_Premios_Gerente" displayName="Tabla_Premios_Gerente" ref="K4:L13" totalsRowShown="0" headerRowDxfId="172" tableBorderDxfId="171">
  <autoFilter ref="K4:L13" xr:uid="{782E832C-499C-406E-AFE6-A5C76665B594}"/>
  <tableColumns count="2">
    <tableColumn id="1" xr3:uid="{7A8416CF-E219-4CDB-8FDD-07CF7E1FE521}" name="REGISTROS" dataDxfId="170"/>
    <tableColumn id="2" xr3:uid="{C0009598-D6D0-42B2-9CE0-A1EE69F3EAA6}" name="PAGO" dataDxfId="169" dataCellStyle="Currency"/>
  </tableColumns>
  <tableStyleInfo name="TableStyleMedium1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5ABD35-A5F5-46DD-B29D-07D529A95A4D}" name="Tabla_Tabulador_Premio_Promotor_Total_Gerencia" displayName="Tabla_Tabulador_Premio_Promotor_Total_Gerencia" ref="A12:B17" totalsRowShown="0" headerRowDxfId="168" tableBorderDxfId="167">
  <autoFilter ref="A12:B17" xr:uid="{B75ABD35-A5F5-46DD-B29D-07D529A95A4D}"/>
  <tableColumns count="2">
    <tableColumn id="1" xr3:uid="{0534316F-AE04-4858-8D2E-9A42BB4165B0}" name="TOTAL GERENCIA"/>
    <tableColumn id="2" xr3:uid="{DFFD83C1-72F0-4D89-8170-8056D606A642}" name="COLUMNA">
      <calculatedColumnFormula>COLUMN(Tabla_Premios_Promotor[[#Headers],[0]])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62E5DA9-A55C-43E9-934D-1A430AD7691F}" name="Tabla_Tabulador_Promotor" displayName="Tabla_Tabulador_Promotor" ref="A3:B4" totalsRowShown="0" headerRowDxfId="166" dataDxfId="165" tableBorderDxfId="164">
  <autoFilter ref="A3:B4" xr:uid="{C62E5DA9-A55C-43E9-934D-1A430AD7691F}">
    <filterColumn colId="0" hiddenButton="1"/>
    <filterColumn colId="1" hiddenButton="1"/>
  </autoFilter>
  <tableColumns count="2">
    <tableColumn id="1" xr3:uid="{42672DA2-CA6C-44A8-A2D9-B989014699D3}" name="INSCRIPCION" dataDxfId="163"/>
    <tableColumn id="2" xr3:uid="{70072444-3B0C-4F18-B27B-4FC876B6174F}" name="PAGO" dataDxfId="162"/>
  </tableColumns>
  <tableStyleInfo name="TableStyleMedium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CD0C1A6-B95A-4FBA-B677-227DAA4AD312}" name="Tabla_Tabulador_Coordinador" displayName="Tabla_Tabulador_Coordinador" ref="D3:F8" totalsRowShown="0" headerRowDxfId="161" dataDxfId="160" tableBorderDxfId="159">
  <autoFilter ref="D3:F8" xr:uid="{8CD0C1A6-B95A-4FBA-B677-227DAA4AD312}">
    <filterColumn colId="0" hiddenButton="1"/>
    <filterColumn colId="1" hiddenButton="1"/>
    <filterColumn colId="2" hiddenButton="1"/>
  </autoFilter>
  <tableColumns count="3">
    <tableColumn id="1" xr3:uid="{CE609495-E552-41C5-A073-4AEB84DBE0A0}" name="MIN" dataDxfId="158"/>
    <tableColumn id="3" xr3:uid="{32B4B292-4525-4662-AD66-6005E8DBCE66}" name="MAX" dataDxfId="157"/>
    <tableColumn id="2" xr3:uid="{1D0B27CB-CCDF-4BB3-95C0-08040C389ED4}" name="PAGO" dataDxfId="156" dataCellStyle="Currency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7648F1-D4BA-41B6-A752-D84C2A76FB23}" name="Tabla_Tabulador_Gerente" displayName="Tabla_Tabulador_Gerente" ref="H3:J8" totalsRowShown="0" headerRowDxfId="155" dataDxfId="154" tableBorderDxfId="153">
  <autoFilter ref="H3:J8" xr:uid="{B67648F1-D4BA-41B6-A752-D84C2A76FB23}">
    <filterColumn colId="0" hiddenButton="1"/>
    <filterColumn colId="1" hiddenButton="1"/>
    <filterColumn colId="2" hiddenButton="1"/>
  </autoFilter>
  <tableColumns count="3">
    <tableColumn id="1" xr3:uid="{A7C5131B-0E80-430B-AF95-8E42C584F734}" name="MIN" dataDxfId="152"/>
    <tableColumn id="3" xr3:uid="{DB963CCE-7667-4B57-8C20-10A4A00B0919}" name="MAX" dataDxfId="151"/>
    <tableColumn id="2" xr3:uid="{C1C619F7-F64B-4052-A8CA-7DEBAE64B680}" name="PAGO" dataDxfId="150" dataCellStyle="Currency"/>
  </tableColumns>
  <tableStyleInfo name="TableStyleMedium1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F9270D9-B009-4143-8D2B-9E1240DA6F10}" name="Tabla_Sueldo_Base_Por_Puesto" displayName="Tabla_Sueldo_Base_Por_Puesto" ref="L3:M6" totalsRowShown="0" headerRowDxfId="149" dataDxfId="148">
  <autoFilter ref="L3:M6" xr:uid="{CF9270D9-B009-4143-8D2B-9E1240DA6F10}"/>
  <tableColumns count="2">
    <tableColumn id="1" xr3:uid="{552B5163-6F1D-4FBD-A357-02C46236A87B}" name="PUESTO" dataDxfId="147"/>
    <tableColumn id="2" xr3:uid="{5711A27E-1EE4-46B1-A04E-5D03F5CEBB74}" name="SUELDO BASE" dataDxfId="146" dataCellStyle="Currency"/>
  </tableColumns>
  <tableStyleInfo name="TableStyleMedium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147D880-06D1-4D7B-B657-F07A229C7E08}" name="Tabla_Sueldos_Base" displayName="Tabla_Sueldos_Base" ref="L10:P24" totalsRowShown="0" headerRowDxfId="145" dataDxfId="144">
  <autoFilter ref="L10:P24" xr:uid="{1147D880-06D1-4D7B-B657-F07A229C7E08}"/>
  <sortState xmlns:xlrd2="http://schemas.microsoft.com/office/spreadsheetml/2017/richdata2" ref="L11:P24">
    <sortCondition ref="P10:P24"/>
  </sortState>
  <tableColumns count="5">
    <tableColumn id="1" xr3:uid="{C2BD86FE-CD09-4E33-924A-D229ACE908E5}" name="COLABORADOR" dataDxfId="143"/>
    <tableColumn id="2" xr3:uid="{24553BA7-BE24-4460-AA82-33D1DCC84F4A}" name="SUELDO BASE" dataDxfId="142" dataCellStyle="Currency"/>
    <tableColumn id="5" xr3:uid="{6AE8BC63-6EC0-47FC-9DBB-DCE8AF4B89F8}" name="PUESTO" dataDxfId="141"/>
    <tableColumn id="3" xr3:uid="{EB4A0A70-B1F2-40A4-AC06-15BA77F108EE}" name="COORDINACION" dataDxfId="140"/>
    <tableColumn id="4" xr3:uid="{EDC6B3E8-8800-4CCF-9C64-C3873CF91EF2}" name="GERENCIA" dataDxfId="139"/>
  </tableColumns>
  <tableStyleInfo name="TableStyleMedium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68159DA-88A6-4E59-B876-F2A425C567A9}" name="Tabla_Descuentos" displayName="Tabla_Descuentos" ref="R3:W4" totalsRowShown="0" headerRowDxfId="138" dataDxfId="137">
  <autoFilter ref="R3:W4" xr:uid="{968159DA-88A6-4E59-B876-F2A425C567A9}"/>
  <tableColumns count="6">
    <tableColumn id="1" xr3:uid="{6A4C6522-2E5C-4103-8B8C-B0A723293670}" name="COLABORADOR" dataDxfId="136"/>
    <tableColumn id="2" xr3:uid="{29E00D9E-BA5E-4284-871D-7C79414179C7}" name="DESCUENTO" dataDxfId="135" dataCellStyle="Currency">
      <calculatedColumnFormula>SUMIF(Tabla_Sueldos_Base[COORDINACION],Tabla_Descuentos[[#This Row],[COORDINACION]],Tabla_Sueldos_Base[SUELDO BASE])*0.3 * -1</calculatedColumnFormula>
    </tableColumn>
    <tableColumn id="6" xr3:uid="{FC42CF7F-86CC-4017-BD0A-792ED3EA4FAB}" name="CONCEPTO" dataDxfId="134" dataCellStyle="Currency"/>
    <tableColumn id="5" xr3:uid="{6D3C6C93-F493-4C8D-857F-155F5350958B}" name="PUESTO" dataDxfId="133"/>
    <tableColumn id="3" xr3:uid="{81E86445-B5A3-4E4E-93E5-A947F43CC839}" name="COORDINACION" dataDxfId="132"/>
    <tableColumn id="4" xr3:uid="{829B3219-00AE-46DB-8F5B-C4EFFEFCD5DB}" name="GERENCIA" dataDxfId="131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0F12C1-42F0-4A95-83C0-291E4C4CB0D7}" name="Tabla_Gerentes" displayName="Tabla_Gerentes" ref="A3:B6" totalsRowShown="0" headerRowDxfId="130" dataDxfId="129" tableBorderDxfId="128">
  <autoFilter ref="A3:B6" xr:uid="{520F12C1-42F0-4A95-83C0-291E4C4CB0D7}"/>
  <sortState xmlns:xlrd2="http://schemas.microsoft.com/office/spreadsheetml/2017/richdata2" ref="A4:B6">
    <sortCondition ref="B3:B6"/>
  </sortState>
  <tableColumns count="2">
    <tableColumn id="1" xr3:uid="{5C96974D-720E-4E5B-8155-C5E2F7F7BB9E}" name="NOMBRE" dataDxfId="127"/>
    <tableColumn id="2" xr3:uid="{00B08831-9CDB-4BD2-BC0F-DC47A6A4F354}" name="ALIAS" dataDxfId="126"/>
  </tableColumns>
  <tableStyleInfo name="TableStyleMedium1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F6B8FC6-C1A4-4320-ADFC-8DB762BBF673}" name="Tabla_Coordinadores" displayName="Tabla_Coordinadores" ref="D3:F14" totalsRowShown="0" headerRowDxfId="125" dataDxfId="124" tableBorderDxfId="123">
  <autoFilter ref="D3:F14" xr:uid="{7F6B8FC6-C1A4-4320-ADFC-8DB762BBF673}"/>
  <sortState xmlns:xlrd2="http://schemas.microsoft.com/office/spreadsheetml/2017/richdata2" ref="D4:F14">
    <sortCondition ref="F3:F14"/>
  </sortState>
  <tableColumns count="3">
    <tableColumn id="1" xr3:uid="{60AF1070-D529-43F9-9BBA-214450E0FE5D}" name="NOMBRE" dataDxfId="122"/>
    <tableColumn id="3" xr3:uid="{2DD1284D-DA80-4597-803E-F543BE29814B}" name="ALIAS"/>
    <tableColumn id="2" xr3:uid="{4267DC2B-70EF-4B96-85D9-390931974CA4}" name="GERENCIA" dataDxfId="121"/>
  </tableColumns>
  <tableStyleInfo name="TableStyleMedium2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4EB82E4-CF9A-4936-88EA-6D8471CDAA6B}" name="Tabla_Promotores" displayName="Tabla_Promotores" ref="H3:K54" totalsRowShown="0" headerRowDxfId="120" dataDxfId="119" tableBorderDxfId="118">
  <autoFilter ref="H3:K54" xr:uid="{B4EB82E4-CF9A-4936-88EA-6D8471CDAA6B}"/>
  <sortState xmlns:xlrd2="http://schemas.microsoft.com/office/spreadsheetml/2017/richdata2" ref="H4:K4">
    <sortCondition ref="K3:K4"/>
  </sortState>
  <tableColumns count="4">
    <tableColumn id="1" xr3:uid="{AB044EFA-BC51-4471-87D5-475D29D84838}" name="NOMBRE" dataDxfId="117"/>
    <tableColumn id="4" xr3:uid="{A184B911-0E2E-4D86-8830-CA03C708B065}" name="ALIAS" dataDxfId="116"/>
    <tableColumn id="2" xr3:uid="{104E3815-4B2A-4477-9382-D78944AFF843}" name="COORDINACION" dataDxfId="115"/>
    <tableColumn id="3" xr3:uid="{461A0A24-4F60-4FB0-A7D3-2D78DCB499E9}" name="GERENCIA" dataDxfId="114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4FF295D1-C73B-3641-8328-F0CC3CD7679F}" name="Tabla_Coordinadores_Gerencia_Activa" displayName="Tabla_Coordinadores_Gerencia_Activa" ref="M3:M6" totalsRowShown="0">
  <autoFilter ref="M3:M6" xr:uid="{4FF295D1-C73B-3641-8328-F0CC3CD7679F}"/>
  <sortState xmlns:xlrd2="http://schemas.microsoft.com/office/spreadsheetml/2017/richdata2" ref="M4:M6">
    <sortCondition ref="M4:M6"/>
  </sortState>
  <tableColumns count="1">
    <tableColumn id="1" xr3:uid="{F23983CF-C7C1-2F41-A69F-0A142DBCD018}" name="COORDINADOR"/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E5A9EF8-E9C8-5B4D-B155-288B1855B213}" name="Tabla_Planteles" displayName="Tabla_Planteles" ref="A3:B16" totalsRowShown="0" tableBorderDxfId="113">
  <autoFilter ref="A3:B16" xr:uid="{04E05EA9-2BC1-462C-96D4-B4A60135AD3D}"/>
  <sortState xmlns:xlrd2="http://schemas.microsoft.com/office/spreadsheetml/2017/richdata2" ref="A4:B16">
    <sortCondition ref="A3:A16"/>
  </sortState>
  <tableColumns count="2">
    <tableColumn id="1" xr3:uid="{2A2F8793-0B5F-4EFE-B6EF-A13CE1333785}" name="NOMBRE"/>
    <tableColumn id="2" xr3:uid="{C3D26E55-B764-49B9-9617-0D628D64382F}" name="RAZON SOCIAL"/>
  </tableColumns>
  <tableStyleInfo name="TableStyleMedium2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2737F8B-6C3E-1045-A721-B3836355001C}" name="Tabla_Razones_Sociales" displayName="Tabla_Razones_Sociales" ref="D3:D9" totalsRowShown="0" headerRowDxfId="112" dataDxfId="110" headerRowBorderDxfId="111" tableBorderDxfId="109">
  <autoFilter ref="D3:D9" xr:uid="{89B09C90-614E-AB47-8F79-718600BA92C3}"/>
  <sortState xmlns:xlrd2="http://schemas.microsoft.com/office/spreadsheetml/2017/richdata2" ref="D4:D9">
    <sortCondition ref="D3:D9"/>
  </sortState>
  <tableColumns count="1">
    <tableColumn id="1" xr3:uid="{8AB590BC-7FC7-EA47-B6FC-421C4BCCA867}" name="RAZON SOCIAL" dataDxfId="108"/>
  </tableColumns>
  <tableStyleInfo name="TableStyleMedium2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1B75C1-203F-ED44-AD9D-3F71FCD5CB57}" name="Tabla_Cursos" displayName="Tabla_Cursos" ref="A3:A27" totalsRowShown="0" tableBorderDxfId="107">
  <autoFilter ref="A3:A27" xr:uid="{4C1B75C1-203F-ED44-AD9D-3F71FCD5CB57}"/>
  <sortState xmlns:xlrd2="http://schemas.microsoft.com/office/spreadsheetml/2017/richdata2" ref="A4:A27">
    <sortCondition ref="A3:A27"/>
  </sortState>
  <tableColumns count="1">
    <tableColumn id="1" xr3:uid="{DB5C6237-0A61-BD48-BDA2-512170159DA0}" name="CURSOS"/>
  </tableColumns>
  <tableStyleInfo name="TableStyleMedium20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C0FA07F-0DE0-4099-9974-17C69221CC48}" name="Tabla_Coordinador" displayName="Tabla_Coordinador" ref="A8:K10" totalsRowCount="1" headerRowDxfId="106" dataDxfId="105" totalsRowDxfId="103" tableBorderDxfId="104">
  <autoFilter ref="A8:K9" xr:uid="{9C0FA07F-0DE0-4099-9974-17C69221CC48}"/>
  <tableColumns count="11">
    <tableColumn id="1" xr3:uid="{19C5DD40-BE0D-4F37-942C-33F42CA8A26B}" name="PROMOTOR" totalsRowLabel="TOTAL COMISION" dataDxfId="102" totalsRowDxfId="101"/>
    <tableColumn id="3" xr3:uid="{5B23042C-BE2F-4E30-A41F-5DC03A9C6C4D}" name="CREDENCIAL" dataDxfId="100" totalsRowDxfId="99"/>
    <tableColumn id="4" xr3:uid="{9B4226F9-249A-4A0A-B259-362B9DB0BAF7}" name="NOMBRE DEL ALUMNO" dataDxfId="98" totalsRowDxfId="97"/>
    <tableColumn id="5" xr3:uid="{4A52831D-FAC8-4B99-B890-88CD1DD952B8}" name="COMISION" totalsRowFunction="sum" dataDxfId="96" totalsRowDxfId="95">
      <calculatedColumnFormula>IF(
    OR(
        Tabla_Coordinador[[#This Row],[GRUPO]] = 501,
        Tabla_Coordinador[[#This Row],[GRUPO]] = 505,
        Tabla_Coordinador[[#This Row],[GRUPO]] = 503,
        Tabla_Coordinador[[#This Row],[GRUPO]] = "",
        Tabla_Coordinador[[#This Row],[GRUPO]] = 500,
        Tabla_Coordinador[[#This Row],[PAGO]] &lt; 299,
        COUNTIF(Tabla_Coordinador[CREDENCIAL], Tabla_Coordinador[[#This Row],[CREDENCIAL]]) &gt; 1,
        COUNTIF(Tabla_Gerente[CREDENCIAL], Tabla_Coordinador[[#This Row],[CREDENCIAL]]) &gt; 1
    ),
    0,
    VLOOKUP(
        Total_Registros_Coordinador,
        Tabla_Tabulador_Coordinador[],
        3,
        TRUE
    )
)</calculatedColumnFormula>
    </tableColumn>
    <tableColumn id="6" xr3:uid="{98E6506C-CDC5-4BF4-B0EC-396314124A1E}" name="PLANTEL" dataDxfId="94" totalsRowDxfId="93"/>
    <tableColumn id="7" xr3:uid="{E2569798-5824-4510-854E-E7A571E0E564}" name="CURSO" dataDxfId="92" totalsRowDxfId="91"/>
    <tableColumn id="8" xr3:uid="{67FDCAF1-8329-4126-BC1C-00F4EAAF6E00}" name="GRUPO" dataDxfId="90" totalsRowDxfId="89"/>
    <tableColumn id="9" xr3:uid="{AC40ABEB-FD9B-4099-9F83-E129B1162F76}" name="PAGO" dataDxfId="88" totalsRowDxfId="87" dataCellStyle="Currency">
      <calculatedColumnFormula>IFERROR(VLOOKUP(Tabla_Coordinador[[#This Row],[CREDENCIAL]], Tabla_Gerente[[CREDENCIAL]:[PAGO]], 7, FALSE), 0)</calculatedColumnFormula>
    </tableColumn>
    <tableColumn id="10" xr3:uid="{55740D8C-1BC1-4A82-82C0-69D58AD70CE8}" name="FECHA" dataDxfId="86" totalsRowDxfId="85"/>
    <tableColumn id="12" xr3:uid="{DD2945A0-712B-4694-BEE8-E37BE99A65ED}" name="TS PLANTEL " dataDxfId="84" totalsRowDxfId="83"/>
    <tableColumn id="13" xr3:uid="{9F84B062-DFF3-455F-907E-2FFD77D79C98}" name="TS CREDENCIAL " dataDxfId="82" totalsRowDxfId="81"/>
  </tableColumns>
  <tableStyleInfo name="TableStyleMedium16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71DDCE0-811A-4D44-9CD0-772974577224}" name="Tabla_Promotor" displayName="Tabla_Promotor" ref="A8:K10" totalsRowCount="1" headerRowDxfId="80" dataDxfId="79" totalsRowDxfId="77" tableBorderDxfId="78">
  <autoFilter ref="A8:K9" xr:uid="{C71DDCE0-811A-4D44-9CD0-772974577224}"/>
  <tableColumns count="11">
    <tableColumn id="1" xr3:uid="{A6779933-13F4-45D5-B0BE-0E76DC3825EC}" name="PROMOTOR" totalsRowLabel="TOTAL COMISION" dataDxfId="76" totalsRowDxfId="75"/>
    <tableColumn id="3" xr3:uid="{B062B3B6-A816-4FF4-94DB-3941B90A3AFB}" name="CREDENCIAL" dataDxfId="74" totalsRowDxfId="73"/>
    <tableColumn id="4" xr3:uid="{AC623468-4FBB-4F5F-B2C6-7CA181BD4972}" name="NOMBRE DEL ALUMNO " dataDxfId="72" totalsRowDxfId="71"/>
    <tableColumn id="5" xr3:uid="{1F089BDE-6469-4A0B-BAE3-84045AEC151E}" name="COMISION" totalsRowFunction="sum" dataDxfId="70" totalsRowDxfId="69">
      <calculatedColumnFormula>IF(
    OR(
        Tabla_Promotor[[#This Row],[GRUPO]] = "",
        Tabla_Promotor[[#This Row],[GRUPO]] = 500,
        COUNTIF(Tabla_Promotor[CREDENCIAL], Tabla_Promotor[[#This Row],[CREDENCIAL]]) &gt; 1,
        COUNTIF(Tabla_Gerente[CREDENCIAL], Tabla_Promotor[[#This Row],[CREDENCIAL]]) &gt; 1,
    ),
    0,
    IF(
        Tabla_Promotor[[#This Row],[GRUPO]] = 503,
        Tabla_Promotor[[#This Row],[PAGO]],
        IF(
            Tabla_Promotor[[#This Row],[PAGO]] &gt;= 299,
            Tabla_Promotor[[#This Row],[PAGO]] - 150,
            0
        )
    )
)</calculatedColumnFormula>
    </tableColumn>
    <tableColumn id="6" xr3:uid="{3C3A7400-D457-4E2F-96C3-73C9DB45BA5C}" name="PLANTEL" dataDxfId="68" totalsRowDxfId="67"/>
    <tableColumn id="7" xr3:uid="{0B52D944-9BCE-465A-9E0A-16ACA93A916E}" name="CURSO" dataDxfId="66" totalsRowDxfId="65"/>
    <tableColumn id="8" xr3:uid="{6ED92993-524D-44AC-BCB5-42E120A94D27}" name="GRUPO" dataDxfId="64" totalsRowDxfId="63"/>
    <tableColumn id="9" xr3:uid="{2C6EF25D-446E-444A-B421-53BBA5381135}" name="PAGO" dataDxfId="62" totalsRowDxfId="61">
      <calculatedColumnFormula>IFERROR(VLOOKUP(Tabla_Promotor[[#This Row],[CREDENCIAL]], Tabla_Gerente[[CREDENCIAL]:[PAGO]], 7, FALSE), 0)</calculatedColumnFormula>
    </tableColumn>
    <tableColumn id="10" xr3:uid="{655EAA6F-3524-4914-B588-4867B57FC713}" name="FECHA" dataDxfId="60" totalsRowDxfId="59"/>
    <tableColumn id="12" xr3:uid="{2EB107FE-318E-48B7-A8DC-B15BE97A41DE}" name="TS PLANTEL " dataDxfId="58" totalsRowDxfId="57"/>
    <tableColumn id="13" xr3:uid="{4C94A03A-F424-4744-A7E6-CCB2193F2A8D}" name="TS CREDENCIAL " dataDxfId="56" totalsRowDxfId="55"/>
  </tableColumns>
  <tableStyleInfo name="TableStyleMedium2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305F6E2-D5D6-4EBD-8B3C-0D248B73A287}" name="Tabla_Gerente" displayName="Tabla_Gerente" ref="A8:M10" totalsRowCount="1" headerRowDxfId="54" dataDxfId="53" totalsRowDxfId="51" tableBorderDxfId="52">
  <autoFilter ref="A8:M9" xr:uid="{A305F6E2-D5D6-4EBD-8B3C-0D248B73A287}"/>
  <sortState xmlns:xlrd2="http://schemas.microsoft.com/office/spreadsheetml/2017/richdata2" ref="A9:M9">
    <sortCondition ref="B8:B10"/>
  </sortState>
  <tableColumns count="13">
    <tableColumn id="2" xr3:uid="{56E64E82-5E58-554C-A882-E35B493A1EDD}" name="GERENTE" totalsRowLabel="TOTAL COMISION" dataDxfId="50" totalsRowDxfId="12">
      <calculatedColumnFormula>_xlfn.IFNA(VLOOKUP(Nombre_Gerente,Tabla_Gerentes[],2,FALSE),"")</calculatedColumnFormula>
    </tableColumn>
    <tableColumn id="1" xr3:uid="{7448FB15-C3FC-46D5-9295-B52A380565C0}" name="COORDINADOR" dataDxfId="49" totalsRowDxfId="11"/>
    <tableColumn id="3" xr3:uid="{F7FE17D9-8003-43E0-96E2-9B972F359B57}" name="CREDENCIAL" dataDxfId="48" totalsRowDxfId="10"/>
    <tableColumn id="4" xr3:uid="{AC7EEA83-9F8E-44E3-B123-B0B53E6B8EC1}" name="NOMBRE DEL ALUMNO" dataDxfId="47" totalsRowDxfId="9"/>
    <tableColumn id="5" xr3:uid="{0692000D-513F-4924-BAA4-74F65B866529}" name="COMISION" totalsRowFunction="sum" dataDxfId="46" totalsRowDxfId="8">
      <calculatedColumnFormula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calculatedColumnFormula>
    </tableColumn>
    <tableColumn id="6" xr3:uid="{CA4978CE-10CF-48A8-948B-4C6B5BEB8BF5}" name="PLANTEL" dataDxfId="45" totalsRowDxfId="7"/>
    <tableColumn id="7" xr3:uid="{579CE2E3-347A-4C5C-82DC-98E153BDF40A}" name="CURSO" dataDxfId="44" totalsRowDxfId="6"/>
    <tableColumn id="8" xr3:uid="{0EBAAD61-5825-4628-90D2-2F35F3DA04C7}" name="GRUPO" dataDxfId="43" totalsRowDxfId="5"/>
    <tableColumn id="9" xr3:uid="{DA401AF7-4D16-49DC-8E7E-9B3EC63EABF5}" name="PAGO" dataDxfId="42" totalsRowDxfId="4" dataCellStyle="Currency"/>
    <tableColumn id="10" xr3:uid="{A2F8A34B-2DE7-44AF-8657-CBB70F6C2E5D}" name="FECHA" dataDxfId="41" totalsRowDxfId="3"/>
    <tableColumn id="11" xr3:uid="{9A6A3285-8D3A-4278-8063-F75D4C5AADAC}" name="PROMOTOR" dataDxfId="40" totalsRowDxfId="2"/>
    <tableColumn id="12" xr3:uid="{B6E9C414-52E7-489F-AE3D-3AE657C11D5F}" name="TS PLANTEL" dataDxfId="39" totalsRowDxfId="1"/>
    <tableColumn id="13" xr3:uid="{94FB8847-55A2-4AB1-892D-CC285D0C120B}" name="TS CREDENCIAL" dataDxfId="38" totalsRow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20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086E4-5530-4216-88F7-E275E0D59BCF}">
  <sheetPr codeName="Sheet3">
    <tabColor rgb="FFFFFF00"/>
  </sheetPr>
  <dimension ref="A1:M29"/>
  <sheetViews>
    <sheetView workbookViewId="0">
      <selection activeCell="L54" sqref="L54"/>
    </sheetView>
  </sheetViews>
  <sheetFormatPr baseColWidth="10" defaultColWidth="22.33203125" defaultRowHeight="15" x14ac:dyDescent="0.2"/>
  <cols>
    <col min="1" max="1" width="22.5" bestFit="1" customWidth="1"/>
    <col min="2" max="2" width="24.6640625" bestFit="1" customWidth="1"/>
    <col min="3" max="6" width="11.5" bestFit="1" customWidth="1"/>
    <col min="7" max="7" width="2.83203125" customWidth="1"/>
    <col min="8" max="8" width="23.1640625" bestFit="1" customWidth="1"/>
    <col min="9" max="9" width="11.5" bestFit="1" customWidth="1"/>
    <col min="10" max="10" width="2.83203125" customWidth="1"/>
    <col min="11" max="11" width="16.33203125" bestFit="1" customWidth="1"/>
    <col min="12" max="12" width="11.5" bestFit="1" customWidth="1"/>
  </cols>
  <sheetData>
    <row r="1" spans="1:13" ht="21" thickBot="1" x14ac:dyDescent="0.3">
      <c r="A1" s="63" t="s">
        <v>0</v>
      </c>
      <c r="B1" s="58"/>
      <c r="C1" s="58"/>
      <c r="D1" s="58"/>
      <c r="E1" s="58"/>
      <c r="F1" s="58"/>
      <c r="H1" s="63" t="s">
        <v>9</v>
      </c>
      <c r="I1" s="58"/>
      <c r="J1" s="7"/>
      <c r="K1" s="58" t="s">
        <v>3</v>
      </c>
      <c r="L1" s="58"/>
      <c r="M1" s="6"/>
    </row>
    <row r="2" spans="1:13" ht="15" customHeight="1" thickTop="1" x14ac:dyDescent="0.2">
      <c r="A2" s="7"/>
      <c r="B2" s="7"/>
      <c r="C2" s="7"/>
      <c r="D2" s="7"/>
      <c r="E2" s="7"/>
      <c r="F2" s="7"/>
      <c r="H2" s="7"/>
      <c r="I2" s="7"/>
      <c r="J2" s="7"/>
      <c r="K2" s="6"/>
      <c r="L2" s="6"/>
      <c r="M2" s="6"/>
    </row>
    <row r="3" spans="1:13" ht="16" x14ac:dyDescent="0.2">
      <c r="B3" s="6" t="s">
        <v>4</v>
      </c>
      <c r="C3" s="6"/>
      <c r="D3" s="6"/>
      <c r="E3" s="6"/>
      <c r="F3" s="6"/>
      <c r="H3" s="6"/>
      <c r="I3" s="6"/>
      <c r="J3" s="6"/>
      <c r="K3" s="6"/>
      <c r="L3" s="6"/>
      <c r="M3" s="6"/>
    </row>
    <row r="4" spans="1:13" ht="16" x14ac:dyDescent="0.2">
      <c r="A4" s="4" t="s">
        <v>2</v>
      </c>
      <c r="B4" s="4" t="s">
        <v>46</v>
      </c>
      <c r="C4" s="65" t="s">
        <v>45</v>
      </c>
      <c r="D4" s="65" t="s">
        <v>10</v>
      </c>
      <c r="E4" s="65" t="s">
        <v>11</v>
      </c>
      <c r="F4" s="65" t="s">
        <v>12</v>
      </c>
      <c r="H4" s="64" t="s">
        <v>5</v>
      </c>
      <c r="I4" s="64" t="s">
        <v>1</v>
      </c>
      <c r="J4" s="6"/>
      <c r="K4" s="64" t="s">
        <v>5</v>
      </c>
      <c r="L4" s="64" t="s">
        <v>1</v>
      </c>
      <c r="M4" s="6"/>
    </row>
    <row r="5" spans="1:13" ht="16" x14ac:dyDescent="0.2">
      <c r="A5" s="62">
        <v>4</v>
      </c>
      <c r="B5" s="5">
        <v>0</v>
      </c>
      <c r="C5" s="5">
        <v>0</v>
      </c>
      <c r="D5" s="2">
        <v>300</v>
      </c>
      <c r="E5" s="2">
        <v>400</v>
      </c>
      <c r="F5" s="2">
        <v>500</v>
      </c>
      <c r="H5" s="1">
        <v>13</v>
      </c>
      <c r="I5" s="5">
        <v>400</v>
      </c>
      <c r="J5" s="5"/>
      <c r="K5" s="1">
        <v>30</v>
      </c>
      <c r="L5" s="5">
        <v>1500</v>
      </c>
      <c r="M5" s="5"/>
    </row>
    <row r="6" spans="1:13" ht="16" x14ac:dyDescent="0.2">
      <c r="A6" s="62">
        <v>6</v>
      </c>
      <c r="B6" s="5">
        <v>0</v>
      </c>
      <c r="C6" s="5">
        <v>0</v>
      </c>
      <c r="D6" s="2">
        <v>500</v>
      </c>
      <c r="E6" s="2">
        <v>700</v>
      </c>
      <c r="F6" s="2">
        <v>800</v>
      </c>
      <c r="H6" s="1">
        <v>15</v>
      </c>
      <c r="I6" s="5">
        <v>1000</v>
      </c>
      <c r="J6" s="5"/>
      <c r="K6" s="1">
        <v>40</v>
      </c>
      <c r="L6" s="5">
        <v>2000</v>
      </c>
      <c r="M6" s="5"/>
    </row>
    <row r="7" spans="1:13" ht="16" x14ac:dyDescent="0.2">
      <c r="A7" s="62">
        <v>9</v>
      </c>
      <c r="B7" s="5">
        <v>0</v>
      </c>
      <c r="C7" s="5">
        <v>0</v>
      </c>
      <c r="D7" s="2">
        <v>800</v>
      </c>
      <c r="E7" s="2">
        <v>1000</v>
      </c>
      <c r="F7" s="2">
        <v>1200</v>
      </c>
      <c r="H7" s="1">
        <v>20</v>
      </c>
      <c r="I7" s="5">
        <v>2000</v>
      </c>
      <c r="J7" s="5"/>
      <c r="K7" s="1">
        <v>50</v>
      </c>
      <c r="L7" s="5">
        <v>2500</v>
      </c>
      <c r="M7" s="5"/>
    </row>
    <row r="8" spans="1:13" ht="16" x14ac:dyDescent="0.2">
      <c r="A8" s="62">
        <v>13</v>
      </c>
      <c r="B8" s="5">
        <v>0</v>
      </c>
      <c r="C8" s="5">
        <v>1700</v>
      </c>
      <c r="D8" s="5">
        <v>1700</v>
      </c>
      <c r="E8" s="5">
        <v>1700</v>
      </c>
      <c r="F8" s="5">
        <v>1700</v>
      </c>
      <c r="H8" s="1">
        <v>30</v>
      </c>
      <c r="I8" s="5">
        <v>2500</v>
      </c>
      <c r="J8" s="5"/>
      <c r="K8" s="1">
        <v>60</v>
      </c>
      <c r="L8" s="5">
        <v>3000</v>
      </c>
      <c r="M8" s="5"/>
    </row>
    <row r="9" spans="1:13" ht="16" x14ac:dyDescent="0.2">
      <c r="A9" s="62">
        <v>15</v>
      </c>
      <c r="B9" s="5">
        <v>0</v>
      </c>
      <c r="C9" s="5">
        <v>2000</v>
      </c>
      <c r="D9" s="5">
        <v>2000</v>
      </c>
      <c r="E9" s="5">
        <v>2000</v>
      </c>
      <c r="F9" s="5">
        <v>2000</v>
      </c>
      <c r="H9" s="1">
        <v>40</v>
      </c>
      <c r="I9" s="5">
        <v>4000</v>
      </c>
      <c r="J9" s="5"/>
      <c r="K9" s="1">
        <v>80</v>
      </c>
      <c r="L9" s="5">
        <v>4200</v>
      </c>
      <c r="M9" s="5"/>
    </row>
    <row r="10" spans="1:13" ht="16" x14ac:dyDescent="0.2">
      <c r="A10" s="62">
        <v>18</v>
      </c>
      <c r="B10" s="5">
        <v>0</v>
      </c>
      <c r="C10" s="5">
        <v>2400</v>
      </c>
      <c r="D10" s="5">
        <v>2400</v>
      </c>
      <c r="E10" s="5">
        <v>2400</v>
      </c>
      <c r="F10" s="5">
        <v>2400</v>
      </c>
      <c r="H10" s="1">
        <v>50</v>
      </c>
      <c r="I10" s="5">
        <v>5000</v>
      </c>
      <c r="J10" s="5"/>
      <c r="K10" s="1">
        <v>100</v>
      </c>
      <c r="L10" s="5">
        <v>5500</v>
      </c>
      <c r="M10" s="5"/>
    </row>
    <row r="11" spans="1:13" ht="16" x14ac:dyDescent="0.2">
      <c r="A11" s="62"/>
      <c r="B11" s="5"/>
      <c r="C11" s="1"/>
      <c r="D11" s="1"/>
      <c r="E11" s="1"/>
      <c r="F11" s="1"/>
      <c r="H11" s="1">
        <v>60</v>
      </c>
      <c r="I11" s="5">
        <v>6000</v>
      </c>
      <c r="J11" s="5"/>
      <c r="K11" s="1">
        <v>120</v>
      </c>
      <c r="L11" s="5">
        <v>6000</v>
      </c>
      <c r="M11" s="5"/>
    </row>
    <row r="12" spans="1:13" ht="16" x14ac:dyDescent="0.2">
      <c r="A12" s="66" t="s">
        <v>43</v>
      </c>
      <c r="B12" s="66" t="s">
        <v>44</v>
      </c>
      <c r="C12" s="1"/>
      <c r="D12" s="1"/>
      <c r="E12" s="1"/>
      <c r="F12" s="1"/>
      <c r="K12" s="1">
        <v>150</v>
      </c>
      <c r="L12" s="5">
        <v>7000</v>
      </c>
      <c r="M12" s="5"/>
    </row>
    <row r="13" spans="1:13" ht="16" x14ac:dyDescent="0.2">
      <c r="A13" s="1">
        <v>0</v>
      </c>
      <c r="B13" s="1">
        <f>COLUMN(Tabla_Premios_Promotor[[#Headers],[0]])</f>
        <v>2</v>
      </c>
      <c r="C13" s="1"/>
      <c r="K13" s="1">
        <v>200</v>
      </c>
      <c r="L13" s="5">
        <v>8000</v>
      </c>
      <c r="M13" s="5"/>
    </row>
    <row r="14" spans="1:13" ht="16" x14ac:dyDescent="0.2">
      <c r="A14" s="1">
        <v>13</v>
      </c>
      <c r="B14" s="1">
        <f>COLUMN(Tabla_Premios_Promotor[[#Headers],[13]])</f>
        <v>3</v>
      </c>
    </row>
    <row r="15" spans="1:13" x14ac:dyDescent="0.2">
      <c r="A15">
        <v>15</v>
      </c>
      <c r="B15">
        <f>COLUMN(Tabla_Premios_Promotor[[#Headers],[15]])</f>
        <v>4</v>
      </c>
    </row>
    <row r="16" spans="1:13" x14ac:dyDescent="0.2">
      <c r="A16">
        <v>30</v>
      </c>
      <c r="B16">
        <f>COLUMN(Tabla_Premios_Promotor[[#Headers],[30]])</f>
        <v>5</v>
      </c>
    </row>
    <row r="17" spans="1:12" x14ac:dyDescent="0.2">
      <c r="A17">
        <v>40</v>
      </c>
      <c r="B17">
        <f>COLUMN(Tabla_Premios_Promotor[[#Headers],[40]])</f>
        <v>6</v>
      </c>
    </row>
    <row r="19" spans="1:12" ht="16" x14ac:dyDescent="0.2">
      <c r="A19" s="13"/>
      <c r="B19" s="13"/>
      <c r="C19" s="29"/>
      <c r="D19" s="28"/>
      <c r="E19" s="26"/>
      <c r="F19" s="26"/>
      <c r="G19" s="13"/>
      <c r="H19" s="13"/>
      <c r="I19" s="13"/>
      <c r="J19" s="13"/>
      <c r="K19" s="13"/>
      <c r="L19" s="13"/>
    </row>
    <row r="20" spans="1:12" ht="16" x14ac:dyDescent="0.2">
      <c r="A20" s="13"/>
      <c r="B20" s="13"/>
      <c r="C20" s="13"/>
      <c r="D20" s="13"/>
    </row>
    <row r="21" spans="1:12" ht="16" x14ac:dyDescent="0.2">
      <c r="A21" s="13"/>
      <c r="B21" s="13"/>
      <c r="C21" s="13"/>
      <c r="D21" s="13"/>
    </row>
    <row r="22" spans="1:12" ht="16" x14ac:dyDescent="0.2">
      <c r="A22" s="13"/>
      <c r="B22" s="13"/>
      <c r="C22" s="13"/>
      <c r="D22" s="13"/>
    </row>
    <row r="23" spans="1:12" ht="16" x14ac:dyDescent="0.2">
      <c r="A23" s="13"/>
      <c r="B23" s="13"/>
      <c r="C23" s="13"/>
      <c r="D23" s="13"/>
    </row>
    <row r="24" spans="1:12" ht="16" x14ac:dyDescent="0.2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</row>
    <row r="25" spans="1:12" ht="16" x14ac:dyDescent="0.2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</row>
    <row r="26" spans="1:12" ht="16" x14ac:dyDescent="0.2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</row>
    <row r="27" spans="1:12" ht="16" x14ac:dyDescent="0.2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</row>
    <row r="28" spans="1:12" ht="16" x14ac:dyDescent="0.2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</row>
    <row r="29" spans="1:12" x14ac:dyDescent="0.2">
      <c r="B29" s="41"/>
    </row>
  </sheetData>
  <sheetProtection formatCells="0" formatColumns="0" formatRows="0" insertColumns="0" insertRows="0" insertHyperlinks="0" deleteColumns="0" deleteRows="0" sort="0" autoFilter="0" pivotTables="0"/>
  <phoneticPr fontId="8" type="noConversion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2060"/>
    <pageSetUpPr fitToPage="1"/>
  </sheetPr>
  <dimension ref="A1:W51"/>
  <sheetViews>
    <sheetView workbookViewId="0">
      <selection activeCell="L54" sqref="L54"/>
    </sheetView>
  </sheetViews>
  <sheetFormatPr baseColWidth="10" defaultColWidth="11.5" defaultRowHeight="16" x14ac:dyDescent="0.2"/>
  <cols>
    <col min="1" max="1" width="15" style="1" bestFit="1" customWidth="1"/>
    <col min="2" max="2" width="8.1640625" style="2" bestFit="1" customWidth="1"/>
    <col min="3" max="3" width="2.83203125" style="2" customWidth="1"/>
    <col min="4" max="4" width="16.5" style="1" bestFit="1" customWidth="1"/>
    <col min="5" max="5" width="5.6640625" style="1" bestFit="1" customWidth="1"/>
    <col min="6" max="6" width="9.83203125" style="1" bestFit="1" customWidth="1"/>
    <col min="7" max="7" width="2.83203125" style="1" customWidth="1"/>
    <col min="8" max="8" width="11" style="1" bestFit="1" customWidth="1"/>
    <col min="9" max="9" width="5.6640625" style="1" bestFit="1" customWidth="1"/>
    <col min="10" max="10" width="9.83203125" style="1" bestFit="1" customWidth="1"/>
    <col min="11" max="11" width="2.83203125" style="1" customWidth="1"/>
    <col min="12" max="12" width="41.6640625" style="1" bestFit="1" customWidth="1"/>
    <col min="13" max="13" width="16.6640625" style="1" bestFit="1" customWidth="1"/>
    <col min="14" max="14" width="12.5" bestFit="1" customWidth="1"/>
    <col min="15" max="15" width="20.33203125" style="1" bestFit="1" customWidth="1"/>
    <col min="16" max="16" width="24" style="1" bestFit="1" customWidth="1"/>
    <col min="17" max="17" width="2.83203125" style="1" customWidth="1"/>
    <col min="18" max="18" width="41.6640625" style="1" bestFit="1" customWidth="1"/>
    <col min="19" max="19" width="16.6640625" style="1" bestFit="1" customWidth="1"/>
    <col min="20" max="20" width="39.1640625" style="1" bestFit="1" customWidth="1"/>
    <col min="21" max="21" width="15.83203125" style="1" bestFit="1" customWidth="1"/>
    <col min="22" max="22" width="20.33203125" style="1" bestFit="1" customWidth="1"/>
    <col min="23" max="23" width="24" style="1" bestFit="1" customWidth="1"/>
    <col min="24" max="16384" width="11.5" style="1"/>
  </cols>
  <sheetData>
    <row r="1" spans="1:23" ht="21" thickBot="1" x14ac:dyDescent="0.3">
      <c r="A1" s="58" t="s">
        <v>8</v>
      </c>
      <c r="B1" s="58"/>
      <c r="D1" s="59" t="s">
        <v>14</v>
      </c>
      <c r="E1" s="58"/>
      <c r="F1" s="58"/>
      <c r="H1" s="59" t="s">
        <v>15</v>
      </c>
      <c r="I1" s="58"/>
      <c r="J1" s="58"/>
      <c r="L1" s="59" t="s">
        <v>105</v>
      </c>
      <c r="M1" s="58"/>
      <c r="N1" s="58"/>
      <c r="O1" s="58"/>
      <c r="P1" s="58"/>
      <c r="R1" s="59" t="s">
        <v>185</v>
      </c>
      <c r="S1" s="58"/>
      <c r="T1" s="58"/>
      <c r="U1" s="58"/>
      <c r="V1" s="58"/>
      <c r="W1" s="58"/>
    </row>
    <row r="2" spans="1:23" ht="17" thickTop="1" x14ac:dyDescent="0.2">
      <c r="A2" s="70"/>
      <c r="B2" s="5"/>
      <c r="D2" s="71"/>
      <c r="E2" s="4"/>
      <c r="H2" s="71"/>
      <c r="I2" s="4"/>
      <c r="N2" s="1"/>
    </row>
    <row r="3" spans="1:23" x14ac:dyDescent="0.2">
      <c r="A3" s="3" t="s">
        <v>40</v>
      </c>
      <c r="B3" s="8" t="s">
        <v>1</v>
      </c>
      <c r="D3" s="4" t="s">
        <v>41</v>
      </c>
      <c r="E3" s="4" t="s">
        <v>42</v>
      </c>
      <c r="F3" s="8" t="s">
        <v>1</v>
      </c>
      <c r="G3" s="8"/>
      <c r="H3" s="4" t="s">
        <v>41</v>
      </c>
      <c r="I3" s="4" t="s">
        <v>42</v>
      </c>
      <c r="J3" s="9" t="s">
        <v>1</v>
      </c>
      <c r="L3" s="1" t="s">
        <v>103</v>
      </c>
      <c r="M3" s="1" t="s">
        <v>13</v>
      </c>
      <c r="N3" s="1"/>
      <c r="R3" s="1" t="s">
        <v>106</v>
      </c>
      <c r="S3" s="1" t="s">
        <v>107</v>
      </c>
      <c r="T3" s="1" t="s">
        <v>109</v>
      </c>
      <c r="U3" s="1" t="s">
        <v>103</v>
      </c>
      <c r="V3" s="1" t="s">
        <v>89</v>
      </c>
      <c r="W3" s="1" t="s">
        <v>88</v>
      </c>
    </row>
    <row r="4" spans="1:23" x14ac:dyDescent="0.2">
      <c r="A4" s="61">
        <v>500</v>
      </c>
      <c r="B4" s="61">
        <v>350</v>
      </c>
      <c r="C4" s="7"/>
      <c r="D4" s="62">
        <v>0</v>
      </c>
      <c r="E4" s="62">
        <v>4</v>
      </c>
      <c r="F4" s="5">
        <v>0</v>
      </c>
      <c r="G4" s="5"/>
      <c r="H4" s="62">
        <v>0</v>
      </c>
      <c r="I4" s="62">
        <v>9</v>
      </c>
      <c r="J4" s="5">
        <v>0</v>
      </c>
      <c r="L4" s="12" t="s">
        <v>104</v>
      </c>
      <c r="M4" s="69">
        <v>1000</v>
      </c>
      <c r="N4" s="1"/>
      <c r="R4" s="1" t="s">
        <v>69</v>
      </c>
      <c r="S4" s="69">
        <f>SUMIF(Tabla_Sueldos_Base[COORDINACION],Tabla_Descuentos[[#This Row],[COORDINACION]],Tabla_Sueldos_Base[SUELDO BASE])*0.3 * -1</f>
        <v>-630</v>
      </c>
      <c r="T4" s="69" t="s">
        <v>110</v>
      </c>
      <c r="U4" s="1" t="s">
        <v>6</v>
      </c>
      <c r="V4" s="1" t="s">
        <v>64</v>
      </c>
      <c r="W4" s="1" t="s">
        <v>57</v>
      </c>
    </row>
    <row r="5" spans="1:23" x14ac:dyDescent="0.2">
      <c r="A5" s="7"/>
      <c r="B5" s="7"/>
      <c r="C5" s="7"/>
      <c r="D5" s="62">
        <v>5</v>
      </c>
      <c r="E5" s="62">
        <v>9</v>
      </c>
      <c r="F5" s="5">
        <v>70</v>
      </c>
      <c r="G5" s="5"/>
      <c r="H5" s="62">
        <v>10</v>
      </c>
      <c r="I5" s="62">
        <v>19</v>
      </c>
      <c r="J5" s="5">
        <v>50</v>
      </c>
      <c r="L5" s="1" t="s">
        <v>6</v>
      </c>
      <c r="M5" s="69">
        <v>500</v>
      </c>
      <c r="N5" s="1"/>
      <c r="S5" s="69"/>
      <c r="T5" s="69"/>
    </row>
    <row r="6" spans="1:23" x14ac:dyDescent="0.2">
      <c r="A6" s="13"/>
      <c r="B6" s="13"/>
      <c r="C6" s="29"/>
      <c r="D6" s="62">
        <v>10</v>
      </c>
      <c r="E6" s="62">
        <v>14</v>
      </c>
      <c r="F6" s="5">
        <v>100</v>
      </c>
      <c r="G6" s="13"/>
      <c r="H6" s="62">
        <v>20</v>
      </c>
      <c r="I6" s="62">
        <v>29</v>
      </c>
      <c r="J6" s="5">
        <v>70</v>
      </c>
      <c r="K6" s="13"/>
      <c r="L6" s="13" t="s">
        <v>7</v>
      </c>
      <c r="M6" s="69">
        <v>0</v>
      </c>
      <c r="N6" s="1"/>
      <c r="S6" s="69"/>
      <c r="T6" s="69"/>
    </row>
    <row r="7" spans="1:23" x14ac:dyDescent="0.2">
      <c r="A7" s="13"/>
      <c r="B7" s="13"/>
      <c r="C7" s="27"/>
      <c r="D7" s="62">
        <v>15</v>
      </c>
      <c r="E7" s="62">
        <v>19</v>
      </c>
      <c r="F7" s="5">
        <v>120</v>
      </c>
      <c r="G7" s="13"/>
      <c r="H7" s="62">
        <v>30</v>
      </c>
      <c r="I7" s="62">
        <v>49</v>
      </c>
      <c r="J7" s="5">
        <v>100</v>
      </c>
      <c r="K7" s="13"/>
      <c r="L7" s="13"/>
      <c r="N7" s="1"/>
      <c r="S7" s="69"/>
      <c r="T7" s="69"/>
    </row>
    <row r="8" spans="1:23" x14ac:dyDescent="0.2">
      <c r="A8" s="13"/>
      <c r="B8" s="13"/>
      <c r="C8" s="29"/>
      <c r="D8" s="62">
        <v>20</v>
      </c>
      <c r="E8" s="62" t="s">
        <v>51</v>
      </c>
      <c r="F8" s="5">
        <v>140</v>
      </c>
      <c r="G8" s="13"/>
      <c r="H8" s="62">
        <v>50</v>
      </c>
      <c r="I8" s="62" t="s">
        <v>51</v>
      </c>
      <c r="J8" s="5">
        <v>120</v>
      </c>
      <c r="K8" s="13"/>
      <c r="L8" s="13"/>
      <c r="N8" s="1"/>
      <c r="S8" s="69"/>
      <c r="T8" s="69"/>
    </row>
    <row r="9" spans="1:23" x14ac:dyDescent="0.2">
      <c r="A9" s="13"/>
      <c r="B9" s="13"/>
      <c r="C9" s="13"/>
      <c r="D9" s="28"/>
      <c r="E9" s="13"/>
      <c r="F9" s="13"/>
      <c r="H9" s="13"/>
      <c r="I9" s="13"/>
      <c r="J9" s="13"/>
      <c r="K9" s="13"/>
      <c r="L9" s="13"/>
      <c r="N9" s="1"/>
      <c r="S9" s="69"/>
      <c r="T9" s="69"/>
    </row>
    <row r="10" spans="1:23" x14ac:dyDescent="0.2">
      <c r="A10" s="13"/>
      <c r="B10" s="13"/>
      <c r="C10" s="13"/>
      <c r="D10" s="13"/>
      <c r="L10" s="117" t="s">
        <v>106</v>
      </c>
      <c r="M10" s="1" t="s">
        <v>13</v>
      </c>
      <c r="N10" s="1" t="s">
        <v>103</v>
      </c>
      <c r="O10" s="1" t="s">
        <v>89</v>
      </c>
      <c r="P10" s="1" t="s">
        <v>88</v>
      </c>
      <c r="S10" s="69"/>
      <c r="T10" s="69"/>
    </row>
    <row r="11" spans="1:23" x14ac:dyDescent="0.2">
      <c r="A11" s="13"/>
      <c r="B11" s="13"/>
      <c r="C11" s="13"/>
      <c r="D11" s="13"/>
      <c r="L11" s="1" t="s">
        <v>72</v>
      </c>
      <c r="M11" s="69">
        <v>700</v>
      </c>
      <c r="N11" s="1" t="s">
        <v>7</v>
      </c>
      <c r="O11" s="1" t="s">
        <v>64</v>
      </c>
      <c r="P11" s="1" t="s">
        <v>57</v>
      </c>
      <c r="S11" s="69"/>
      <c r="T11" s="69"/>
    </row>
    <row r="12" spans="1:23" x14ac:dyDescent="0.2">
      <c r="A12" s="13"/>
      <c r="B12" s="13"/>
      <c r="C12" s="13"/>
      <c r="D12" s="13"/>
      <c r="G12" s="13"/>
      <c r="L12" s="1" t="s">
        <v>73</v>
      </c>
      <c r="M12" s="69">
        <v>700</v>
      </c>
      <c r="N12" s="1" t="s">
        <v>7</v>
      </c>
      <c r="O12" s="1" t="s">
        <v>64</v>
      </c>
      <c r="P12" s="1" t="s">
        <v>57</v>
      </c>
    </row>
    <row r="13" spans="1:23" x14ac:dyDescent="0.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" t="s">
        <v>74</v>
      </c>
      <c r="M13" s="69">
        <v>700</v>
      </c>
      <c r="N13" s="1" t="s">
        <v>7</v>
      </c>
      <c r="O13" s="1" t="s">
        <v>64</v>
      </c>
      <c r="P13" s="1" t="s">
        <v>57</v>
      </c>
    </row>
    <row r="14" spans="1:23" x14ac:dyDescent="0.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" t="s">
        <v>84</v>
      </c>
      <c r="M14" s="69">
        <v>1000</v>
      </c>
      <c r="N14" s="1" t="s">
        <v>7</v>
      </c>
      <c r="O14" s="1" t="s">
        <v>65</v>
      </c>
      <c r="P14" s="1" t="s">
        <v>57</v>
      </c>
    </row>
    <row r="15" spans="1:23" x14ac:dyDescent="0.2">
      <c r="A15" s="13"/>
      <c r="B15" s="1"/>
      <c r="C15" s="1"/>
      <c r="D15" s="13"/>
      <c r="E15" s="13"/>
      <c r="F15" s="13"/>
      <c r="H15" s="13"/>
      <c r="I15" s="13"/>
      <c r="J15" s="13"/>
      <c r="K15" s="13"/>
      <c r="L15" s="1" t="s">
        <v>83</v>
      </c>
      <c r="M15" s="69">
        <v>700</v>
      </c>
      <c r="N15" s="1" t="s">
        <v>7</v>
      </c>
      <c r="O15" s="1" t="s">
        <v>65</v>
      </c>
      <c r="P15" s="1" t="s">
        <v>57</v>
      </c>
    </row>
    <row r="16" spans="1:23" x14ac:dyDescent="0.2">
      <c r="B16" s="1"/>
      <c r="C16" s="1"/>
      <c r="L16" s="1" t="s">
        <v>82</v>
      </c>
      <c r="M16" s="69">
        <v>700</v>
      </c>
      <c r="N16" s="1" t="s">
        <v>7</v>
      </c>
      <c r="O16" s="1" t="s">
        <v>65</v>
      </c>
      <c r="P16" s="1" t="s">
        <v>57</v>
      </c>
    </row>
    <row r="17" spans="2:16" x14ac:dyDescent="0.2">
      <c r="B17" s="1"/>
      <c r="C17" s="1"/>
      <c r="L17" s="1" t="s">
        <v>85</v>
      </c>
      <c r="M17" s="69">
        <v>1000</v>
      </c>
      <c r="N17" s="1" t="s">
        <v>7</v>
      </c>
      <c r="O17" s="1" t="s">
        <v>65</v>
      </c>
      <c r="P17" s="1" t="s">
        <v>57</v>
      </c>
    </row>
    <row r="18" spans="2:16" x14ac:dyDescent="0.2">
      <c r="B18" s="1"/>
      <c r="C18" s="1"/>
      <c r="L18" s="1" t="s">
        <v>81</v>
      </c>
      <c r="M18" s="69">
        <v>1000</v>
      </c>
      <c r="N18" s="1" t="s">
        <v>7</v>
      </c>
      <c r="O18" s="1" t="s">
        <v>59</v>
      </c>
      <c r="P18" s="1" t="s">
        <v>57</v>
      </c>
    </row>
    <row r="19" spans="2:16" x14ac:dyDescent="0.2">
      <c r="B19" s="1"/>
      <c r="C19" s="1"/>
      <c r="L19" s="1" t="s">
        <v>79</v>
      </c>
      <c r="M19" s="69">
        <v>500</v>
      </c>
      <c r="N19" s="1" t="s">
        <v>7</v>
      </c>
      <c r="O19" s="1" t="s">
        <v>59</v>
      </c>
      <c r="P19" s="1" t="s">
        <v>57</v>
      </c>
    </row>
    <row r="20" spans="2:16" x14ac:dyDescent="0.2">
      <c r="B20" s="1"/>
      <c r="C20" s="1"/>
      <c r="L20" s="1" t="s">
        <v>128</v>
      </c>
      <c r="M20" s="69">
        <v>500</v>
      </c>
      <c r="N20" s="1" t="s">
        <v>7</v>
      </c>
      <c r="O20" s="1" t="s">
        <v>120</v>
      </c>
      <c r="P20" s="1" t="s">
        <v>116</v>
      </c>
    </row>
    <row r="21" spans="2:16" x14ac:dyDescent="0.2">
      <c r="B21" s="1"/>
      <c r="C21" s="1"/>
      <c r="L21" s="1" t="s">
        <v>129</v>
      </c>
      <c r="M21" s="69">
        <v>500</v>
      </c>
      <c r="N21" s="1" t="s">
        <v>7</v>
      </c>
      <c r="O21" s="1" t="s">
        <v>120</v>
      </c>
      <c r="P21" s="1" t="s">
        <v>116</v>
      </c>
    </row>
    <row r="22" spans="2:16" x14ac:dyDescent="0.2">
      <c r="L22" s="1" t="s">
        <v>178</v>
      </c>
      <c r="M22" s="69">
        <v>500</v>
      </c>
      <c r="N22" s="1" t="s">
        <v>7</v>
      </c>
      <c r="O22" s="1" t="s">
        <v>120</v>
      </c>
      <c r="P22" s="1" t="s">
        <v>116</v>
      </c>
    </row>
    <row r="23" spans="2:16" x14ac:dyDescent="0.2">
      <c r="L23" s="1" t="s">
        <v>126</v>
      </c>
      <c r="M23" s="69">
        <v>500</v>
      </c>
      <c r="N23" s="1" t="s">
        <v>7</v>
      </c>
      <c r="O23" s="1" t="s">
        <v>118</v>
      </c>
      <c r="P23" s="1" t="s">
        <v>116</v>
      </c>
    </row>
    <row r="24" spans="2:16" x14ac:dyDescent="0.2">
      <c r="L24" s="1" t="s">
        <v>127</v>
      </c>
      <c r="M24" s="69">
        <v>500</v>
      </c>
      <c r="N24" s="1" t="s">
        <v>7</v>
      </c>
      <c r="O24" s="1" t="s">
        <v>118</v>
      </c>
      <c r="P24" s="1" t="s">
        <v>116</v>
      </c>
    </row>
    <row r="25" spans="2:16" x14ac:dyDescent="0.2">
      <c r="M25" s="69"/>
      <c r="N25" s="1"/>
    </row>
    <row r="27" spans="2:16" x14ac:dyDescent="0.2">
      <c r="B27" s="1"/>
      <c r="C27" s="9"/>
    </row>
    <row r="28" spans="2:16" x14ac:dyDescent="0.2">
      <c r="B28" s="1"/>
      <c r="C28" s="9"/>
    </row>
    <row r="29" spans="2:16" x14ac:dyDescent="0.2">
      <c r="B29" s="1"/>
      <c r="C29" s="5"/>
    </row>
    <row r="30" spans="2:16" x14ac:dyDescent="0.2">
      <c r="B30" s="1"/>
      <c r="C30" s="5"/>
    </row>
    <row r="31" spans="2:16" x14ac:dyDescent="0.2">
      <c r="B31" s="1"/>
      <c r="C31" s="5"/>
    </row>
    <row r="32" spans="2:16" x14ac:dyDescent="0.2">
      <c r="B32" s="1"/>
      <c r="C32" s="5"/>
    </row>
    <row r="38" spans="2:5" x14ac:dyDescent="0.2">
      <c r="B38" s="10"/>
      <c r="C38" s="10"/>
    </row>
    <row r="39" spans="2:5" x14ac:dyDescent="0.2">
      <c r="B39" s="10"/>
      <c r="C39" s="10"/>
      <c r="D39" s="10"/>
      <c r="E39" s="10"/>
    </row>
    <row r="40" spans="2:5" x14ac:dyDescent="0.2">
      <c r="B40" s="10"/>
      <c r="C40" s="10"/>
      <c r="D40" s="10"/>
      <c r="E40" s="10"/>
    </row>
    <row r="41" spans="2:5" x14ac:dyDescent="0.2">
      <c r="B41" s="10"/>
      <c r="C41" s="10"/>
      <c r="D41" s="10"/>
      <c r="E41" s="10"/>
    </row>
    <row r="42" spans="2:5" x14ac:dyDescent="0.2">
      <c r="B42" s="1"/>
      <c r="C42" s="1"/>
      <c r="D42" s="10"/>
      <c r="E42" s="10"/>
    </row>
    <row r="43" spans="2:5" x14ac:dyDescent="0.2">
      <c r="B43" s="11"/>
      <c r="C43" s="11"/>
    </row>
    <row r="44" spans="2:5" x14ac:dyDescent="0.2">
      <c r="B44" s="11"/>
      <c r="C44" s="11"/>
      <c r="D44" s="11"/>
      <c r="E44" s="11"/>
    </row>
    <row r="45" spans="2:5" x14ac:dyDescent="0.2">
      <c r="B45" s="11"/>
      <c r="C45" s="11"/>
      <c r="D45" s="11"/>
      <c r="E45" s="11"/>
    </row>
    <row r="46" spans="2:5" x14ac:dyDescent="0.2">
      <c r="B46" s="11"/>
      <c r="C46" s="11"/>
      <c r="D46" s="11"/>
      <c r="E46" s="11"/>
    </row>
    <row r="47" spans="2:5" x14ac:dyDescent="0.2">
      <c r="B47" s="1"/>
      <c r="C47" s="1"/>
      <c r="D47" s="11"/>
      <c r="E47" s="11"/>
    </row>
    <row r="48" spans="2:5" x14ac:dyDescent="0.2">
      <c r="B48" s="1"/>
      <c r="C48" s="1"/>
    </row>
    <row r="49" spans="2:3" x14ac:dyDescent="0.2">
      <c r="B49" s="1"/>
      <c r="C49" s="1"/>
    </row>
    <row r="50" spans="2:3" x14ac:dyDescent="0.2">
      <c r="B50" s="1"/>
      <c r="C50" s="1"/>
    </row>
    <row r="51" spans="2:3" x14ac:dyDescent="0.2">
      <c r="B51" s="1"/>
      <c r="C51" s="1"/>
    </row>
  </sheetData>
  <sheetProtection formatCells="0" formatColumns="0" formatRows="0" insertColumns="0" insertRows="0" insertHyperlinks="0" deleteColumns="0" deleteRows="0" sort="0" autoFilter="0" pivotTables="0"/>
  <dataValidations count="5">
    <dataValidation type="custom" allowBlank="1" showInputMessage="1" showErrorMessage="1" sqref="N4:N6" xr:uid="{9DE67A79-93A9-49DC-93B1-1C84AE8DBF0C}">
      <formula1>Alias_Coordinadores</formula1>
    </dataValidation>
    <dataValidation type="list" allowBlank="1" showInputMessage="1" showErrorMessage="1" sqref="N11:N24 U4" xr:uid="{342D9635-3C48-4326-82D8-7F8C3C5FF452}">
      <formula1>Puestos</formula1>
    </dataValidation>
    <dataValidation type="list" allowBlank="1" showInputMessage="1" showErrorMessage="1" sqref="O11:O24 V4" xr:uid="{2CEA4F90-913C-4F7E-A844-C80F62AB1BC2}">
      <formula1>Alias_Coordinadores</formula1>
    </dataValidation>
    <dataValidation type="list" allowBlank="1" showInputMessage="1" showErrorMessage="1" sqref="P11:P24 W4" xr:uid="{D57AA25B-EFC2-4916-B551-2CC8B6E8A91F}">
      <formula1>Alias_Gerentes</formula1>
    </dataValidation>
    <dataValidation type="list" allowBlank="1" showInputMessage="1" showErrorMessage="1" sqref="L11:L24" xr:uid="{151FF7F3-44B8-7840-87C8-034662927DF0}">
      <formula1>Nombres_Promotores</formula1>
    </dataValidation>
  </dataValidations>
  <pageMargins left="0.70866141732283472" right="0.70866141732283472" top="0.74803149606299213" bottom="0.74803149606299213" header="0.31496062992125984" footer="0.31496062992125984"/>
  <pageSetup scale="83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D4973-C15C-4DCD-9BB0-92D48C3BBF9C}">
  <sheetPr codeName="Sheet9">
    <tabColor rgb="FFFF0000"/>
  </sheetPr>
  <dimension ref="A1:R54"/>
  <sheetViews>
    <sheetView workbookViewId="0">
      <selection activeCell="M4" sqref="M4:M6"/>
    </sheetView>
  </sheetViews>
  <sheetFormatPr baseColWidth="10" defaultColWidth="8.83203125" defaultRowHeight="15" x14ac:dyDescent="0.2"/>
  <cols>
    <col min="1" max="1" width="32.5" bestFit="1" customWidth="1"/>
    <col min="2" max="2" width="22.5" bestFit="1" customWidth="1"/>
    <col min="3" max="3" width="2.83203125" customWidth="1"/>
    <col min="4" max="4" width="33.5" bestFit="1" customWidth="1"/>
    <col min="5" max="6" width="22.5" bestFit="1" customWidth="1"/>
    <col min="7" max="7" width="2.83203125" customWidth="1"/>
    <col min="8" max="8" width="38.5" bestFit="1" customWidth="1"/>
    <col min="9" max="9" width="25.6640625" bestFit="1" customWidth="1"/>
    <col min="10" max="11" width="22.5" bestFit="1" customWidth="1"/>
    <col min="12" max="12" width="3.33203125" customWidth="1"/>
    <col min="13" max="13" width="27.83203125" bestFit="1" customWidth="1"/>
    <col min="14" max="22" width="8.83203125" customWidth="1"/>
    <col min="23" max="23" width="9" customWidth="1"/>
  </cols>
  <sheetData>
    <row r="1" spans="1:18" ht="21" thickBot="1" x14ac:dyDescent="0.3">
      <c r="A1" s="58" t="s">
        <v>49</v>
      </c>
      <c r="B1" s="58"/>
      <c r="D1" s="58" t="s">
        <v>48</v>
      </c>
      <c r="E1" s="58"/>
      <c r="F1" s="58"/>
      <c r="H1" s="58" t="s">
        <v>50</v>
      </c>
      <c r="I1" s="58"/>
      <c r="J1" s="58"/>
      <c r="K1" s="58"/>
      <c r="M1" s="58" t="s">
        <v>186</v>
      </c>
    </row>
    <row r="2" spans="1:18" ht="21" thickTop="1" x14ac:dyDescent="0.25">
      <c r="A2" s="60"/>
      <c r="B2" s="60"/>
      <c r="D2" s="60"/>
      <c r="E2" s="60"/>
      <c r="H2" s="60"/>
      <c r="I2" s="60"/>
    </row>
    <row r="3" spans="1:18" x14ac:dyDescent="0.2">
      <c r="A3" t="s">
        <v>86</v>
      </c>
      <c r="B3" t="s">
        <v>87</v>
      </c>
      <c r="D3" t="s">
        <v>86</v>
      </c>
      <c r="E3" t="s">
        <v>87</v>
      </c>
      <c r="F3" t="s">
        <v>88</v>
      </c>
      <c r="H3" t="s">
        <v>86</v>
      </c>
      <c r="I3" t="s">
        <v>87</v>
      </c>
      <c r="J3" t="s">
        <v>89</v>
      </c>
      <c r="K3" t="s">
        <v>88</v>
      </c>
      <c r="M3" t="s">
        <v>6</v>
      </c>
    </row>
    <row r="4" spans="1:18" x14ac:dyDescent="0.2">
      <c r="A4" t="s">
        <v>66</v>
      </c>
      <c r="B4" t="s">
        <v>57</v>
      </c>
      <c r="D4" s="56" t="s">
        <v>66</v>
      </c>
      <c r="E4" s="56" t="s">
        <v>175</v>
      </c>
      <c r="F4" t="s">
        <v>57</v>
      </c>
      <c r="H4" s="95" t="s">
        <v>66</v>
      </c>
      <c r="I4" s="95" t="s">
        <v>102</v>
      </c>
      <c r="J4" s="95" t="s">
        <v>175</v>
      </c>
      <c r="K4" s="95" t="s">
        <v>57</v>
      </c>
      <c r="M4" t="s">
        <v>120</v>
      </c>
      <c r="N4" s="55"/>
      <c r="O4" s="55"/>
      <c r="Q4" s="55"/>
      <c r="R4" s="55"/>
    </row>
    <row r="5" spans="1:18" x14ac:dyDescent="0.2">
      <c r="A5" t="s">
        <v>115</v>
      </c>
      <c r="B5" t="s">
        <v>116</v>
      </c>
      <c r="D5" s="56" t="s">
        <v>69</v>
      </c>
      <c r="E5" s="56" t="s">
        <v>64</v>
      </c>
      <c r="F5" t="s">
        <v>57</v>
      </c>
      <c r="H5" s="95" t="s">
        <v>72</v>
      </c>
      <c r="I5" s="95" t="s">
        <v>92</v>
      </c>
      <c r="J5" s="95" t="s">
        <v>64</v>
      </c>
      <c r="K5" s="95" t="s">
        <v>57</v>
      </c>
      <c r="M5" t="s">
        <v>118</v>
      </c>
      <c r="N5" s="55"/>
    </row>
    <row r="6" spans="1:18" x14ac:dyDescent="0.2">
      <c r="A6" s="55" t="s">
        <v>137</v>
      </c>
      <c r="B6" s="55" t="s">
        <v>135</v>
      </c>
      <c r="C6" s="55"/>
      <c r="D6" t="s">
        <v>68</v>
      </c>
      <c r="E6" t="s">
        <v>65</v>
      </c>
      <c r="F6" t="s">
        <v>57</v>
      </c>
      <c r="G6" s="57"/>
      <c r="H6" s="95" t="s">
        <v>71</v>
      </c>
      <c r="I6" s="95" t="s">
        <v>62</v>
      </c>
      <c r="J6" s="95" t="s">
        <v>64</v>
      </c>
      <c r="K6" s="95" t="s">
        <v>57</v>
      </c>
      <c r="L6" s="55"/>
      <c r="M6" t="s">
        <v>176</v>
      </c>
    </row>
    <row r="7" spans="1:18" x14ac:dyDescent="0.2">
      <c r="A7" s="55"/>
      <c r="B7" s="55"/>
      <c r="C7" s="55"/>
      <c r="D7" t="s">
        <v>67</v>
      </c>
      <c r="E7" t="s">
        <v>59</v>
      </c>
      <c r="F7" t="s">
        <v>57</v>
      </c>
      <c r="G7" s="55"/>
      <c r="H7" s="95" t="s">
        <v>69</v>
      </c>
      <c r="I7" s="95" t="s">
        <v>101</v>
      </c>
      <c r="J7" s="95" t="s">
        <v>64</v>
      </c>
      <c r="K7" s="95" t="s">
        <v>57</v>
      </c>
      <c r="L7" s="55"/>
    </row>
    <row r="8" spans="1:18" x14ac:dyDescent="0.2">
      <c r="A8" s="55"/>
      <c r="B8" s="55"/>
      <c r="C8" s="55"/>
      <c r="D8" t="s">
        <v>70</v>
      </c>
      <c r="E8" t="s">
        <v>90</v>
      </c>
      <c r="F8" t="s">
        <v>57</v>
      </c>
      <c r="G8" s="55"/>
      <c r="H8" s="95" t="s">
        <v>75</v>
      </c>
      <c r="I8" s="95" t="s">
        <v>93</v>
      </c>
      <c r="J8" s="95" t="s">
        <v>64</v>
      </c>
      <c r="K8" s="95" t="s">
        <v>57</v>
      </c>
      <c r="L8" s="55"/>
    </row>
    <row r="9" spans="1:18" x14ac:dyDescent="0.2">
      <c r="A9" s="55"/>
      <c r="B9" s="55"/>
      <c r="C9" s="55"/>
      <c r="D9" s="56" t="s">
        <v>119</v>
      </c>
      <c r="E9" s="56" t="s">
        <v>120</v>
      </c>
      <c r="F9" t="s">
        <v>116</v>
      </c>
      <c r="G9" s="55"/>
      <c r="H9" s="95" t="s">
        <v>73</v>
      </c>
      <c r="I9" s="95" t="s">
        <v>54</v>
      </c>
      <c r="J9" s="95" t="s">
        <v>64</v>
      </c>
      <c r="K9" s="95" t="s">
        <v>57</v>
      </c>
      <c r="L9" s="55"/>
    </row>
    <row r="10" spans="1:18" x14ac:dyDescent="0.2">
      <c r="A10" s="55"/>
      <c r="B10" s="55"/>
      <c r="C10" s="55"/>
      <c r="D10" t="s">
        <v>117</v>
      </c>
      <c r="E10" t="s">
        <v>118</v>
      </c>
      <c r="F10" t="s">
        <v>116</v>
      </c>
      <c r="G10" s="55"/>
      <c r="H10" s="95" t="s">
        <v>74</v>
      </c>
      <c r="I10" s="95" t="s">
        <v>63</v>
      </c>
      <c r="J10" s="95" t="s">
        <v>64</v>
      </c>
      <c r="K10" s="95" t="s">
        <v>57</v>
      </c>
      <c r="L10" s="55"/>
    </row>
    <row r="11" spans="1:18" x14ac:dyDescent="0.2">
      <c r="A11" s="55"/>
      <c r="B11" s="55"/>
      <c r="D11" t="s">
        <v>115</v>
      </c>
      <c r="E11" t="s">
        <v>176</v>
      </c>
      <c r="F11" t="s">
        <v>116</v>
      </c>
      <c r="H11" s="95" t="s">
        <v>76</v>
      </c>
      <c r="I11" s="95" t="s">
        <v>61</v>
      </c>
      <c r="J11" s="95" t="s">
        <v>64</v>
      </c>
      <c r="K11" s="95" t="s">
        <v>57</v>
      </c>
    </row>
    <row r="12" spans="1:18" x14ac:dyDescent="0.2">
      <c r="A12" s="55"/>
      <c r="B12" s="55"/>
      <c r="D12" s="56" t="s">
        <v>138</v>
      </c>
      <c r="E12" s="56" t="s">
        <v>139</v>
      </c>
      <c r="F12" t="s">
        <v>135</v>
      </c>
      <c r="H12" s="95" t="s">
        <v>83</v>
      </c>
      <c r="I12" s="95" t="s">
        <v>56</v>
      </c>
      <c r="J12" s="95" t="s">
        <v>65</v>
      </c>
      <c r="K12" s="95" t="s">
        <v>57</v>
      </c>
    </row>
    <row r="13" spans="1:18" x14ac:dyDescent="0.2">
      <c r="A13" s="55"/>
      <c r="B13" s="55"/>
      <c r="D13" s="56" t="s">
        <v>134</v>
      </c>
      <c r="E13" s="56" t="s">
        <v>174</v>
      </c>
      <c r="F13" t="s">
        <v>135</v>
      </c>
      <c r="H13" s="95" t="s">
        <v>82</v>
      </c>
      <c r="I13" s="95" t="s">
        <v>96</v>
      </c>
      <c r="J13" s="95" t="s">
        <v>65</v>
      </c>
      <c r="K13" s="95" t="s">
        <v>57</v>
      </c>
    </row>
    <row r="14" spans="1:18" x14ac:dyDescent="0.2">
      <c r="A14" s="55"/>
      <c r="B14" s="55"/>
      <c r="D14" t="s">
        <v>158</v>
      </c>
      <c r="E14" t="s">
        <v>136</v>
      </c>
      <c r="F14" t="s">
        <v>135</v>
      </c>
      <c r="H14" s="95" t="s">
        <v>84</v>
      </c>
      <c r="I14" s="95" t="s">
        <v>173</v>
      </c>
      <c r="J14" s="95" t="s">
        <v>65</v>
      </c>
      <c r="K14" s="95" t="s">
        <v>57</v>
      </c>
    </row>
    <row r="15" spans="1:18" x14ac:dyDescent="0.2">
      <c r="A15" s="55"/>
      <c r="B15" s="55"/>
      <c r="H15" s="95" t="s">
        <v>85</v>
      </c>
      <c r="I15" s="95" t="s">
        <v>55</v>
      </c>
      <c r="J15" s="95" t="s">
        <v>65</v>
      </c>
      <c r="K15" s="95" t="s">
        <v>57</v>
      </c>
    </row>
    <row r="16" spans="1:18" x14ac:dyDescent="0.2">
      <c r="H16" s="95" t="s">
        <v>68</v>
      </c>
      <c r="I16" s="95" t="s">
        <v>98</v>
      </c>
      <c r="J16" s="95" t="s">
        <v>65</v>
      </c>
      <c r="K16" s="95" t="s">
        <v>57</v>
      </c>
    </row>
    <row r="17" spans="8:11" x14ac:dyDescent="0.2">
      <c r="H17" s="95" t="s">
        <v>80</v>
      </c>
      <c r="I17" s="95" t="s">
        <v>58</v>
      </c>
      <c r="J17" s="95" t="s">
        <v>59</v>
      </c>
      <c r="K17" s="95" t="s">
        <v>57</v>
      </c>
    </row>
    <row r="18" spans="8:11" x14ac:dyDescent="0.2">
      <c r="H18" s="95" t="s">
        <v>78</v>
      </c>
      <c r="I18" s="95" t="s">
        <v>60</v>
      </c>
      <c r="J18" s="95" t="s">
        <v>59</v>
      </c>
      <c r="K18" s="95" t="s">
        <v>57</v>
      </c>
    </row>
    <row r="19" spans="8:11" x14ac:dyDescent="0.2">
      <c r="H19" s="95" t="s">
        <v>67</v>
      </c>
      <c r="I19" s="95" t="s">
        <v>99</v>
      </c>
      <c r="J19" s="95" t="s">
        <v>59</v>
      </c>
      <c r="K19" s="95" t="s">
        <v>57</v>
      </c>
    </row>
    <row r="20" spans="8:11" x14ac:dyDescent="0.2">
      <c r="H20" s="95" t="s">
        <v>81</v>
      </c>
      <c r="I20" s="95" t="s">
        <v>94</v>
      </c>
      <c r="J20" s="95" t="s">
        <v>59</v>
      </c>
      <c r="K20" s="95" t="s">
        <v>57</v>
      </c>
    </row>
    <row r="21" spans="8:11" x14ac:dyDescent="0.2">
      <c r="H21" s="95" t="s">
        <v>79</v>
      </c>
      <c r="I21" s="95" t="s">
        <v>95</v>
      </c>
      <c r="J21" s="95" t="s">
        <v>59</v>
      </c>
      <c r="K21" s="95" t="s">
        <v>57</v>
      </c>
    </row>
    <row r="22" spans="8:11" x14ac:dyDescent="0.2">
      <c r="H22" s="95" t="s">
        <v>77</v>
      </c>
      <c r="I22" s="95" t="s">
        <v>91</v>
      </c>
      <c r="J22" s="95" t="s">
        <v>90</v>
      </c>
      <c r="K22" s="95" t="s">
        <v>57</v>
      </c>
    </row>
    <row r="23" spans="8:11" x14ac:dyDescent="0.2">
      <c r="H23" s="95" t="s">
        <v>70</v>
      </c>
      <c r="I23" s="95" t="s">
        <v>100</v>
      </c>
      <c r="J23" s="95" t="s">
        <v>90</v>
      </c>
      <c r="K23" s="95" t="s">
        <v>57</v>
      </c>
    </row>
    <row r="24" spans="8:11" x14ac:dyDescent="0.2">
      <c r="H24" s="95" t="s">
        <v>128</v>
      </c>
      <c r="I24" s="95" t="s">
        <v>177</v>
      </c>
      <c r="J24" s="95" t="s">
        <v>120</v>
      </c>
      <c r="K24" s="95" t="s">
        <v>116</v>
      </c>
    </row>
    <row r="25" spans="8:11" x14ac:dyDescent="0.2">
      <c r="H25" s="95" t="s">
        <v>130</v>
      </c>
      <c r="I25" s="95" t="s">
        <v>133</v>
      </c>
      <c r="J25" s="95" t="s">
        <v>120</v>
      </c>
      <c r="K25" s="95" t="s">
        <v>116</v>
      </c>
    </row>
    <row r="26" spans="8:11" x14ac:dyDescent="0.2">
      <c r="H26" s="95" t="s">
        <v>129</v>
      </c>
      <c r="I26" s="95" t="s">
        <v>180</v>
      </c>
      <c r="J26" s="95" t="s">
        <v>120</v>
      </c>
      <c r="K26" s="95" t="s">
        <v>116</v>
      </c>
    </row>
    <row r="27" spans="8:11" x14ac:dyDescent="0.2">
      <c r="H27" s="95" t="s">
        <v>119</v>
      </c>
      <c r="I27" s="95" t="s">
        <v>122</v>
      </c>
      <c r="J27" s="95" t="s">
        <v>120</v>
      </c>
      <c r="K27" s="95" t="s">
        <v>116</v>
      </c>
    </row>
    <row r="28" spans="8:11" x14ac:dyDescent="0.2">
      <c r="H28" s="95" t="s">
        <v>131</v>
      </c>
      <c r="I28" s="95" t="s">
        <v>132</v>
      </c>
      <c r="J28" s="95" t="s">
        <v>120</v>
      </c>
      <c r="K28" s="95" t="s">
        <v>116</v>
      </c>
    </row>
    <row r="29" spans="8:11" x14ac:dyDescent="0.2">
      <c r="H29" s="95" t="s">
        <v>126</v>
      </c>
      <c r="I29" s="95" t="s">
        <v>113</v>
      </c>
      <c r="J29" s="95" t="s">
        <v>118</v>
      </c>
      <c r="K29" s="95" t="s">
        <v>116</v>
      </c>
    </row>
    <row r="30" spans="8:11" x14ac:dyDescent="0.2">
      <c r="H30" s="95" t="s">
        <v>127</v>
      </c>
      <c r="I30" s="95" t="s">
        <v>114</v>
      </c>
      <c r="J30" s="95" t="s">
        <v>118</v>
      </c>
      <c r="K30" s="95" t="s">
        <v>116</v>
      </c>
    </row>
    <row r="31" spans="8:11" x14ac:dyDescent="0.2">
      <c r="H31" s="95" t="s">
        <v>124</v>
      </c>
      <c r="I31" s="95" t="s">
        <v>111</v>
      </c>
      <c r="J31" s="95" t="s">
        <v>118</v>
      </c>
      <c r="K31" s="95" t="s">
        <v>116</v>
      </c>
    </row>
    <row r="32" spans="8:11" x14ac:dyDescent="0.2">
      <c r="H32" s="95" t="s">
        <v>125</v>
      </c>
      <c r="I32" s="95" t="s">
        <v>112</v>
      </c>
      <c r="J32" s="95" t="s">
        <v>118</v>
      </c>
      <c r="K32" s="95" t="s">
        <v>116</v>
      </c>
    </row>
    <row r="33" spans="8:11" x14ac:dyDescent="0.2">
      <c r="H33" s="95" t="s">
        <v>117</v>
      </c>
      <c r="I33" s="95" t="s">
        <v>121</v>
      </c>
      <c r="J33" s="95" t="s">
        <v>118</v>
      </c>
      <c r="K33" s="95" t="s">
        <v>116</v>
      </c>
    </row>
    <row r="34" spans="8:11" x14ac:dyDescent="0.2">
      <c r="H34" s="95" t="s">
        <v>181</v>
      </c>
      <c r="I34" s="95" t="s">
        <v>179</v>
      </c>
      <c r="J34" s="95" t="s">
        <v>120</v>
      </c>
      <c r="K34" s="95" t="s">
        <v>116</v>
      </c>
    </row>
    <row r="35" spans="8:11" x14ac:dyDescent="0.2">
      <c r="H35" s="95" t="s">
        <v>178</v>
      </c>
      <c r="I35" s="95" t="s">
        <v>178</v>
      </c>
      <c r="J35" s="95" t="s">
        <v>120</v>
      </c>
      <c r="K35" s="95" t="s">
        <v>116</v>
      </c>
    </row>
    <row r="36" spans="8:11" x14ac:dyDescent="0.2">
      <c r="H36" s="95" t="s">
        <v>115</v>
      </c>
      <c r="I36" s="95" t="s">
        <v>123</v>
      </c>
      <c r="J36" s="95" t="s">
        <v>176</v>
      </c>
      <c r="K36" s="95" t="s">
        <v>116</v>
      </c>
    </row>
    <row r="37" spans="8:11" x14ac:dyDescent="0.2">
      <c r="H37" s="95" t="s">
        <v>167</v>
      </c>
      <c r="I37" s="95" t="s">
        <v>148</v>
      </c>
      <c r="J37" s="95" t="s">
        <v>139</v>
      </c>
      <c r="K37" s="95" t="s">
        <v>135</v>
      </c>
    </row>
    <row r="38" spans="8:11" x14ac:dyDescent="0.2">
      <c r="H38" s="95" t="s">
        <v>169</v>
      </c>
      <c r="I38" s="95" t="s">
        <v>156</v>
      </c>
      <c r="J38" s="95" t="s">
        <v>139</v>
      </c>
      <c r="K38" s="95" t="s">
        <v>135</v>
      </c>
    </row>
    <row r="39" spans="8:11" x14ac:dyDescent="0.2">
      <c r="H39" s="95" t="s">
        <v>138</v>
      </c>
      <c r="I39" s="95" t="s">
        <v>142</v>
      </c>
      <c r="J39" s="95" t="s">
        <v>139</v>
      </c>
      <c r="K39" s="95" t="s">
        <v>135</v>
      </c>
    </row>
    <row r="40" spans="8:11" x14ac:dyDescent="0.2">
      <c r="H40" s="95" t="s">
        <v>171</v>
      </c>
      <c r="I40" s="95" t="s">
        <v>151</v>
      </c>
      <c r="J40" s="95" t="s">
        <v>139</v>
      </c>
      <c r="K40" s="95" t="s">
        <v>135</v>
      </c>
    </row>
    <row r="41" spans="8:11" x14ac:dyDescent="0.2">
      <c r="H41" s="95" t="s">
        <v>170</v>
      </c>
      <c r="I41" s="95" t="s">
        <v>150</v>
      </c>
      <c r="J41" s="95" t="s">
        <v>139</v>
      </c>
      <c r="K41" s="95" t="s">
        <v>135</v>
      </c>
    </row>
    <row r="42" spans="8:11" x14ac:dyDescent="0.2">
      <c r="H42" s="95" t="s">
        <v>168</v>
      </c>
      <c r="I42" s="95" t="s">
        <v>149</v>
      </c>
      <c r="J42" s="95" t="s">
        <v>139</v>
      </c>
      <c r="K42" s="95" t="s">
        <v>135</v>
      </c>
    </row>
    <row r="43" spans="8:11" x14ac:dyDescent="0.2">
      <c r="H43" s="95" t="s">
        <v>152</v>
      </c>
      <c r="I43" s="95" t="s">
        <v>153</v>
      </c>
      <c r="J43" s="95" t="s">
        <v>139</v>
      </c>
      <c r="K43" s="95" t="s">
        <v>135</v>
      </c>
    </row>
    <row r="44" spans="8:11" x14ac:dyDescent="0.2">
      <c r="H44" s="95" t="s">
        <v>172</v>
      </c>
      <c r="I44" s="95" t="s">
        <v>157</v>
      </c>
      <c r="J44" s="95" t="s">
        <v>139</v>
      </c>
      <c r="K44" s="95" t="s">
        <v>135</v>
      </c>
    </row>
    <row r="45" spans="8:11" x14ac:dyDescent="0.2">
      <c r="H45" s="95" t="s">
        <v>134</v>
      </c>
      <c r="I45" s="95" t="s">
        <v>140</v>
      </c>
      <c r="J45" s="95" t="s">
        <v>174</v>
      </c>
      <c r="K45" s="95" t="s">
        <v>135</v>
      </c>
    </row>
    <row r="46" spans="8:11" x14ac:dyDescent="0.2">
      <c r="H46" s="95" t="s">
        <v>147</v>
      </c>
      <c r="I46" s="95" t="s">
        <v>147</v>
      </c>
      <c r="J46" s="95" t="s">
        <v>136</v>
      </c>
      <c r="K46" s="95" t="s">
        <v>135</v>
      </c>
    </row>
    <row r="47" spans="8:11" x14ac:dyDescent="0.2">
      <c r="H47" s="95" t="s">
        <v>159</v>
      </c>
      <c r="I47" s="95" t="s">
        <v>160</v>
      </c>
      <c r="J47" s="95" t="s">
        <v>136</v>
      </c>
      <c r="K47" s="95" t="s">
        <v>135</v>
      </c>
    </row>
    <row r="48" spans="8:11" x14ac:dyDescent="0.2">
      <c r="H48" s="95" t="s">
        <v>162</v>
      </c>
      <c r="I48" s="95" t="s">
        <v>155</v>
      </c>
      <c r="J48" s="95" t="s">
        <v>136</v>
      </c>
      <c r="K48" s="95" t="s">
        <v>135</v>
      </c>
    </row>
    <row r="49" spans="8:11" x14ac:dyDescent="0.2">
      <c r="H49" s="95" t="s">
        <v>164</v>
      </c>
      <c r="I49" s="95" t="s">
        <v>146</v>
      </c>
      <c r="J49" s="95" t="s">
        <v>136</v>
      </c>
      <c r="K49" s="95" t="s">
        <v>135</v>
      </c>
    </row>
    <row r="50" spans="8:11" x14ac:dyDescent="0.2">
      <c r="H50" s="95" t="s">
        <v>163</v>
      </c>
      <c r="I50" s="95" t="s">
        <v>145</v>
      </c>
      <c r="J50" s="95" t="s">
        <v>136</v>
      </c>
      <c r="K50" s="95" t="s">
        <v>135</v>
      </c>
    </row>
    <row r="51" spans="8:11" x14ac:dyDescent="0.2">
      <c r="H51" s="95" t="s">
        <v>161</v>
      </c>
      <c r="I51" s="95" t="s">
        <v>144</v>
      </c>
      <c r="J51" s="95" t="s">
        <v>136</v>
      </c>
      <c r="K51" s="95" t="s">
        <v>135</v>
      </c>
    </row>
    <row r="52" spans="8:11" x14ac:dyDescent="0.2">
      <c r="H52" s="95" t="s">
        <v>165</v>
      </c>
      <c r="I52" s="95" t="s">
        <v>166</v>
      </c>
      <c r="J52" s="95" t="s">
        <v>136</v>
      </c>
      <c r="K52" s="95" t="s">
        <v>135</v>
      </c>
    </row>
    <row r="53" spans="8:11" x14ac:dyDescent="0.2">
      <c r="H53" s="95" t="s">
        <v>143</v>
      </c>
      <c r="I53" s="95" t="s">
        <v>143</v>
      </c>
      <c r="J53" s="95" t="s">
        <v>136</v>
      </c>
      <c r="K53" s="95" t="s">
        <v>135</v>
      </c>
    </row>
    <row r="54" spans="8:11" x14ac:dyDescent="0.2">
      <c r="H54" s="95" t="s">
        <v>158</v>
      </c>
      <c r="I54" s="95" t="s">
        <v>141</v>
      </c>
      <c r="J54" s="95" t="s">
        <v>136</v>
      </c>
      <c r="K54" s="95" t="s">
        <v>135</v>
      </c>
    </row>
  </sheetData>
  <sheetProtection formatCells="0" formatColumns="0" formatRows="0" insertColumns="0" insertRows="0" insertHyperlinks="0" deleteColumns="0" deleteRows="0" sort="0" autoFilter="0" pivotTables="0"/>
  <phoneticPr fontId="8" type="noConversion"/>
  <conditionalFormatting sqref="I4:I54">
    <cfRule type="duplicateValues" dxfId="37" priority="1029"/>
  </conditionalFormatting>
  <dataValidations count="7">
    <dataValidation type="list" allowBlank="1" showInputMessage="1" showErrorMessage="1" sqref="F4:F14 K4:K54" xr:uid="{782D795E-2BAC-487C-9A7E-2ACC2252D51E}">
      <formula1>Alias_Gerentes</formula1>
    </dataValidation>
    <dataValidation type="list" allowBlank="1" showInputMessage="1" showErrorMessage="1" sqref="J7:J54" xr:uid="{8286D5F4-693B-47AA-AB0B-AEA73A2B0A7B}">
      <formula1>Alias_Coordinadores</formula1>
    </dataValidation>
    <dataValidation type="list" allowBlank="1" showInputMessage="1" showErrorMessage="1" sqref="AO7" xr:uid="{70715728-F501-6741-A430-F187EF24D07D}">
      <formula1>"EVELYN VELAZQUEZ,FRIDA RIVERA,MICHELLE APARICIO (P),MINA APARICIO,YADIRA VEGA"</formula1>
    </dataValidation>
    <dataValidation type="list" allowBlank="1" showInputMessage="1" showErrorMessage="1" sqref="AO8" xr:uid="{5FF3874C-7C79-4B4E-B4F9-247C2DD77AB1}">
      <formula1>"JOSE FERNÁNDEZ,YANELY HERNADEZ (P)"</formula1>
    </dataValidation>
    <dataValidation type="list" allowBlank="1" showInputMessage="1" showErrorMessage="1" sqref="AO4" xr:uid="{79C84C9E-5DA8-5240-9904-F9625BB4C96D}">
      <formula1>"EUNICE MORALES,FATIMA HERNANDEZ,LIZBETH MORALES,MARIANA PACHECO (P),MIGUEL RODRIGUEZ,PEDRO GUTIERREZ,YANISSE TORRES"</formula1>
    </dataValidation>
    <dataValidation type="list" allowBlank="1" showInputMessage="1" showErrorMessage="1" sqref="AO5" xr:uid="{FC9E3F29-128C-4B46-98C5-14A550C26138}">
      <formula1>"DAMIAN BRAVO,EFRAIN CORTES,ENRIQUE OJEDA,HUGO PACHECO,OLIVIA PACHECO (P)"</formula1>
    </dataValidation>
    <dataValidation type="list" allowBlank="1" showInputMessage="1" showErrorMessage="1" sqref="AO6" xr:uid="{F370E02C-1FF0-1546-9C28-EFD72DC66F9A}">
      <formula1>"PEDRO MORA (P)"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03688-E5DE-7C4D-8D51-D75859389102}">
  <sheetPr codeName="Sheet5">
    <tabColor rgb="FF7030A0"/>
  </sheetPr>
  <dimension ref="A1:L26"/>
  <sheetViews>
    <sheetView workbookViewId="0">
      <selection activeCell="B2" sqref="B2:D2"/>
    </sheetView>
  </sheetViews>
  <sheetFormatPr baseColWidth="10" defaultColWidth="8.83203125" defaultRowHeight="15" x14ac:dyDescent="0.2"/>
  <cols>
    <col min="1" max="1" width="19.5" bestFit="1" customWidth="1"/>
    <col min="2" max="2" width="38.1640625" bestFit="1" customWidth="1"/>
    <col min="3" max="3" width="3.33203125" customWidth="1"/>
    <col min="4" max="4" width="38.1640625" bestFit="1" customWidth="1"/>
  </cols>
  <sheetData>
    <row r="1" spans="1:4" ht="21" thickBot="1" x14ac:dyDescent="0.3">
      <c r="A1" s="58" t="s">
        <v>238</v>
      </c>
      <c r="B1" s="58"/>
      <c r="D1" s="58" t="s">
        <v>237</v>
      </c>
    </row>
    <row r="2" spans="1:4" ht="21" thickTop="1" x14ac:dyDescent="0.25">
      <c r="A2" s="60"/>
    </row>
    <row r="3" spans="1:4" ht="16" thickBot="1" x14ac:dyDescent="0.25">
      <c r="A3" t="s">
        <v>86</v>
      </c>
      <c r="B3" t="s">
        <v>30</v>
      </c>
      <c r="D3" s="119" t="s">
        <v>30</v>
      </c>
    </row>
    <row r="4" spans="1:4" x14ac:dyDescent="0.2">
      <c r="A4" t="s">
        <v>36</v>
      </c>
      <c r="B4" t="s">
        <v>234</v>
      </c>
      <c r="D4" t="s">
        <v>220</v>
      </c>
    </row>
    <row r="5" spans="1:4" x14ac:dyDescent="0.2">
      <c r="A5" t="s">
        <v>236</v>
      </c>
      <c r="B5" t="s">
        <v>193</v>
      </c>
      <c r="D5" t="s">
        <v>226</v>
      </c>
    </row>
    <row r="6" spans="1:4" x14ac:dyDescent="0.2">
      <c r="A6" t="s">
        <v>235</v>
      </c>
      <c r="B6" t="s">
        <v>226</v>
      </c>
      <c r="D6" t="s">
        <v>234</v>
      </c>
    </row>
    <row r="7" spans="1:4" x14ac:dyDescent="0.2">
      <c r="A7" t="s">
        <v>233</v>
      </c>
      <c r="B7" t="s">
        <v>226</v>
      </c>
      <c r="D7" t="s">
        <v>229</v>
      </c>
    </row>
    <row r="8" spans="1:4" x14ac:dyDescent="0.2">
      <c r="A8" t="s">
        <v>232</v>
      </c>
      <c r="B8" t="s">
        <v>222</v>
      </c>
      <c r="D8" t="s">
        <v>193</v>
      </c>
    </row>
    <row r="9" spans="1:4" x14ac:dyDescent="0.2">
      <c r="A9" t="s">
        <v>231</v>
      </c>
      <c r="B9" t="s">
        <v>226</v>
      </c>
      <c r="D9" t="s">
        <v>222</v>
      </c>
    </row>
    <row r="10" spans="1:4" ht="16" x14ac:dyDescent="0.2">
      <c r="A10" t="s">
        <v>230</v>
      </c>
      <c r="B10" t="s">
        <v>229</v>
      </c>
      <c r="D10" s="28"/>
    </row>
    <row r="11" spans="1:4" ht="16" x14ac:dyDescent="0.2">
      <c r="A11" t="s">
        <v>228</v>
      </c>
      <c r="B11" t="s">
        <v>193</v>
      </c>
      <c r="D11" s="13"/>
    </row>
    <row r="12" spans="1:4" ht="16" x14ac:dyDescent="0.2">
      <c r="A12" t="s">
        <v>227</v>
      </c>
      <c r="B12" t="s">
        <v>226</v>
      </c>
      <c r="D12" s="13"/>
    </row>
    <row r="13" spans="1:4" ht="16" x14ac:dyDescent="0.2">
      <c r="A13" t="s">
        <v>225</v>
      </c>
      <c r="B13" t="s">
        <v>222</v>
      </c>
      <c r="D13" s="13"/>
    </row>
    <row r="14" spans="1:4" ht="16" x14ac:dyDescent="0.2">
      <c r="A14" t="s">
        <v>224</v>
      </c>
      <c r="B14" t="s">
        <v>222</v>
      </c>
      <c r="D14" s="13"/>
    </row>
    <row r="15" spans="1:4" ht="16" x14ac:dyDescent="0.2">
      <c r="A15" t="s">
        <v>223</v>
      </c>
      <c r="B15" t="s">
        <v>222</v>
      </c>
      <c r="D15" s="13"/>
    </row>
    <row r="16" spans="1:4" x14ac:dyDescent="0.2">
      <c r="A16" t="s">
        <v>221</v>
      </c>
      <c r="B16" t="s">
        <v>220</v>
      </c>
    </row>
    <row r="17" spans="1:12" ht="16" x14ac:dyDescent="0.2">
      <c r="A17" s="13"/>
      <c r="B17" s="13"/>
      <c r="C17" s="29"/>
      <c r="E17" s="26"/>
      <c r="F17" s="26"/>
      <c r="G17" s="13"/>
      <c r="H17" s="13"/>
      <c r="I17" s="13"/>
      <c r="J17" s="13"/>
      <c r="K17" s="13"/>
      <c r="L17" s="13"/>
    </row>
    <row r="18" spans="1:12" ht="16" x14ac:dyDescent="0.2">
      <c r="A18" s="13"/>
      <c r="B18" s="13"/>
      <c r="C18" s="13"/>
      <c r="E18" s="13"/>
      <c r="F18" s="13"/>
      <c r="G18" s="13"/>
      <c r="H18" s="13"/>
      <c r="I18" s="13"/>
      <c r="J18" s="13"/>
      <c r="K18" s="13"/>
      <c r="L18" s="13"/>
    </row>
    <row r="19" spans="1:12" ht="16" x14ac:dyDescent="0.2">
      <c r="A19" s="13"/>
      <c r="B19" s="13"/>
      <c r="C19" s="13"/>
      <c r="E19" s="13"/>
      <c r="F19" s="13"/>
      <c r="G19" s="13"/>
      <c r="H19" s="13"/>
      <c r="I19" s="13"/>
      <c r="J19" s="13"/>
      <c r="K19" s="13"/>
      <c r="L19" s="13"/>
    </row>
    <row r="20" spans="1:12" ht="16" x14ac:dyDescent="0.2">
      <c r="A20" s="13"/>
      <c r="B20" s="13"/>
      <c r="C20" s="13"/>
      <c r="E20" s="13"/>
      <c r="F20" s="13"/>
      <c r="G20" s="13"/>
      <c r="H20" s="13"/>
      <c r="I20" s="13"/>
      <c r="J20" s="13"/>
      <c r="K20" s="13"/>
      <c r="L20" s="13"/>
    </row>
    <row r="21" spans="1:12" ht="16" x14ac:dyDescent="0.2">
      <c r="A21" s="13"/>
      <c r="B21" s="13"/>
      <c r="C21" s="13"/>
      <c r="E21" s="13"/>
      <c r="F21" s="13"/>
      <c r="G21" s="13"/>
      <c r="H21" s="13"/>
      <c r="I21" s="13"/>
      <c r="J21" s="13"/>
      <c r="K21" s="13"/>
      <c r="L21" s="13"/>
    </row>
    <row r="22" spans="1:12" ht="16" x14ac:dyDescent="0.2">
      <c r="A22" s="13"/>
      <c r="B22" s="13"/>
      <c r="C22" s="13"/>
      <c r="E22" s="13"/>
      <c r="F22" s="13"/>
      <c r="G22" s="13"/>
      <c r="H22" s="13"/>
      <c r="I22" s="13"/>
      <c r="J22" s="13"/>
      <c r="K22" s="13"/>
      <c r="L22" s="13"/>
    </row>
    <row r="23" spans="1:12" ht="16" x14ac:dyDescent="0.2">
      <c r="J23" s="13"/>
      <c r="K23" s="13"/>
      <c r="L23" s="13"/>
    </row>
    <row r="24" spans="1:12" ht="16" x14ac:dyDescent="0.2">
      <c r="J24" s="13"/>
      <c r="K24" s="13"/>
      <c r="L24" s="13"/>
    </row>
    <row r="25" spans="1:12" ht="16" x14ac:dyDescent="0.2">
      <c r="J25" s="13"/>
      <c r="K25" s="13"/>
      <c r="L25" s="13"/>
    </row>
    <row r="26" spans="1:12" ht="16" x14ac:dyDescent="0.2">
      <c r="J26" s="13"/>
      <c r="K26" s="13"/>
      <c r="L26" s="13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0506D-A04C-D249-9304-2D59B883D29B}">
  <sheetPr codeName="Sheet4">
    <tabColor rgb="FF00B0F0"/>
  </sheetPr>
  <dimension ref="A1:A27"/>
  <sheetViews>
    <sheetView workbookViewId="0">
      <selection activeCell="B2" sqref="B2:D2"/>
    </sheetView>
  </sheetViews>
  <sheetFormatPr baseColWidth="10" defaultRowHeight="15" x14ac:dyDescent="0.2"/>
  <cols>
    <col min="1" max="1" width="16.6640625" bestFit="1" customWidth="1"/>
  </cols>
  <sheetData>
    <row r="1" spans="1:1" ht="21" thickBot="1" x14ac:dyDescent="0.3">
      <c r="A1" s="58" t="s">
        <v>194</v>
      </c>
    </row>
    <row r="2" spans="1:1" ht="16" thickTop="1" x14ac:dyDescent="0.2"/>
    <row r="3" spans="1:1" x14ac:dyDescent="0.2">
      <c r="A3" t="s">
        <v>206</v>
      </c>
    </row>
    <row r="4" spans="1:1" x14ac:dyDescent="0.2">
      <c r="A4" t="s">
        <v>239</v>
      </c>
    </row>
    <row r="5" spans="1:1" x14ac:dyDescent="0.2">
      <c r="A5" t="s">
        <v>198</v>
      </c>
    </row>
    <row r="6" spans="1:1" x14ac:dyDescent="0.2">
      <c r="A6" t="s">
        <v>216</v>
      </c>
    </row>
    <row r="7" spans="1:1" x14ac:dyDescent="0.2">
      <c r="A7" t="s">
        <v>215</v>
      </c>
    </row>
    <row r="8" spans="1:1" x14ac:dyDescent="0.2">
      <c r="A8" t="s">
        <v>243</v>
      </c>
    </row>
    <row r="9" spans="1:1" x14ac:dyDescent="0.2">
      <c r="A9" t="s">
        <v>199</v>
      </c>
    </row>
    <row r="10" spans="1:1" x14ac:dyDescent="0.2">
      <c r="A10" t="s">
        <v>200</v>
      </c>
    </row>
    <row r="11" spans="1:1" x14ac:dyDescent="0.2">
      <c r="A11" t="s">
        <v>202</v>
      </c>
    </row>
    <row r="12" spans="1:1" x14ac:dyDescent="0.2">
      <c r="A12" t="s">
        <v>242</v>
      </c>
    </row>
    <row r="13" spans="1:1" x14ac:dyDescent="0.2">
      <c r="A13" t="s">
        <v>195</v>
      </c>
    </row>
    <row r="14" spans="1:1" x14ac:dyDescent="0.2">
      <c r="A14" t="s">
        <v>205</v>
      </c>
    </row>
    <row r="15" spans="1:1" x14ac:dyDescent="0.2">
      <c r="A15" t="s">
        <v>245</v>
      </c>
    </row>
    <row r="16" spans="1:1" x14ac:dyDescent="0.2">
      <c r="A16" t="s">
        <v>214</v>
      </c>
    </row>
    <row r="17" spans="1:1" x14ac:dyDescent="0.2">
      <c r="A17" t="s">
        <v>217</v>
      </c>
    </row>
    <row r="18" spans="1:1" x14ac:dyDescent="0.2">
      <c r="A18" t="s">
        <v>219</v>
      </c>
    </row>
    <row r="19" spans="1:1" x14ac:dyDescent="0.2">
      <c r="A19" t="s">
        <v>204</v>
      </c>
    </row>
    <row r="20" spans="1:1" x14ac:dyDescent="0.2">
      <c r="A20" t="s">
        <v>203</v>
      </c>
    </row>
    <row r="21" spans="1:1" x14ac:dyDescent="0.2">
      <c r="A21" t="s">
        <v>240</v>
      </c>
    </row>
    <row r="22" spans="1:1" x14ac:dyDescent="0.2">
      <c r="A22" t="s">
        <v>201</v>
      </c>
    </row>
    <row r="23" spans="1:1" x14ac:dyDescent="0.2">
      <c r="A23" t="s">
        <v>244</v>
      </c>
    </row>
    <row r="24" spans="1:1" x14ac:dyDescent="0.2">
      <c r="A24" t="s">
        <v>241</v>
      </c>
    </row>
    <row r="25" spans="1:1" x14ac:dyDescent="0.2">
      <c r="A25" t="s">
        <v>218</v>
      </c>
    </row>
    <row r="26" spans="1:1" x14ac:dyDescent="0.2">
      <c r="A26" t="s">
        <v>197</v>
      </c>
    </row>
    <row r="27" spans="1:1" x14ac:dyDescent="0.2">
      <c r="A27" t="s">
        <v>196</v>
      </c>
    </row>
  </sheetData>
  <sheetProtection formatCells="0" formatColumns="0" formatRows="0" insertColumns="0" insertRows="0" insertHyperlinks="0" deleteColumns="0" deleteRows="0" sort="0" autoFilter="0" pivotTables="0"/>
  <phoneticPr fontId="8" type="noConversion"/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23E57-D7D6-0846-AB60-95D3FC77A20B}">
  <sheetPr codeName="Sheet10">
    <tabColor rgb="FF92D050"/>
  </sheetPr>
  <dimension ref="A1:O95"/>
  <sheetViews>
    <sheetView workbookViewId="0">
      <selection activeCell="B2" sqref="B2:D2"/>
    </sheetView>
  </sheetViews>
  <sheetFormatPr baseColWidth="10" defaultRowHeight="15" x14ac:dyDescent="0.2"/>
  <cols>
    <col min="1" max="1" width="36.5" bestFit="1" customWidth="1"/>
    <col min="2" max="2" width="17.6640625" bestFit="1" customWidth="1"/>
    <col min="3" max="3" width="16.83203125" bestFit="1" customWidth="1"/>
    <col min="4" max="4" width="14.83203125" bestFit="1" customWidth="1"/>
    <col min="5" max="5" width="17.1640625" bestFit="1" customWidth="1"/>
    <col min="6" max="6" width="12.83203125" bestFit="1" customWidth="1"/>
    <col min="7" max="7" width="13.83203125" bestFit="1" customWidth="1"/>
    <col min="8" max="8" width="13.33203125" bestFit="1" customWidth="1"/>
    <col min="9" max="9" width="15.1640625" bestFit="1" customWidth="1"/>
    <col min="10" max="10" width="11.33203125" bestFit="1" customWidth="1"/>
    <col min="11" max="11" width="17.1640625" bestFit="1" customWidth="1"/>
    <col min="12" max="12" width="10" bestFit="1" customWidth="1"/>
    <col min="13" max="13" width="14" bestFit="1" customWidth="1"/>
    <col min="14" max="14" width="10" bestFit="1" customWidth="1"/>
    <col min="15" max="15" width="13.1640625" bestFit="1" customWidth="1"/>
    <col min="16" max="16" width="11.83203125" bestFit="1" customWidth="1"/>
    <col min="17" max="17" width="10" bestFit="1" customWidth="1"/>
  </cols>
  <sheetData>
    <row r="1" spans="1:15" ht="25" thickBot="1" x14ac:dyDescent="0.35">
      <c r="A1" s="115" t="s">
        <v>208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</row>
    <row r="2" spans="1:15" ht="16" thickTop="1" x14ac:dyDescent="0.2"/>
    <row r="3" spans="1:15" ht="20" thickBot="1" x14ac:dyDescent="0.3">
      <c r="A3" s="116" t="s">
        <v>213</v>
      </c>
    </row>
    <row r="4" spans="1:15" ht="16" thickTop="1" x14ac:dyDescent="0.2">
      <c r="A4" t="s">
        <v>213</v>
      </c>
    </row>
    <row r="5" spans="1:15" x14ac:dyDescent="0.2">
      <c r="A5" s="133">
        <v>1</v>
      </c>
    </row>
    <row r="8" spans="1:15" ht="20" thickBot="1" x14ac:dyDescent="0.3">
      <c r="A8" s="116" t="s">
        <v>189</v>
      </c>
    </row>
    <row r="9" spans="1:15" ht="16" thickTop="1" x14ac:dyDescent="0.2">
      <c r="B9" t="s">
        <v>246</v>
      </c>
      <c r="C9" t="s">
        <v>187</v>
      </c>
    </row>
    <row r="10" spans="1:15" x14ac:dyDescent="0.2">
      <c r="A10" t="s">
        <v>189</v>
      </c>
      <c r="B10" s="133">
        <v>1</v>
      </c>
      <c r="C10" s="133">
        <v>1</v>
      </c>
    </row>
    <row r="13" spans="1:15" ht="20" thickBot="1" x14ac:dyDescent="0.3">
      <c r="A13" s="116" t="s">
        <v>207</v>
      </c>
    </row>
    <row r="14" spans="1:15" ht="16" thickTop="1" x14ac:dyDescent="0.2">
      <c r="B14" t="s">
        <v>246</v>
      </c>
      <c r="C14" t="s">
        <v>187</v>
      </c>
    </row>
    <row r="15" spans="1:15" x14ac:dyDescent="0.2">
      <c r="A15" t="s">
        <v>207</v>
      </c>
      <c r="B15" s="133">
        <v>1</v>
      </c>
      <c r="C15" s="133">
        <v>1</v>
      </c>
    </row>
    <row r="18" spans="1:3" ht="20" thickBot="1" x14ac:dyDescent="0.3">
      <c r="A18" s="116" t="s">
        <v>209</v>
      </c>
    </row>
    <row r="19" spans="1:3" ht="16" thickTop="1" x14ac:dyDescent="0.2">
      <c r="B19" t="s">
        <v>246</v>
      </c>
      <c r="C19" t="s">
        <v>187</v>
      </c>
    </row>
    <row r="20" spans="1:3" x14ac:dyDescent="0.2">
      <c r="A20" t="s">
        <v>191</v>
      </c>
      <c r="B20" s="133">
        <v>1</v>
      </c>
      <c r="C20" s="133">
        <v>1</v>
      </c>
    </row>
    <row r="23" spans="1:3" ht="20" thickBot="1" x14ac:dyDescent="0.3">
      <c r="A23" s="116" t="s">
        <v>192</v>
      </c>
    </row>
    <row r="24" spans="1:3" ht="16" thickTop="1" x14ac:dyDescent="0.2">
      <c r="B24" t="s">
        <v>246</v>
      </c>
      <c r="C24" t="s">
        <v>187</v>
      </c>
    </row>
    <row r="25" spans="1:3" x14ac:dyDescent="0.2">
      <c r="A25" t="s">
        <v>192</v>
      </c>
      <c r="B25" s="133">
        <v>1</v>
      </c>
      <c r="C25" s="133">
        <v>1</v>
      </c>
    </row>
    <row r="28" spans="1:3" ht="20" thickBot="1" x14ac:dyDescent="0.3">
      <c r="A28" s="116" t="s">
        <v>210</v>
      </c>
    </row>
    <row r="29" spans="1:3" ht="16" thickTop="1" x14ac:dyDescent="0.2">
      <c r="A29" s="105" t="s">
        <v>210</v>
      </c>
    </row>
    <row r="30" spans="1:3" x14ac:dyDescent="0.2">
      <c r="B30" t="s">
        <v>246</v>
      </c>
      <c r="C30" t="s">
        <v>187</v>
      </c>
    </row>
    <row r="31" spans="1:3" x14ac:dyDescent="0.2">
      <c r="A31" s="106" t="s">
        <v>246</v>
      </c>
      <c r="B31" s="133">
        <v>1</v>
      </c>
      <c r="C31" s="133">
        <v>1</v>
      </c>
    </row>
    <row r="32" spans="1:3" x14ac:dyDescent="0.2">
      <c r="A32" s="106" t="s">
        <v>187</v>
      </c>
      <c r="B32" s="133">
        <v>1</v>
      </c>
      <c r="C32" s="133">
        <v>1</v>
      </c>
    </row>
    <row r="45" spans="1:3" ht="20" thickBot="1" x14ac:dyDescent="0.3">
      <c r="A45" s="116" t="s">
        <v>211</v>
      </c>
    </row>
    <row r="46" spans="1:3" ht="16" thickTop="1" x14ac:dyDescent="0.2">
      <c r="A46" s="105" t="s">
        <v>211</v>
      </c>
    </row>
    <row r="47" spans="1:3" x14ac:dyDescent="0.2">
      <c r="B47" t="s">
        <v>246</v>
      </c>
      <c r="C47" t="s">
        <v>187</v>
      </c>
    </row>
    <row r="48" spans="1:3" x14ac:dyDescent="0.2">
      <c r="A48" s="106" t="s">
        <v>246</v>
      </c>
      <c r="B48" s="133">
        <v>1</v>
      </c>
      <c r="C48" s="133">
        <v>1</v>
      </c>
    </row>
    <row r="49" spans="1:3" x14ac:dyDescent="0.2">
      <c r="A49" s="106" t="s">
        <v>187</v>
      </c>
      <c r="B49" s="133">
        <v>1</v>
      </c>
      <c r="C49" s="133">
        <v>1</v>
      </c>
    </row>
    <row r="70" spans="1:1" x14ac:dyDescent="0.2">
      <c r="A70" s="106"/>
    </row>
    <row r="71" spans="1:1" x14ac:dyDescent="0.2">
      <c r="A71" s="106"/>
    </row>
    <row r="72" spans="1:1" x14ac:dyDescent="0.2">
      <c r="A72" s="106"/>
    </row>
    <row r="73" spans="1:1" x14ac:dyDescent="0.2">
      <c r="A73" s="106"/>
    </row>
    <row r="74" spans="1:1" x14ac:dyDescent="0.2">
      <c r="A74" s="106"/>
    </row>
    <row r="75" spans="1:1" x14ac:dyDescent="0.2">
      <c r="A75" s="106"/>
    </row>
    <row r="76" spans="1:1" x14ac:dyDescent="0.2">
      <c r="A76" s="106"/>
    </row>
    <row r="77" spans="1:1" x14ac:dyDescent="0.2">
      <c r="A77" s="106"/>
    </row>
    <row r="78" spans="1:1" x14ac:dyDescent="0.2">
      <c r="A78" s="106"/>
    </row>
    <row r="79" spans="1:1" x14ac:dyDescent="0.2">
      <c r="A79" s="106"/>
    </row>
    <row r="80" spans="1:1" x14ac:dyDescent="0.2">
      <c r="A80" s="106"/>
    </row>
    <row r="81" spans="1:3" x14ac:dyDescent="0.2">
      <c r="A81" s="106"/>
    </row>
    <row r="82" spans="1:3" x14ac:dyDescent="0.2">
      <c r="A82" s="106"/>
    </row>
    <row r="83" spans="1:3" x14ac:dyDescent="0.2">
      <c r="A83" s="106"/>
    </row>
    <row r="84" spans="1:3" x14ac:dyDescent="0.2">
      <c r="A84" s="106"/>
    </row>
    <row r="85" spans="1:3" x14ac:dyDescent="0.2">
      <c r="A85" s="106"/>
    </row>
    <row r="86" spans="1:3" x14ac:dyDescent="0.2">
      <c r="A86" s="106"/>
    </row>
    <row r="87" spans="1:3" x14ac:dyDescent="0.2">
      <c r="A87" s="106"/>
    </row>
    <row r="88" spans="1:3" x14ac:dyDescent="0.2">
      <c r="A88" s="106"/>
    </row>
    <row r="89" spans="1:3" x14ac:dyDescent="0.2">
      <c r="A89" s="106"/>
    </row>
    <row r="91" spans="1:3" ht="20" thickBot="1" x14ac:dyDescent="0.3">
      <c r="A91" s="116" t="s">
        <v>212</v>
      </c>
    </row>
    <row r="92" spans="1:3" ht="16" thickTop="1" x14ac:dyDescent="0.2">
      <c r="A92" s="105" t="s">
        <v>190</v>
      </c>
    </row>
    <row r="93" spans="1:3" x14ac:dyDescent="0.2">
      <c r="B93" t="s">
        <v>246</v>
      </c>
      <c r="C93" t="s">
        <v>187</v>
      </c>
    </row>
    <row r="94" spans="1:3" x14ac:dyDescent="0.2">
      <c r="A94" s="106" t="s">
        <v>246</v>
      </c>
      <c r="B94" s="133">
        <v>0</v>
      </c>
      <c r="C94" s="133">
        <v>0</v>
      </c>
    </row>
    <row r="95" spans="1:3" x14ac:dyDescent="0.2">
      <c r="A95" s="106" t="s">
        <v>187</v>
      </c>
      <c r="B95" s="133">
        <v>0</v>
      </c>
      <c r="C95" s="133">
        <v>0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B75DA-0C51-CE46-B65B-8D53D1DA2962}">
  <sheetPr codeName="Sheet8">
    <tabColor rgb="FFCC99FF"/>
  </sheetPr>
  <dimension ref="F219"/>
  <sheetViews>
    <sheetView topLeftCell="A2" zoomScaleNormal="100" zoomScaleSheetLayoutView="100" workbookViewId="0">
      <selection activeCell="B2" sqref="B2:D2"/>
    </sheetView>
  </sheetViews>
  <sheetFormatPr baseColWidth="10" defaultRowHeight="15" x14ac:dyDescent="0.2"/>
  <cols>
    <col min="1" max="1" width="27.83203125" bestFit="1" customWidth="1"/>
    <col min="2" max="2" width="19.5" bestFit="1" customWidth="1"/>
    <col min="3" max="3" width="14" bestFit="1" customWidth="1"/>
    <col min="4" max="4" width="16.83203125" bestFit="1" customWidth="1"/>
    <col min="5" max="5" width="16" bestFit="1" customWidth="1"/>
    <col min="6" max="6" width="16.5" bestFit="1" customWidth="1"/>
    <col min="7" max="7" width="17.1640625" bestFit="1" customWidth="1"/>
    <col min="8" max="8" width="16.83203125" bestFit="1" customWidth="1"/>
    <col min="9" max="9" width="18.1640625" bestFit="1" customWidth="1"/>
    <col min="10" max="10" width="17.33203125" bestFit="1" customWidth="1"/>
    <col min="11" max="11" width="16.5" bestFit="1" customWidth="1"/>
    <col min="12" max="12" width="11.5" bestFit="1" customWidth="1"/>
    <col min="13" max="13" width="16.5" bestFit="1" customWidth="1"/>
    <col min="14" max="14" width="13.5" bestFit="1" customWidth="1"/>
    <col min="15" max="15" width="13.1640625" bestFit="1" customWidth="1"/>
    <col min="16" max="16" width="11.83203125" bestFit="1" customWidth="1"/>
    <col min="17" max="17" width="10" bestFit="1" customWidth="1"/>
  </cols>
  <sheetData>
    <row r="219" spans="6:6" x14ac:dyDescent="0.2">
      <c r="F219" s="113"/>
    </row>
  </sheetData>
  <pageMargins left="0.7" right="0.7" top="0.75" bottom="0.75" header="0.3" footer="0.3"/>
  <pageSetup orientation="landscape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52918-F284-4156-BD82-B452CD8136A7}">
  <sheetPr codeName="Sheet6">
    <tabColor rgb="FF0070C0"/>
  </sheetPr>
  <dimension ref="A1:K29"/>
  <sheetViews>
    <sheetView workbookViewId="0">
      <selection activeCell="B2" sqref="B2:D2"/>
    </sheetView>
  </sheetViews>
  <sheetFormatPr baseColWidth="10" defaultColWidth="14.5" defaultRowHeight="16" x14ac:dyDescent="0.2"/>
  <cols>
    <col min="1" max="1" width="24.83203125" style="13" bestFit="1" customWidth="1"/>
    <col min="2" max="2" width="17.5" style="13" bestFit="1" customWidth="1"/>
    <col min="3" max="3" width="28.5" style="13" bestFit="1" customWidth="1"/>
    <col min="4" max="4" width="16.5" style="13" bestFit="1" customWidth="1"/>
    <col min="5" max="5" width="14.1640625" style="13" bestFit="1" customWidth="1"/>
    <col min="6" max="6" width="12.1640625" style="13" bestFit="1" customWidth="1"/>
    <col min="7" max="7" width="15.83203125" style="13" bestFit="1" customWidth="1"/>
    <col min="8" max="8" width="12" style="13" bestFit="1" customWidth="1"/>
    <col min="9" max="9" width="30.1640625" style="19" bestFit="1" customWidth="1"/>
    <col min="10" max="10" width="17.6640625" style="13" bestFit="1" customWidth="1"/>
    <col min="11" max="11" width="21" style="13" bestFit="1" customWidth="1"/>
    <col min="12" max="12" width="3.33203125" style="13" bestFit="1" customWidth="1"/>
    <col min="13" max="18" width="10.6640625" style="13" customWidth="1"/>
    <col min="19" max="16384" width="14.5" style="13"/>
  </cols>
  <sheetData>
    <row r="1" spans="1:11" ht="17" thickBot="1" x14ac:dyDescent="0.25">
      <c r="A1" s="32" t="s">
        <v>27</v>
      </c>
      <c r="B1" s="127"/>
      <c r="C1" s="127"/>
      <c r="D1" s="127"/>
      <c r="F1" s="43" t="s">
        <v>103</v>
      </c>
      <c r="G1" s="45" t="s">
        <v>6</v>
      </c>
      <c r="I1" s="31" t="s">
        <v>47</v>
      </c>
      <c r="J1" s="34">
        <f>Total_Registros_Gerente</f>
        <v>0</v>
      </c>
    </row>
    <row r="2" spans="1:11" ht="17" thickBot="1" x14ac:dyDescent="0.25">
      <c r="A2" s="43" t="s">
        <v>30</v>
      </c>
      <c r="B2" s="128"/>
      <c r="C2" s="128"/>
      <c r="D2" s="128"/>
    </row>
    <row r="3" spans="1:11" ht="17" thickBot="1" x14ac:dyDescent="0.25">
      <c r="A3" s="43" t="s">
        <v>28</v>
      </c>
      <c r="B3" s="99"/>
      <c r="C3" s="44" t="s">
        <v>29</v>
      </c>
      <c r="D3" s="100"/>
      <c r="F3" s="20"/>
      <c r="G3" s="21"/>
      <c r="I3" s="16"/>
    </row>
    <row r="4" spans="1:11" ht="17" thickBot="1" x14ac:dyDescent="0.25">
      <c r="A4" s="43" t="s">
        <v>17</v>
      </c>
      <c r="B4" s="85" cm="1">
        <f t="array" ref="B4">IF(COUNTA(Tabla_Coordinador[GRUPO]) = 0, 0,
   COUNTIFS(Tabla_Coordinador[GRUPO], "&lt;&gt;",
            Tabla_Coordinador[GRUPO], "&lt;&gt;503",
            Tabla_Coordinador[GRUPO], "&lt;&gt;500",
            Tabla_Coordinador[PAGO], "&gt;=299")
   - SUMPRODUCT(COUNTIF(Tabla_Gerente[CREDENCIAL], Tabla_Coordinador[CREDENCIAL]) - 1))</f>
        <v>0</v>
      </c>
      <c r="C4" s="17"/>
      <c r="F4" s="18"/>
      <c r="G4" s="18"/>
      <c r="H4" s="17"/>
      <c r="I4" s="31" t="s">
        <v>37</v>
      </c>
      <c r="J4" s="72">
        <v>0</v>
      </c>
      <c r="K4" s="19"/>
    </row>
    <row r="5" spans="1:11" ht="17" thickBot="1" x14ac:dyDescent="0.25">
      <c r="A5" s="43" t="s">
        <v>31</v>
      </c>
      <c r="B5" s="46">
        <f>WEEKNUM(B3)</f>
        <v>0</v>
      </c>
      <c r="C5" s="17"/>
      <c r="E5" s="18"/>
      <c r="F5" s="18"/>
      <c r="G5" s="18"/>
      <c r="H5" s="17"/>
      <c r="J5" s="23"/>
      <c r="K5" s="23"/>
    </row>
    <row r="6" spans="1:11" ht="17" thickBot="1" x14ac:dyDescent="0.25">
      <c r="A6" s="43" t="s">
        <v>26</v>
      </c>
      <c r="B6" s="101"/>
      <c r="C6" s="17"/>
      <c r="E6" s="18"/>
      <c r="F6" s="18"/>
      <c r="G6" s="18"/>
      <c r="H6" s="17"/>
      <c r="J6" s="23"/>
      <c r="K6" s="23"/>
    </row>
    <row r="8" spans="1:11" x14ac:dyDescent="0.2">
      <c r="A8" s="110" t="s">
        <v>7</v>
      </c>
      <c r="B8" s="110" t="s">
        <v>18</v>
      </c>
      <c r="C8" s="110" t="s">
        <v>97</v>
      </c>
      <c r="D8" s="111" t="s">
        <v>33</v>
      </c>
      <c r="E8" s="110" t="s">
        <v>32</v>
      </c>
      <c r="F8" s="110" t="s">
        <v>52</v>
      </c>
      <c r="G8" s="110" t="s">
        <v>20</v>
      </c>
      <c r="H8" s="111" t="s">
        <v>1</v>
      </c>
      <c r="I8" s="110" t="s">
        <v>53</v>
      </c>
      <c r="J8" s="110" t="s">
        <v>21</v>
      </c>
      <c r="K8" s="110" t="s">
        <v>22</v>
      </c>
    </row>
    <row r="9" spans="1:11" x14ac:dyDescent="0.2">
      <c r="A9" s="17"/>
      <c r="B9" s="18"/>
      <c r="C9" s="18"/>
      <c r="D9" s="50">
        <f>IF(
    OR(
        Tabla_Coordinador[[#This Row],[GRUPO]] = 501,
        Tabla_Coordinador[[#This Row],[GRUPO]] = 505,
        Tabla_Coordinador[[#This Row],[GRUPO]] = 503,
        Tabla_Coordinador[[#This Row],[GRUPO]] = "",
        Tabla_Coordinador[[#This Row],[GRUPO]] = 500,
        Tabla_Coordinador[[#This Row],[PAGO]] &lt; 299,
        COUNTIF(Tabla_Coordinador[CREDENCIAL], Tabla_Coordinador[[#This Row],[CREDENCIAL]]) &gt; 1,
        COUNTIF(Tabla_Gerente[CREDENCIAL], Tabla_Coordinador[[#This Row],[CREDENCIAL]]) &gt; 1
    ),
    0,
    VLOOKUP(
        Total_Registros_Coordinador,
        Tabla_Tabulador_Coordinador[],
        3,
        TRUE
    )
)</f>
        <v>0</v>
      </c>
      <c r="E9" s="18"/>
      <c r="F9" s="18"/>
      <c r="G9" s="42"/>
      <c r="H9" s="67">
        <f>IFERROR(VLOOKUP(Tabla_Coordinador[[#This Row],[CREDENCIAL]], Tabla_Gerente[[CREDENCIAL]:[PAGO]], 7, FALSE), 0)</f>
        <v>0</v>
      </c>
      <c r="I9" s="102"/>
      <c r="J9" s="19"/>
      <c r="K9" s="19"/>
    </row>
    <row r="10" spans="1:11" x14ac:dyDescent="0.2">
      <c r="A10" s="27" t="s">
        <v>39</v>
      </c>
      <c r="B10" s="14"/>
      <c r="C10" s="15"/>
      <c r="D10" s="52">
        <f>SUBTOTAL(109,Tabla_Coordinador[COMISION])</f>
        <v>0</v>
      </c>
      <c r="E10" s="14"/>
      <c r="F10" s="14"/>
      <c r="G10" s="14"/>
      <c r="H10" s="14"/>
      <c r="I10" s="16"/>
      <c r="J10" s="16"/>
      <c r="K10" s="16"/>
    </row>
    <row r="11" spans="1:11" x14ac:dyDescent="0.2">
      <c r="A11" s="27"/>
      <c r="B11" s="14"/>
      <c r="C11" s="15"/>
      <c r="D11" s="52"/>
      <c r="E11" s="14"/>
      <c r="F11" s="14"/>
      <c r="G11" s="14"/>
      <c r="H11" s="53"/>
      <c r="I11" s="16"/>
      <c r="J11" s="16"/>
      <c r="K11" s="16"/>
    </row>
    <row r="12" spans="1:11" x14ac:dyDescent="0.2">
      <c r="A12" s="27" t="s">
        <v>13</v>
      </c>
      <c r="D12" s="26">
        <f>Sueldo_Base_Coordinador</f>
        <v>500</v>
      </c>
      <c r="E12" s="16"/>
      <c r="F12" s="15"/>
      <c r="H12" s="15"/>
      <c r="J12" s="24"/>
    </row>
    <row r="13" spans="1:11" ht="17" thickBot="1" x14ac:dyDescent="0.25">
      <c r="A13" s="37" t="s">
        <v>34</v>
      </c>
      <c r="B13" s="38">
        <f>IF(Total_Registros_Coordinador &gt;= Premios!H5,
    VLOOKUP(Total_Registros_Coordinador, Tabla_Premios_Coordinador[], 1, TRUE),
    0
)</f>
        <v>0</v>
      </c>
      <c r="C13" s="34"/>
      <c r="D13" s="36">
        <f>IF(Premio_Coordinador &gt; 0, VLOOKUP(Premio_Coordinador, Tabla_Premios_Coordinador[], 2, FALSE), 0)</f>
        <v>0</v>
      </c>
      <c r="E13" s="16"/>
      <c r="F13" s="15"/>
      <c r="H13" s="15"/>
      <c r="J13" s="24"/>
    </row>
    <row r="14" spans="1:11" x14ac:dyDescent="0.2">
      <c r="A14" s="27" t="s">
        <v>35</v>
      </c>
      <c r="B14" s="18"/>
      <c r="D14" s="28">
        <f>Tabla_Coordinador[[#Totals],[COMISION]] + Pago_Sueldo_Base_Coordinador + Pago_Premio_Coordinador</f>
        <v>500</v>
      </c>
      <c r="E14" s="16"/>
      <c r="F14" s="15"/>
      <c r="H14" s="15"/>
      <c r="J14" s="24"/>
    </row>
    <row r="15" spans="1:11" x14ac:dyDescent="0.2">
      <c r="A15" s="27" t="s">
        <v>182</v>
      </c>
      <c r="B15" s="18"/>
      <c r="C15" s="29"/>
      <c r="D15" s="40">
        <f>_xlfn.IFNA(SUMIFS(Tabla_Descuentos[DESCUENTO], Tabla_Descuentos[COLABORADOR], Nombre_Coordinador, Tabla_Descuentos[PUESTO], Puesto_Coordinador), 0)</f>
        <v>0</v>
      </c>
      <c r="E15" s="16"/>
      <c r="F15" s="15"/>
      <c r="H15" s="15"/>
      <c r="J15" s="22"/>
      <c r="K15" s="22"/>
    </row>
    <row r="16" spans="1:11" ht="17" thickBot="1" x14ac:dyDescent="0.25">
      <c r="A16" s="37" t="s">
        <v>23</v>
      </c>
      <c r="B16" s="34"/>
      <c r="C16" s="34"/>
      <c r="D16" s="48">
        <f>(Pago_Subtotal_Coordinador * 0.05) * -1</f>
        <v>-25</v>
      </c>
      <c r="E16" s="16"/>
      <c r="F16" s="15"/>
      <c r="H16" s="15"/>
    </row>
    <row r="17" spans="1:9" ht="17" thickBot="1" x14ac:dyDescent="0.25">
      <c r="A17" s="42"/>
      <c r="C17" s="29"/>
      <c r="D17" s="28"/>
      <c r="E17" s="16"/>
      <c r="F17" s="15"/>
    </row>
    <row r="18" spans="1:9" ht="17" thickBot="1" x14ac:dyDescent="0.25">
      <c r="A18" s="37" t="s">
        <v>38</v>
      </c>
      <c r="B18" s="34"/>
      <c r="C18" s="49"/>
      <c r="D18" s="30">
        <f>Pago_Subtotal_Coordinador + Descuento_Coordinador + Deduccion_Coordinador</f>
        <v>475</v>
      </c>
      <c r="E18" s="16"/>
      <c r="F18" s="15"/>
    </row>
    <row r="19" spans="1:9" x14ac:dyDescent="0.2">
      <c r="C19" s="29"/>
      <c r="D19" s="28"/>
      <c r="E19" s="26"/>
      <c r="F19" s="26"/>
    </row>
    <row r="20" spans="1:9" x14ac:dyDescent="0.2">
      <c r="C20" s="29"/>
      <c r="D20" s="28"/>
      <c r="E20" s="26"/>
      <c r="F20" s="26"/>
      <c r="I20" s="13"/>
    </row>
    <row r="21" spans="1:9" ht="17" thickBot="1" x14ac:dyDescent="0.25">
      <c r="C21" s="37" t="s">
        <v>24</v>
      </c>
      <c r="D21" s="129" t="str" cm="1">
        <f t="array" ref="D21">NumeroATexto(Pago_Neto_Coordinador)</f>
        <v>CUATROCIENTOS SETENTA Y CINCO PESOS 00/100</v>
      </c>
      <c r="E21" s="129"/>
      <c r="F21" s="129"/>
      <c r="G21" s="129"/>
      <c r="H21" s="129"/>
      <c r="I21" s="129"/>
    </row>
    <row r="22" spans="1:9" x14ac:dyDescent="0.2">
      <c r="C22" s="27"/>
      <c r="D22" s="26"/>
      <c r="E22" s="16"/>
      <c r="F22" s="15"/>
      <c r="I22" s="13"/>
    </row>
    <row r="23" spans="1:9" x14ac:dyDescent="0.2">
      <c r="C23" s="29"/>
      <c r="D23" s="28"/>
      <c r="I23" s="13"/>
    </row>
    <row r="24" spans="1:9" ht="17" thickBot="1" x14ac:dyDescent="0.25">
      <c r="C24" s="33" t="s">
        <v>25</v>
      </c>
      <c r="D24" s="130"/>
      <c r="E24" s="130"/>
      <c r="F24" s="130"/>
      <c r="G24" s="130"/>
      <c r="H24" s="130"/>
      <c r="I24" s="130"/>
    </row>
    <row r="25" spans="1:9" x14ac:dyDescent="0.2">
      <c r="I25" s="13"/>
    </row>
    <row r="26" spans="1:9" x14ac:dyDescent="0.2">
      <c r="I26" s="13"/>
    </row>
    <row r="27" spans="1:9" x14ac:dyDescent="0.2">
      <c r="I27" s="13"/>
    </row>
    <row r="28" spans="1:9" x14ac:dyDescent="0.2">
      <c r="I28" s="13"/>
    </row>
    <row r="29" spans="1:9" x14ac:dyDescent="0.2">
      <c r="I29" s="13"/>
    </row>
  </sheetData>
  <mergeCells count="4">
    <mergeCell ref="B1:D1"/>
    <mergeCell ref="B2:D2"/>
    <mergeCell ref="D21:I21"/>
    <mergeCell ref="D24:I24"/>
  </mergeCells>
  <conditionalFormatting sqref="D9">
    <cfRule type="cellIs" dxfId="36" priority="8" operator="equal">
      <formula>0</formula>
    </cfRule>
    <cfRule type="cellIs" dxfId="35" priority="17" operator="equal">
      <formula>$G9=501</formula>
    </cfRule>
  </conditionalFormatting>
  <conditionalFormatting sqref="G9">
    <cfRule type="cellIs" dxfId="34" priority="2" operator="equal">
      <formula>505</formula>
    </cfRule>
    <cfRule type="cellIs" dxfId="33" priority="6" operator="equal">
      <formula>501</formula>
    </cfRule>
    <cfRule type="containsBlanks" dxfId="32" priority="9">
      <formula>LEN(TRIM(G9))=0</formula>
    </cfRule>
  </conditionalFormatting>
  <conditionalFormatting sqref="B9">
    <cfRule type="duplicateValues" dxfId="31" priority="25"/>
  </conditionalFormatting>
  <conditionalFormatting sqref="A9:K9">
    <cfRule type="expression" dxfId="30" priority="4">
      <formula>$G9 = 503</formula>
    </cfRule>
  </conditionalFormatting>
  <conditionalFormatting sqref="H9">
    <cfRule type="cellIs" dxfId="29" priority="1" stopIfTrue="1" operator="lessThan">
      <formula>299</formula>
    </cfRule>
  </conditionalFormatting>
  <dataValidations count="8">
    <dataValidation type="list" allowBlank="1" showInputMessage="1" showErrorMessage="1" sqref="B1" xr:uid="{E696B7E1-0B38-47F3-B286-84BD83122CB9}">
      <formula1>Nombres_Coordinadores</formula1>
    </dataValidation>
    <dataValidation type="list" allowBlank="1" showInputMessage="1" showErrorMessage="1" sqref="E9" xr:uid="{D2E534D9-C8AB-4C0C-A78D-08BAA8D49E2E}">
      <formula1>Nombres_Planteles</formula1>
    </dataValidation>
    <dataValidation type="custom" allowBlank="1" showInputMessage="1" showErrorMessage="1" sqref="G9" xr:uid="{52BC982C-73BF-49F1-83E3-D19029599E49}">
      <formula1>G9&lt;&gt;500</formula1>
    </dataValidation>
    <dataValidation type="date" allowBlank="1" showInputMessage="1" showErrorMessage="1" sqref="I9" xr:uid="{1CA7AFF2-EBEA-4BE0-BADB-645AB346CABC}">
      <formula1>Periodo_De_Pago_Inicial_Gerente</formula1>
      <formula2>Periodo_De_Pago_Final_Gerente</formula2>
    </dataValidation>
    <dataValidation showInputMessage="1" showErrorMessage="1" sqref="A9" xr:uid="{FE1C4E0D-2F6C-482C-9073-AD83A343D7D3}"/>
    <dataValidation type="list" allowBlank="1" showInputMessage="1" showErrorMessage="1" sqref="B2:D2" xr:uid="{049684D4-0C7F-461E-B85E-1D148FAABBAD}">
      <formula1>Razones_Sociales</formula1>
    </dataValidation>
    <dataValidation type="list" allowBlank="1" showInputMessage="1" showErrorMessage="1" sqref="F9" xr:uid="{4DA2B57B-808D-5A47-A3F4-77E8618FFDA1}">
      <formula1>Cursos</formula1>
    </dataValidation>
    <dataValidation type="list" allowBlank="1" showInputMessage="1" showErrorMessage="1" sqref="J9" xr:uid="{008451E6-0AF1-470E-84DE-BA92C470A910}">
      <formula1>#REF!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1" id="{A96C4622-7921-4E82-92DE-710E97186F01}">
            <xm:f>COUNTIF(GERENTE!#REF!, $B9) &gt;1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B33B3-8F13-4F5B-86F6-CF48FAC147A0}">
  <sheetPr codeName="Sheet7">
    <tabColor rgb="FF00B050"/>
    <pageSetUpPr fitToPage="1"/>
  </sheetPr>
  <dimension ref="A1:K23"/>
  <sheetViews>
    <sheetView workbookViewId="0">
      <selection activeCell="B2" sqref="B2:D2"/>
    </sheetView>
  </sheetViews>
  <sheetFormatPr baseColWidth="10" defaultColWidth="14.5" defaultRowHeight="16" x14ac:dyDescent="0.2"/>
  <cols>
    <col min="1" max="1" width="24.83203125" style="13" bestFit="1" customWidth="1"/>
    <col min="2" max="2" width="17.5" style="13" bestFit="1" customWidth="1"/>
    <col min="3" max="3" width="29.1640625" style="13" bestFit="1" customWidth="1"/>
    <col min="4" max="4" width="16.5" style="13" bestFit="1" customWidth="1"/>
    <col min="5" max="5" width="14.1640625" style="13" bestFit="1" customWidth="1"/>
    <col min="6" max="6" width="12.1640625" style="13" bestFit="1" customWidth="1"/>
    <col min="7" max="7" width="12.5" style="13" bestFit="1" customWidth="1"/>
    <col min="8" max="8" width="12" style="13" bestFit="1" customWidth="1"/>
    <col min="9" max="9" width="29.5" style="13" bestFit="1" customWidth="1"/>
    <col min="10" max="10" width="17.6640625" style="13" bestFit="1" customWidth="1"/>
    <col min="11" max="11" width="21" style="13" customWidth="1"/>
    <col min="12" max="12" width="3.33203125" style="13" bestFit="1" customWidth="1"/>
    <col min="13" max="23" width="10.6640625" style="13" customWidth="1"/>
    <col min="24" max="16384" width="14.5" style="13"/>
  </cols>
  <sheetData>
    <row r="1" spans="1:11" ht="17" thickBot="1" x14ac:dyDescent="0.25">
      <c r="A1" s="32" t="s">
        <v>27</v>
      </c>
      <c r="B1" s="127"/>
      <c r="C1" s="127"/>
      <c r="D1" s="127"/>
      <c r="F1" s="43" t="s">
        <v>103</v>
      </c>
      <c r="G1" s="45" t="s">
        <v>7</v>
      </c>
      <c r="I1" s="31" t="s">
        <v>47</v>
      </c>
      <c r="J1" s="34">
        <f>Total_Registros_Gerente</f>
        <v>0</v>
      </c>
    </row>
    <row r="2" spans="1:11" ht="17" thickBot="1" x14ac:dyDescent="0.25">
      <c r="A2" s="43" t="s">
        <v>30</v>
      </c>
      <c r="B2" s="128"/>
      <c r="C2" s="128"/>
      <c r="D2" s="128"/>
    </row>
    <row r="3" spans="1:11" ht="17" thickBot="1" x14ac:dyDescent="0.25">
      <c r="A3" s="43" t="s">
        <v>28</v>
      </c>
      <c r="B3" s="103"/>
      <c r="C3" s="44" t="s">
        <v>29</v>
      </c>
      <c r="D3" s="101"/>
      <c r="F3" s="20"/>
      <c r="G3" s="21"/>
      <c r="I3" s="14"/>
    </row>
    <row r="4" spans="1:11" ht="17" thickBot="1" x14ac:dyDescent="0.25">
      <c r="A4" s="43" t="s">
        <v>17</v>
      </c>
      <c r="B4" s="47">
        <f>COUNTIFS(Tabla_Promotor[GRUPO],"&lt;&gt;",
Tabla_Promotor[GRUPO],"&lt;&gt;503",
Tabla_Promotor[GRUPO],"&lt;&gt;500",
Tabla_Promotor[PAGO],"&gt;=299")</f>
        <v>0</v>
      </c>
      <c r="C4" s="17"/>
      <c r="F4" s="18"/>
      <c r="G4" s="18"/>
      <c r="H4" s="17"/>
      <c r="K4" s="19"/>
    </row>
    <row r="5" spans="1:11" ht="17" thickBot="1" x14ac:dyDescent="0.25">
      <c r="A5" s="43" t="s">
        <v>31</v>
      </c>
      <c r="B5" s="46">
        <f>WEEKNUM(B3)</f>
        <v>0</v>
      </c>
      <c r="C5" s="17"/>
      <c r="E5" s="18"/>
      <c r="F5" s="18"/>
      <c r="G5" s="18"/>
      <c r="H5" s="17"/>
      <c r="K5" s="23"/>
    </row>
    <row r="6" spans="1:11" ht="17" thickBot="1" x14ac:dyDescent="0.25">
      <c r="A6" s="43" t="s">
        <v>26</v>
      </c>
      <c r="B6" s="101"/>
      <c r="C6" s="17"/>
      <c r="E6" s="18"/>
      <c r="F6" s="18"/>
      <c r="G6" s="18"/>
      <c r="H6" s="17"/>
      <c r="J6" s="23"/>
      <c r="K6" s="23"/>
    </row>
    <row r="8" spans="1:11" x14ac:dyDescent="0.2">
      <c r="A8" s="64" t="s">
        <v>7</v>
      </c>
      <c r="B8" s="64" t="s">
        <v>18</v>
      </c>
      <c r="C8" s="64" t="s">
        <v>19</v>
      </c>
      <c r="D8" s="112" t="s">
        <v>33</v>
      </c>
      <c r="E8" s="64" t="s">
        <v>32</v>
      </c>
      <c r="F8" s="64" t="s">
        <v>52</v>
      </c>
      <c r="G8" s="64" t="s">
        <v>20</v>
      </c>
      <c r="H8" s="112" t="s">
        <v>1</v>
      </c>
      <c r="I8" s="64" t="s">
        <v>53</v>
      </c>
      <c r="J8" s="64" t="s">
        <v>21</v>
      </c>
      <c r="K8" s="64" t="s">
        <v>22</v>
      </c>
    </row>
    <row r="9" spans="1:11" x14ac:dyDescent="0.2">
      <c r="A9" s="17"/>
      <c r="B9" s="18"/>
      <c r="C9" s="18"/>
      <c r="D9" s="50">
        <f>IF(
    OR(
        Tabla_Promotor[[#This Row],[GRUPO]] = "",
        Tabla_Promotor[[#This Row],[GRUPO]] = 500,
        COUNTIF(Tabla_Promotor[CREDENCIAL], Tabla_Promotor[[#This Row],[CREDENCIAL]]) &gt; 1,
        COUNTIF(Tabla_Gerente[CREDENCIAL], Tabla_Promotor[[#This Row],[CREDENCIAL]]) &gt; 1,
    ),
    0,
    IF(
        Tabla_Promotor[[#This Row],[GRUPO]] = 503,
        Tabla_Promotor[[#This Row],[PAGO]],
        IF(
            Tabla_Promotor[[#This Row],[PAGO]] &gt;= 299,
            Tabla_Promotor[[#This Row],[PAGO]] - 150,
            0
        )
    )
)</f>
        <v>0</v>
      </c>
      <c r="E9" s="18"/>
      <c r="F9" s="18"/>
      <c r="G9" s="42"/>
      <c r="H9" s="51">
        <f>IFERROR(VLOOKUP(Tabla_Promotor[[#This Row],[CREDENCIAL]], Tabla_Gerente[[CREDENCIAL]:[PAGO]], 7, FALSE), 0)</f>
        <v>0</v>
      </c>
      <c r="I9" s="104"/>
      <c r="J9" s="19"/>
      <c r="K9" s="19"/>
    </row>
    <row r="10" spans="1:11" x14ac:dyDescent="0.2">
      <c r="A10" s="25" t="s">
        <v>39</v>
      </c>
      <c r="B10" s="14"/>
      <c r="C10" s="15"/>
      <c r="D10" s="52">
        <f>SUBTOTAL(109,Tabla_Promotor[COMISION])</f>
        <v>0</v>
      </c>
      <c r="E10" s="14"/>
      <c r="F10" s="14"/>
      <c r="G10" s="27"/>
      <c r="H10" s="53"/>
      <c r="I10" s="14"/>
      <c r="J10" s="16"/>
      <c r="K10" s="16"/>
    </row>
    <row r="11" spans="1:11" x14ac:dyDescent="0.2">
      <c r="A11" s="25"/>
      <c r="B11" s="14"/>
      <c r="C11" s="15"/>
      <c r="D11" s="52"/>
      <c r="E11" s="14"/>
      <c r="F11" s="14"/>
      <c r="G11" s="27"/>
      <c r="H11" s="53"/>
      <c r="I11" s="14"/>
      <c r="J11" s="16"/>
      <c r="K11" s="16"/>
    </row>
    <row r="12" spans="1:11" x14ac:dyDescent="0.2">
      <c r="A12" s="25" t="s">
        <v>13</v>
      </c>
      <c r="D12" s="68">
        <f>_xlfn.IFNA(VLOOKUP(Nombre_Promotor,Tabla_Sueldos_Base[],2,FALSE),0)</f>
        <v>0</v>
      </c>
      <c r="E12" s="16"/>
      <c r="F12" s="15"/>
      <c r="H12" s="15"/>
      <c r="J12" s="24"/>
    </row>
    <row r="13" spans="1:11" ht="17" thickBot="1" x14ac:dyDescent="0.25">
      <c r="A13" s="37" t="s">
        <v>34</v>
      </c>
      <c r="B13" s="38">
        <f>IF(Total_Registros_Promotor &lt; Premios!A5, 0,
   VLOOKUP(Total_Registros_Promotor, Tabla_Premios_Promotor[], 1, TRUE))</f>
        <v>0</v>
      </c>
      <c r="C13" s="34"/>
      <c r="D13" s="36">
        <f>IF(Premio_Promotor &gt; 0,
   VLOOKUP(Premio_Promotor, Tabla_Premios_Promotor[],
      VLOOKUP(Total_Registros_Gerente, Tabla_Tabulador_Premio_Promotor_Total_Gerencia[], 2, TRUE),
   FALSE),
   0)</f>
        <v>0</v>
      </c>
      <c r="E13" s="16"/>
      <c r="F13" s="15"/>
      <c r="H13" s="15"/>
      <c r="J13" s="24"/>
    </row>
    <row r="14" spans="1:11" x14ac:dyDescent="0.2">
      <c r="A14" s="27" t="s">
        <v>35</v>
      </c>
      <c r="B14" s="18"/>
      <c r="D14" s="28">
        <f>Tabla_Promotor[[#Totals],[COMISION]] + Pago_Sueldo_Base_Promotor + Pago_Premio_Promotor</f>
        <v>0</v>
      </c>
      <c r="E14" s="16"/>
      <c r="F14" s="15"/>
      <c r="H14" s="15"/>
      <c r="J14" s="24"/>
    </row>
    <row r="15" spans="1:11" x14ac:dyDescent="0.2">
      <c r="A15" s="27" t="s">
        <v>182</v>
      </c>
      <c r="B15" s="18"/>
      <c r="C15" s="29"/>
      <c r="D15" s="39">
        <f>_xlfn.IFNA(SUMIFS(Tabla_Descuentos[DESCUENTO], Tabla_Descuentos[COLABORADOR], Nombre_Promotor, Tabla_Descuentos[PUESTO], Puesto_Promotor), 0)</f>
        <v>0</v>
      </c>
      <c r="E15" s="16" t="s">
        <v>108</v>
      </c>
      <c r="F15" s="15"/>
      <c r="H15" s="15"/>
      <c r="I15" s="18"/>
      <c r="J15" s="22"/>
      <c r="K15" s="22"/>
    </row>
    <row r="16" spans="1:11" ht="17" thickBot="1" x14ac:dyDescent="0.25">
      <c r="A16" s="35"/>
      <c r="C16" s="29"/>
      <c r="D16" s="28"/>
      <c r="E16" s="16"/>
      <c r="F16" s="15"/>
    </row>
    <row r="17" spans="1:9" ht="17" thickBot="1" x14ac:dyDescent="0.25">
      <c r="A17" s="37" t="s">
        <v>38</v>
      </c>
      <c r="B17" s="34"/>
      <c r="C17" s="49"/>
      <c r="D17" s="30">
        <f>Pago_Subtotal_Promotor + Descuento_Promotor</f>
        <v>0</v>
      </c>
      <c r="E17" s="16"/>
      <c r="F17" s="15"/>
    </row>
    <row r="18" spans="1:9" x14ac:dyDescent="0.2">
      <c r="C18" s="29"/>
      <c r="D18" s="28"/>
      <c r="E18" s="26"/>
      <c r="F18" s="26"/>
    </row>
    <row r="19" spans="1:9" x14ac:dyDescent="0.2">
      <c r="C19" s="29"/>
      <c r="D19" s="28"/>
      <c r="E19" s="26"/>
      <c r="F19" s="26"/>
    </row>
    <row r="20" spans="1:9" ht="17" thickBot="1" x14ac:dyDescent="0.25">
      <c r="C20" s="37" t="s">
        <v>24</v>
      </c>
      <c r="D20" s="129" t="str" cm="1">
        <f t="array" ref="D20">NumeroATexto(Pago_Neto_Promotor)</f>
        <v>CERO PESOS 00/100</v>
      </c>
      <c r="E20" s="129"/>
      <c r="F20" s="129"/>
      <c r="G20" s="129"/>
      <c r="H20" s="129"/>
      <c r="I20" s="129"/>
    </row>
    <row r="21" spans="1:9" x14ac:dyDescent="0.2">
      <c r="C21" s="27"/>
      <c r="D21" s="26"/>
      <c r="E21" s="16"/>
      <c r="F21" s="15"/>
    </row>
    <row r="22" spans="1:9" x14ac:dyDescent="0.2">
      <c r="C22" s="29"/>
      <c r="D22" s="28"/>
    </row>
    <row r="23" spans="1:9" ht="17" thickBot="1" x14ac:dyDescent="0.25">
      <c r="C23" s="33" t="s">
        <v>25</v>
      </c>
      <c r="D23" s="130"/>
      <c r="E23" s="130"/>
      <c r="F23" s="130"/>
      <c r="G23" s="130"/>
      <c r="H23" s="130"/>
      <c r="I23" s="130"/>
    </row>
  </sheetData>
  <mergeCells count="4">
    <mergeCell ref="B1:D1"/>
    <mergeCell ref="B2:D2"/>
    <mergeCell ref="D20:I20"/>
    <mergeCell ref="D23:I23"/>
  </mergeCells>
  <phoneticPr fontId="8" type="noConversion"/>
  <conditionalFormatting sqref="D9">
    <cfRule type="expression" dxfId="27" priority="3">
      <formula>$G9=501</formula>
    </cfRule>
    <cfRule type="cellIs" dxfId="26" priority="7" operator="equal">
      <formula>0</formula>
    </cfRule>
  </conditionalFormatting>
  <conditionalFormatting sqref="G9">
    <cfRule type="cellIs" dxfId="25" priority="4" operator="equal">
      <formula>503</formula>
    </cfRule>
    <cfRule type="cellIs" dxfId="24" priority="6" operator="equal">
      <formula>501</formula>
    </cfRule>
  </conditionalFormatting>
  <conditionalFormatting sqref="B9">
    <cfRule type="duplicateValues" dxfId="23" priority="27"/>
  </conditionalFormatting>
  <conditionalFormatting sqref="H9">
    <cfRule type="cellIs" dxfId="22" priority="1" operator="lessThan">
      <formula>299</formula>
    </cfRule>
  </conditionalFormatting>
  <dataValidations count="7">
    <dataValidation type="list" allowBlank="1" showInputMessage="1" showErrorMessage="1" sqref="B1" xr:uid="{322A9DA1-A27E-4B8C-A0A9-1D7D9C730628}">
      <formula1>Nombres_Promotores</formula1>
    </dataValidation>
    <dataValidation type="list" allowBlank="1" showInputMessage="1" showErrorMessage="1" sqref="E9" xr:uid="{CE75A24A-1C97-4075-AD01-9E3458A5D2F7}">
      <formula1>Nombres_Planteles</formula1>
    </dataValidation>
    <dataValidation type="custom" allowBlank="1" showInputMessage="1" showErrorMessage="1" sqref="G9" xr:uid="{FE5A613E-D7DA-432E-BB91-992FF7C3F51A}">
      <formula1>G9&lt;&gt;500</formula1>
    </dataValidation>
    <dataValidation type="date" allowBlank="1" showInputMessage="1" showErrorMessage="1" sqref="I9" xr:uid="{B41472E2-F336-4DFB-987A-D57541B2589C}">
      <formula1>Periodo_De_Pago_Inicial_Gerente</formula1>
      <formula2>Periodo_De_Pago_Final_Gerente</formula2>
    </dataValidation>
    <dataValidation type="list" allowBlank="1" showInputMessage="1" showErrorMessage="1" sqref="B2:D2" xr:uid="{97706651-34B6-49BC-B594-2949CA82725D}">
      <formula1>Razones_Sociales</formula1>
    </dataValidation>
    <dataValidation type="list" allowBlank="1" showInputMessage="1" showErrorMessage="1" sqref="F9" xr:uid="{84323033-1B23-A047-9683-019E1F381FAA}">
      <formula1>Cursos</formula1>
    </dataValidation>
    <dataValidation type="list" allowBlank="1" showInputMessage="1" showErrorMessage="1" sqref="J9" xr:uid="{13E0698A-06B6-4332-9CB4-35D696D672A5}">
      <formula1>#REF!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2" id="{686F8BA5-6706-45E7-A1E7-986D6339DEE9}">
            <xm:f>COUNTIF(GERENTE!#REF!,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46ABE-343B-4409-BC3A-BF5870DEF2C8}">
  <sheetPr codeName="Sheet1">
    <tabColor rgb="FFFFC000"/>
  </sheetPr>
  <dimension ref="A1:P23"/>
  <sheetViews>
    <sheetView tabSelected="1" zoomScaleNormal="100" workbookViewId="0">
      <selection activeCell="B9" sqref="B9"/>
    </sheetView>
  </sheetViews>
  <sheetFormatPr baseColWidth="10" defaultColWidth="14.5" defaultRowHeight="16" x14ac:dyDescent="0.2"/>
  <cols>
    <col min="1" max="1" width="21.83203125" style="13" bestFit="1" customWidth="1"/>
    <col min="2" max="2" width="24.1640625" style="13" bestFit="1" customWidth="1"/>
    <col min="3" max="3" width="20.5" style="13" bestFit="1" customWidth="1"/>
    <col min="4" max="4" width="37.83203125" style="13" bestFit="1" customWidth="1"/>
    <col min="5" max="5" width="15.5" style="13" bestFit="1" customWidth="1"/>
    <col min="6" max="6" width="19.83203125" style="13" bestFit="1" customWidth="1"/>
    <col min="7" max="7" width="19" style="13" bestFit="1" customWidth="1"/>
    <col min="8" max="8" width="12.33203125" style="13" bestFit="1" customWidth="1"/>
    <col min="9" max="9" width="21" style="13" bestFit="1" customWidth="1"/>
    <col min="10" max="10" width="11.6640625" style="13" bestFit="1" customWidth="1"/>
    <col min="11" max="11" width="21.5" style="13" bestFit="1" customWidth="1"/>
    <col min="12" max="12" width="24.5" style="13" bestFit="1" customWidth="1"/>
    <col min="13" max="13" width="19" style="13" bestFit="1" customWidth="1"/>
    <col min="14" max="14" width="2.83203125" style="13" customWidth="1"/>
    <col min="15" max="16" width="12.5" style="13" customWidth="1"/>
    <col min="17" max="17" width="2.83203125" style="13" customWidth="1"/>
    <col min="18" max="24" width="10.6640625" style="13" customWidth="1"/>
    <col min="25" max="16384" width="14.5" style="13"/>
  </cols>
  <sheetData>
    <row r="1" spans="1:16" ht="17" thickBot="1" x14ac:dyDescent="0.25">
      <c r="A1" s="32" t="s">
        <v>27</v>
      </c>
      <c r="B1" s="131"/>
      <c r="C1" s="131"/>
      <c r="D1" s="131"/>
      <c r="F1" s="43" t="s">
        <v>103</v>
      </c>
      <c r="G1" s="45" t="s">
        <v>104</v>
      </c>
      <c r="I1" s="76" t="s">
        <v>154</v>
      </c>
      <c r="J1" s="78">
        <f>IFERROR(Total_De_La_Gerencia/Total_Registros_Gerente, 0)</f>
        <v>0</v>
      </c>
      <c r="O1" s="93"/>
      <c r="P1" s="93"/>
    </row>
    <row r="2" spans="1:16" ht="17" thickBot="1" x14ac:dyDescent="0.25">
      <c r="A2" s="43" t="s">
        <v>30</v>
      </c>
      <c r="B2" s="132"/>
      <c r="C2" s="132"/>
      <c r="D2" s="132"/>
      <c r="O2" s="93"/>
      <c r="P2" s="93"/>
    </row>
    <row r="3" spans="1:16" ht="17" thickBot="1" x14ac:dyDescent="0.25">
      <c r="A3" s="43" t="s">
        <v>28</v>
      </c>
      <c r="B3" s="96">
        <f>DATE(2025,1,1) + (Numero_de_semana-1)*7 - WEEKDAY(DATE(2025,1,1),2) + 4</f>
        <v>45659</v>
      </c>
      <c r="C3" s="44" t="s">
        <v>29</v>
      </c>
      <c r="D3" s="98">
        <f>DATE(2025,1,1) + (Numero_de_semana-1)*7 - WEEKDAY(DATE(2025,1,1),2) + 11</f>
        <v>45666</v>
      </c>
      <c r="F3" s="20"/>
      <c r="G3" s="21"/>
      <c r="O3" s="93"/>
      <c r="P3" s="93"/>
    </row>
    <row r="4" spans="1:16" s="21" customFormat="1" ht="18" thickBot="1" x14ac:dyDescent="0.25">
      <c r="A4" s="87" t="s">
        <v>17</v>
      </c>
      <c r="B4" s="85" cm="1">
        <f t="array" ref="B4">COUNTIFS(
    Tabla_Gerente[GRUPO], "&lt;&gt;",
    Tabla_Gerente[GRUPO], "&lt;&gt;503",
    Tabla_Gerente[GRUPO], "&lt;&gt;500",
    Tabla_Gerente[PAGO], "&gt;=299"
)
-
SUM(
    IF(COUNTIF(Tabla_Gerente[CREDENCIAL], Tabla_Gerente[CREDENCIAL]) &gt; 1,
       1 / COUNTIF(Tabla_Gerente[CREDENCIAL], Tabla_Gerente[CREDENCIAL]),
       0
    )
)</f>
        <v>0</v>
      </c>
      <c r="C4" s="88"/>
      <c r="F4" s="89"/>
      <c r="G4" s="89"/>
      <c r="H4" s="88"/>
      <c r="I4" s="90" t="s">
        <v>16</v>
      </c>
      <c r="J4" s="91">
        <v>0</v>
      </c>
      <c r="K4" s="92"/>
      <c r="O4" s="94"/>
      <c r="P4" s="94"/>
    </row>
    <row r="5" spans="1:16" ht="17" thickBot="1" x14ac:dyDescent="0.25">
      <c r="A5" s="43" t="s">
        <v>31</v>
      </c>
      <c r="B5" s="77">
        <v>1</v>
      </c>
      <c r="C5" s="86"/>
      <c r="E5" s="18"/>
      <c r="F5" s="18" t="s">
        <v>108</v>
      </c>
      <c r="G5" s="18"/>
      <c r="H5" s="17"/>
      <c r="K5" s="23"/>
    </row>
    <row r="6" spans="1:16" ht="17" thickBot="1" x14ac:dyDescent="0.25">
      <c r="A6" s="43" t="s">
        <v>26</v>
      </c>
      <c r="B6" s="97">
        <v>45658</v>
      </c>
      <c r="C6" s="17"/>
      <c r="E6" s="18"/>
      <c r="F6" s="18"/>
      <c r="G6" s="18"/>
      <c r="H6" s="17"/>
      <c r="J6" s="23"/>
      <c r="K6" s="23"/>
    </row>
    <row r="7" spans="1:16" x14ac:dyDescent="0.2">
      <c r="E7" s="13" t="s">
        <v>108</v>
      </c>
    </row>
    <row r="8" spans="1:16" x14ac:dyDescent="0.2">
      <c r="A8" s="108" t="s">
        <v>104</v>
      </c>
      <c r="B8" s="107" t="s">
        <v>6</v>
      </c>
      <c r="C8" s="108" t="s">
        <v>18</v>
      </c>
      <c r="D8" s="108" t="s">
        <v>97</v>
      </c>
      <c r="E8" s="109" t="s">
        <v>33</v>
      </c>
      <c r="F8" s="108" t="s">
        <v>32</v>
      </c>
      <c r="G8" s="108" t="s">
        <v>52</v>
      </c>
      <c r="H8" s="108" t="s">
        <v>20</v>
      </c>
      <c r="I8" s="109" t="s">
        <v>1</v>
      </c>
      <c r="J8" s="108" t="s">
        <v>53</v>
      </c>
      <c r="K8" s="108" t="s">
        <v>7</v>
      </c>
      <c r="L8" s="108" t="s">
        <v>183</v>
      </c>
      <c r="M8" s="108" t="s">
        <v>184</v>
      </c>
    </row>
    <row r="9" spans="1:16" x14ac:dyDescent="0.2">
      <c r="A9" s="19" t="str">
        <f>_xlfn.IFNA(VLOOKUP(Nombre_Gerente,Tabla_Gerentes[],2,FALSE),"")</f>
        <v/>
      </c>
      <c r="B9" s="120"/>
      <c r="C9" s="121"/>
      <c r="D9" s="122"/>
      <c r="E9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0</v>
      </c>
      <c r="F9" s="123"/>
      <c r="G9" s="123"/>
      <c r="H9" s="124"/>
      <c r="I9" s="118"/>
      <c r="J9" s="125"/>
      <c r="K9" s="123"/>
      <c r="L9" s="126"/>
      <c r="M9" s="126"/>
    </row>
    <row r="10" spans="1:16" x14ac:dyDescent="0.2">
      <c r="A10" s="114" t="s">
        <v>39</v>
      </c>
      <c r="B10" s="80"/>
      <c r="C10" s="81"/>
      <c r="D10" s="82"/>
      <c r="E10" s="83">
        <f>SUBTOTAL(109,Tabla_Gerente[COMISION])</f>
        <v>0</v>
      </c>
      <c r="F10" s="81"/>
      <c r="G10" s="81"/>
      <c r="H10" s="81"/>
      <c r="I10" s="84"/>
      <c r="J10" s="81"/>
      <c r="K10" s="81"/>
      <c r="L10" s="79"/>
      <c r="M10" s="79"/>
    </row>
    <row r="11" spans="1:16" x14ac:dyDescent="0.2">
      <c r="A11" s="25" t="s">
        <v>13</v>
      </c>
      <c r="E11" s="39">
        <f>Sueldo_Base_Gerente</f>
        <v>1000</v>
      </c>
      <c r="F11" s="15"/>
      <c r="H11" s="15"/>
      <c r="J11" s="24"/>
    </row>
    <row r="12" spans="1:16" ht="17" thickBot="1" x14ac:dyDescent="0.25">
      <c r="A12" s="33" t="s">
        <v>34</v>
      </c>
      <c r="B12" s="38">
        <f>IF(Total_Registros_Gerente &gt;= Premios!K5,
    VLOOKUP(Total_Registros_Gerente, Tabla_Premios_Gerente[], 1, TRUE),
    0
)</f>
        <v>0</v>
      </c>
      <c r="C12" s="34"/>
      <c r="D12" s="34"/>
      <c r="E12" s="73">
        <f>IF(Premio_Gerente &gt; 0, VLOOKUP(Premio_Gerente, Tabla_Premios_Gerente[], 2, FALSE), 0)</f>
        <v>0</v>
      </c>
      <c r="F12" s="15"/>
      <c r="H12" s="15"/>
      <c r="J12" s="24" t="s">
        <v>188</v>
      </c>
    </row>
    <row r="13" spans="1:16" x14ac:dyDescent="0.2">
      <c r="A13" s="25" t="s">
        <v>35</v>
      </c>
      <c r="B13" s="18"/>
      <c r="E13" s="40">
        <f>Tabla_Gerente[[#Totals],[COMISION]] + Pago_Sueldo_Base_Gerente + Pago_Premio_Gerente</f>
        <v>1000</v>
      </c>
      <c r="F13" s="15"/>
      <c r="H13" s="15"/>
      <c r="J13" s="24"/>
    </row>
    <row r="14" spans="1:16" x14ac:dyDescent="0.2">
      <c r="A14" s="27" t="s">
        <v>182</v>
      </c>
      <c r="B14" s="18"/>
      <c r="C14" s="29"/>
      <c r="E14" s="39">
        <f>_xlfn.IFNA(SUMIFS(Tabla_Descuentos[DESCUENTO], Tabla_Descuentos[COLABORADOR], Nombre_Gerente, Tabla_Descuentos[PUESTO], Puesto_Gerente), 0)</f>
        <v>0</v>
      </c>
      <c r="F14" s="15"/>
      <c r="H14" s="15"/>
      <c r="I14" s="18"/>
      <c r="K14" s="22"/>
    </row>
    <row r="15" spans="1:16" ht="17" thickBot="1" x14ac:dyDescent="0.25">
      <c r="A15" s="33" t="s">
        <v>23</v>
      </c>
      <c r="B15" s="34"/>
      <c r="C15" s="34"/>
      <c r="D15" s="34"/>
      <c r="E15" s="74">
        <f>(Pago_Subtotal_Gerente * 0.05) * -1</f>
        <v>-50</v>
      </c>
      <c r="F15" s="15"/>
      <c r="H15" s="15"/>
    </row>
    <row r="16" spans="1:16" ht="17" thickBot="1" x14ac:dyDescent="0.25">
      <c r="A16" s="35"/>
      <c r="C16" s="29"/>
      <c r="D16" s="28"/>
      <c r="E16" s="16"/>
      <c r="F16" s="15"/>
    </row>
    <row r="17" spans="1:9" ht="17" thickBot="1" x14ac:dyDescent="0.25">
      <c r="A17" s="33" t="s">
        <v>38</v>
      </c>
      <c r="B17" s="34"/>
      <c r="C17" s="49"/>
      <c r="D17" s="49"/>
      <c r="E17" s="75">
        <f>Pago_Subtotal_Gerente + Descuento_Gerente + Deduccion_Gerente</f>
        <v>950</v>
      </c>
      <c r="F17" s="15"/>
    </row>
    <row r="18" spans="1:9" x14ac:dyDescent="0.2">
      <c r="A18" s="25"/>
      <c r="C18" s="54"/>
      <c r="D18" s="16"/>
      <c r="E18" s="16"/>
      <c r="F18" s="15"/>
    </row>
    <row r="19" spans="1:9" x14ac:dyDescent="0.2">
      <c r="C19" s="29"/>
      <c r="D19" s="28"/>
      <c r="E19" s="26"/>
      <c r="F19" s="26"/>
    </row>
    <row r="20" spans="1:9" ht="17" thickBot="1" x14ac:dyDescent="0.25">
      <c r="D20" s="37" t="s">
        <v>24</v>
      </c>
      <c r="E20" s="129" t="str" cm="1">
        <f t="array" ref="E20">NumeroATexto(Pago_Neto_Gerente)</f>
        <v>NOVECIENTOS CINCUENTA PESOS 00/100</v>
      </c>
      <c r="F20" s="129"/>
      <c r="G20" s="129"/>
      <c r="H20" s="129"/>
      <c r="I20" s="129"/>
    </row>
    <row r="21" spans="1:9" x14ac:dyDescent="0.2">
      <c r="C21" s="27"/>
      <c r="D21" s="26"/>
      <c r="E21" s="16"/>
      <c r="F21" s="15"/>
    </row>
    <row r="22" spans="1:9" x14ac:dyDescent="0.2">
      <c r="C22" s="29"/>
      <c r="D22" s="28"/>
    </row>
    <row r="23" spans="1:9" ht="17" thickBot="1" x14ac:dyDescent="0.25">
      <c r="D23" s="33" t="s">
        <v>25</v>
      </c>
      <c r="E23" s="130"/>
      <c r="F23" s="130"/>
      <c r="G23" s="130"/>
      <c r="H23" s="130"/>
      <c r="I23" s="130"/>
    </row>
  </sheetData>
  <sheetProtection formatCells="0" formatColumns="0" formatRows="0" insertColumns="0" insertRows="0" insertHyperlinks="0" deleteColumns="0" deleteRows="0" sort="0" autoFilter="0"/>
  <mergeCells count="4">
    <mergeCell ref="E23:I23"/>
    <mergeCell ref="B1:D1"/>
    <mergeCell ref="B2:D2"/>
    <mergeCell ref="E20:I20"/>
  </mergeCells>
  <phoneticPr fontId="8" type="noConversion"/>
  <conditionalFormatting sqref="E9">
    <cfRule type="cellIs" dxfId="20" priority="11" operator="equal">
      <formula>0</formula>
    </cfRule>
  </conditionalFormatting>
  <conditionalFormatting sqref="H9">
    <cfRule type="cellIs" dxfId="19" priority="2" operator="equal">
      <formula>505</formula>
    </cfRule>
    <cfRule type="cellIs" dxfId="18" priority="5" operator="equal">
      <formula>501</formula>
    </cfRule>
    <cfRule type="containsBlanks" dxfId="17" priority="20">
      <formula>LEN(TRIM(H9))=0</formula>
    </cfRule>
  </conditionalFormatting>
  <conditionalFormatting sqref="I9">
    <cfRule type="cellIs" dxfId="16" priority="1" operator="lessThan">
      <formula>299</formula>
    </cfRule>
  </conditionalFormatting>
  <conditionalFormatting sqref="A9:B9 D9:M9">
    <cfRule type="expression" dxfId="15" priority="3021">
      <formula>$H9 = 503</formula>
    </cfRule>
  </conditionalFormatting>
  <conditionalFormatting sqref="C9">
    <cfRule type="expression" dxfId="14" priority="3227" stopIfTrue="1">
      <formula>$H9 = 503</formula>
    </cfRule>
  </conditionalFormatting>
  <conditionalFormatting sqref="C9">
    <cfRule type="duplicateValues" dxfId="13" priority="3421"/>
  </conditionalFormatting>
  <dataValidations count="10">
    <dataValidation type="date" errorStyle="warning" operator="greaterThan" allowBlank="1" showInputMessage="1" showErrorMessage="1" errorTitle="Fecha previa al periodo" error="La Fecha de Expediciond de la nomina es menor que el periodo seleccionado" sqref="B6" xr:uid="{3162D6EA-AE1C-41CB-B4D5-123F2C68F242}">
      <formula1>B3</formula1>
    </dataValidation>
    <dataValidation type="list" showInputMessage="1" showErrorMessage="1" sqref="B1:D1" xr:uid="{80C133E6-181F-4CA9-A954-9E81F4E124CF}">
      <formula1>Nombres_Gerentes</formula1>
    </dataValidation>
    <dataValidation type="list" allowBlank="1" showInputMessage="1" showErrorMessage="1" sqref="B2:D2" xr:uid="{634E9AF4-5905-43C7-AE1B-A5868B928126}">
      <formula1>Razones_Sociales</formula1>
    </dataValidation>
    <dataValidation type="list" showInputMessage="1" showErrorMessage="1" sqref="F9" xr:uid="{2077F9E4-A8C1-432D-9C47-2CA7B799A19A}">
      <formula1>Nombres_Planteles</formula1>
    </dataValidation>
    <dataValidation type="custom" allowBlank="1" showInputMessage="1" showErrorMessage="1" sqref="H9" xr:uid="{8FB231F2-0366-4A1F-88BC-7081A2D30338}">
      <formula1>H9&lt;&gt;500</formula1>
    </dataValidation>
    <dataValidation type="list" allowBlank="1" showInputMessage="1" showErrorMessage="1" sqref="G9" xr:uid="{FF4CD4D8-D6D0-5844-BCA0-2EB11EB5155F}">
      <formula1>Cursos</formula1>
    </dataValidation>
    <dataValidation type="list" showInputMessage="1" showErrorMessage="1" sqref="B9" xr:uid="{B11C5B97-822A-4ACE-8B21-BF74863453FD}">
      <formula1>Coordinadores_Activos</formula1>
    </dataValidation>
    <dataValidation type="list" allowBlank="1" showInputMessage="1" showErrorMessage="1" sqref="L9" xr:uid="{B14DE65F-DA6F-1543-8299-1F7AA13B1CCD}">
      <formula1>Nombres_Planteles</formula1>
    </dataValidation>
    <dataValidation type="list" showInputMessage="1" showErrorMessage="1" sqref="A9" xr:uid="{9EB656E2-D4E1-244E-B8F5-4156E978509D}">
      <formula1>Alias_Gerentes</formula1>
    </dataValidation>
    <dataValidation type="date" errorStyle="warning" allowBlank="1" showInputMessage="1" showErrorMessage="1" errorTitle="Fecha o Formato incorrecto" error="La fecha o el formato ingresado es incorrecto. (E.g. dd-mm-yyy)" sqref="J9" xr:uid="{0D936490-FAE7-0C4E-AC71-3516F0C3AC67}">
      <formula1>Periodo_de_pago_inicial</formula1>
      <formula2>Periodo_de_pago_final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reateCoordinatorAndPromotorTabs">
                <anchor moveWithCells="1">
                  <from>
                    <xdr:col>14</xdr:col>
                    <xdr:colOff>152400</xdr:colOff>
                    <xdr:row>0</xdr:row>
                    <xdr:rowOff>63500</xdr:rowOff>
                  </from>
                  <to>
                    <xdr:col>15</xdr:col>
                    <xdr:colOff>787400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57</vt:i4>
      </vt:variant>
    </vt:vector>
  </HeadingPairs>
  <TitlesOfParts>
    <vt:vector size="67" baseType="lpstr">
      <vt:lpstr>Premios</vt:lpstr>
      <vt:lpstr>Tabuladores</vt:lpstr>
      <vt:lpstr>Colaboradores</vt:lpstr>
      <vt:lpstr>Planteles</vt:lpstr>
      <vt:lpstr>Cursos</vt:lpstr>
      <vt:lpstr>Resultados</vt:lpstr>
      <vt:lpstr>Dashboard</vt:lpstr>
      <vt:lpstr>Coordinadores</vt:lpstr>
      <vt:lpstr>Promotores</vt:lpstr>
      <vt:lpstr>GERENTE</vt:lpstr>
      <vt:lpstr>Alias_Coordinadores</vt:lpstr>
      <vt:lpstr>Alias_Gerentes</vt:lpstr>
      <vt:lpstr>Alias_Lookup</vt:lpstr>
      <vt:lpstr>Alias_Promotores</vt:lpstr>
      <vt:lpstr>Cantidad_Con_Letra_Coordinador</vt:lpstr>
      <vt:lpstr>Cantidad_Con_Letra_Gerente</vt:lpstr>
      <vt:lpstr>Cantidad_Con_Letra_Promotor</vt:lpstr>
      <vt:lpstr>Coordinadores_Activos</vt:lpstr>
      <vt:lpstr>Cursos</vt:lpstr>
      <vt:lpstr>Deduccion_Coordinador</vt:lpstr>
      <vt:lpstr>Deduccion_Gerente</vt:lpstr>
      <vt:lpstr>Descuento_Coordinador</vt:lpstr>
      <vt:lpstr>Descuento_Gerente</vt:lpstr>
      <vt:lpstr>Descuento_Promotor</vt:lpstr>
      <vt:lpstr>Fecha_de_expedicion</vt:lpstr>
      <vt:lpstr>Gerencia_de_Coordinadores</vt:lpstr>
      <vt:lpstr>Nombre_Coordinador</vt:lpstr>
      <vt:lpstr>Nombre_Gerente</vt:lpstr>
      <vt:lpstr>Nombre_Promotor</vt:lpstr>
      <vt:lpstr>Nombres_Coordinadores</vt:lpstr>
      <vt:lpstr>Nombres_Gerentes</vt:lpstr>
      <vt:lpstr>Planteles!Nombres_Planteles</vt:lpstr>
      <vt:lpstr>Nombres_Planteles</vt:lpstr>
      <vt:lpstr>Nombres_Promotores</vt:lpstr>
      <vt:lpstr>Numero_de_semana</vt:lpstr>
      <vt:lpstr>Pago_Neto_Coordinador</vt:lpstr>
      <vt:lpstr>Pago_Neto_Gerente</vt:lpstr>
      <vt:lpstr>Pago_Neto_Promotor</vt:lpstr>
      <vt:lpstr>Pago_Premio_Coordinador</vt:lpstr>
      <vt:lpstr>Pago_Premio_Gerente</vt:lpstr>
      <vt:lpstr>Pago_Premio_Promotor</vt:lpstr>
      <vt:lpstr>Pago_Subtotal_Coordinador</vt:lpstr>
      <vt:lpstr>Pago_Subtotal_Gerente</vt:lpstr>
      <vt:lpstr>Pago_Subtotal_Promotor</vt:lpstr>
      <vt:lpstr>Pago_Sueldo_Base_Coordinador</vt:lpstr>
      <vt:lpstr>Pago_Sueldo_Base_Gerente</vt:lpstr>
      <vt:lpstr>Pago_Sueldo_Base_Promotor</vt:lpstr>
      <vt:lpstr>Periodo_de_pago_final</vt:lpstr>
      <vt:lpstr>Periodo_De_Pago_Final_Gerente</vt:lpstr>
      <vt:lpstr>Periodo_de_pago_inicial</vt:lpstr>
      <vt:lpstr>Periodo_De_Pago_Inicial_Gerente</vt:lpstr>
      <vt:lpstr>Premio_Coordinador</vt:lpstr>
      <vt:lpstr>Premio_Gerente</vt:lpstr>
      <vt:lpstr>Premio_Promotor</vt:lpstr>
      <vt:lpstr>Puesto_Coordinador</vt:lpstr>
      <vt:lpstr>Puesto_Gerente</vt:lpstr>
      <vt:lpstr>Puesto_Promotor</vt:lpstr>
      <vt:lpstr>Puestos</vt:lpstr>
      <vt:lpstr>Razon_Social</vt:lpstr>
      <vt:lpstr>Planteles!Razones_Sociales</vt:lpstr>
      <vt:lpstr>Razones_Sociales</vt:lpstr>
      <vt:lpstr>Sueldo_Base_Coordinador</vt:lpstr>
      <vt:lpstr>Sueldo_Base_Gerente</vt:lpstr>
      <vt:lpstr>Total_De_La_Gerencia</vt:lpstr>
      <vt:lpstr>Total_Registros_Coordinador</vt:lpstr>
      <vt:lpstr>Total_Registros_Gerente</vt:lpstr>
      <vt:lpstr>Total_Registros_Promotor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RH-1</dc:creator>
  <cp:lastModifiedBy>Juan Garcia</cp:lastModifiedBy>
  <cp:lastPrinted>2025-03-29T16:25:03Z</cp:lastPrinted>
  <dcterms:created xsi:type="dcterms:W3CDTF">2020-02-08T17:47:59Z</dcterms:created>
  <dcterms:modified xsi:type="dcterms:W3CDTF">2025-04-30T21:15:15Z</dcterms:modified>
</cp:coreProperties>
</file>